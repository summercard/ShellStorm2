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总览" sheetId="1" state="visible" r:id="rId1"/>
    <sheet xmlns:r="http://schemas.openxmlformats.org/officeDocument/2006/relationships" name="资产主表" sheetId="2" state="visible" r:id="rId2"/>
    <sheet xmlns:r="http://schemas.openxmlformats.org/officeDocument/2006/relationships" name="角色组件" sheetId="3" state="visible" r:id="rId3"/>
    <sheet xmlns:r="http://schemas.openxmlformats.org/officeDocument/2006/relationships" name="动画与状态" sheetId="4" state="visible" r:id="rId4"/>
    <sheet xmlns:r="http://schemas.openxmlformats.org/officeDocument/2006/relationships" name="分类与编码" sheetId="5" state="visible" r:id="rId5"/>
    <sheet xmlns:r="http://schemas.openxmlformats.org/officeDocument/2006/relationships" name="命名与查重" sheetId="6" state="visible" r:id="rId6"/>
    <sheet xmlns:r="http://schemas.openxmlformats.org/officeDocument/2006/relationships" name="原型角色" sheetId="7" state="visible" r:id="rId7"/>
    <sheet xmlns:r="http://schemas.openxmlformats.org/officeDocument/2006/relationships" name="版本记录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26">
    <font>
      <name val="Carlito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name val="Carlito"/>
      <b val="1"/>
      <color rgb="FF163246"/>
      <sz val="11"/>
    </font>
    <font>
      <name val="Carlito"/>
      <b val="1"/>
      <color rgb="FFF2C94C"/>
      <sz val="20"/>
    </font>
    <font>
      <name val="Carlito"/>
      <b val="1"/>
      <color rgb="FFFFFFFF"/>
      <sz val="11"/>
    </font>
    <font>
      <name val="Carlito"/>
      <color rgb="FF13202B"/>
      <sz val="9"/>
    </font>
    <font>
      <name val="Carlito"/>
      <b val="1"/>
      <color rgb="FF13202B"/>
      <sz val="11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Arial"/>
      <color rgb="FF13202B"/>
      <sz val="9"/>
    </font>
    <font>
      <name val="Arial"/>
      <b val="1"/>
      <color rgb="FF13202B"/>
      <sz val="11"/>
    </font>
    <font>
      <name val="Carlito"/>
      <b val="1"/>
      <color rgb="FFF2C94C"/>
      <sz val="11"/>
    </font>
    <font>
      <name val="Carlito"/>
      <b val="1"/>
      <color rgb="FF176C4A"/>
      <sz val="11"/>
    </font>
    <font>
      <name val="Carlito"/>
      <b val="1"/>
      <color rgb="FFFFFFFF"/>
      <sz val="14"/>
    </font>
    <font>
      <name val="Carlito"/>
      <b val="1"/>
      <color rgb="FF137333"/>
      <sz val="11"/>
    </font>
    <font>
      <name val="Carlito"/>
      <b val="1"/>
      <color rgb="FFD8F4FF"/>
      <sz val="11"/>
    </font>
    <font>
      <name val="Carlito"/>
      <i val="1"/>
      <color rgb="FFD8F4FF"/>
      <sz val="11"/>
    </font>
    <font>
      <name val="Carlito"/>
      <i val="1"/>
      <color rgb="FFE2F8FF"/>
      <sz val="11"/>
    </font>
    <font>
      <name val="Carlito"/>
      <color rgb="FF15383E"/>
      <sz val="11"/>
    </font>
    <font>
      <name val="Carlito"/>
      <b val="1"/>
      <color rgb="FF17563A"/>
      <sz val="11"/>
    </font>
    <font>
      <name val="Carlito"/>
      <b val="1"/>
      <color rgb="FF15383E"/>
      <sz val="11"/>
    </font>
  </fonts>
  <fills count="28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D9F3E8"/>
      </patternFill>
    </fill>
    <fill>
      <patternFill patternType="solid">
        <fgColor rgb="FF10212C"/>
      </patternFill>
    </fill>
    <fill>
      <patternFill patternType="solid">
        <fgColor rgb="FF10212C"/>
      </patternFill>
    </fill>
    <fill>
      <patternFill patternType="solid">
        <fgColor rgb="FFE2F3E7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246583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E4F2F3"/>
      </patternFill>
    </fill>
    <fill>
      <patternFill patternType="solid">
        <fgColor rgb="FFD7EEE5"/>
      </patternFill>
    </fill>
  </fills>
  <borders count="11">
    <border/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left style="medium">
        <color rgb="FF446170"/>
      </left>
      <right style="medium">
        <color rgb="FF446170"/>
      </right>
      <top style="medium">
        <color rgb="FF446170"/>
      </top>
      <bottom style="medium">
        <color rgb="FF446170"/>
      </bottom>
    </border>
    <border>
      <top style="medium">
        <color rgb="FF446170"/>
      </top>
    </border>
    <border>
      <right style="medium">
        <color rgb="FF446170"/>
      </right>
      <top style="medium">
        <color rgb="FF446170"/>
      </top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horizontal="center" wrapText="1"/>
    </xf>
    <xf numFmtId="0" fontId="5" fillId="5" borderId="2" applyAlignment="1" pivotButton="0" quotePrefix="0" xfId="0">
      <alignment horizontal="center" wrapText="1"/>
    </xf>
    <xf numFmtId="0" fontId="5" fillId="5" borderId="3" applyAlignment="1" pivotButton="0" quotePrefix="0" xfId="0">
      <alignment horizont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4" applyAlignment="1" pivotButton="0" quotePrefix="0" xfId="0">
      <alignment vertical="top" wrapText="1"/>
    </xf>
    <xf numFmtId="0" fontId="6" fillId="0" borderId="5" applyAlignment="1" pivotButton="0" quotePrefix="0" xfId="0">
      <alignment vertical="top" wrapText="1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8" fillId="2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10" fillId="0" borderId="0" pivotButton="0" quotePrefix="0" xfId="0"/>
    <xf numFmtId="0" fontId="11" fillId="4" borderId="0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/>
    </xf>
    <xf numFmtId="0" fontId="14" fillId="0" borderId="5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16" fillId="2" borderId="0" pivotButton="0" quotePrefix="0" xfId="0"/>
    <xf numFmtId="0" fontId="16" fillId="2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3" fillId="4" borderId="0" applyAlignment="1" pivotButton="0" quotePrefix="0" xfId="0">
      <alignment wrapText="1"/>
    </xf>
    <xf numFmtId="0" fontId="0" fillId="7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18" fillId="8" borderId="0" applyAlignment="1" pivotButton="0" quotePrefix="0" xfId="0">
      <alignment wrapText="1"/>
    </xf>
    <xf numFmtId="0" fontId="18" fillId="8" borderId="0" pivotButton="0" quotePrefix="0" xfId="0"/>
    <xf numFmtId="0" fontId="18" fillId="8" borderId="0" applyAlignment="1" pivotButton="0" quotePrefix="0" xfId="0">
      <alignment vertical="center"/>
    </xf>
    <xf numFmtId="0" fontId="18" fillId="9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0" fillId="10" borderId="0" pivotButton="0" quotePrefix="0" xfId="0"/>
    <xf numFmtId="0" fontId="19" fillId="10" borderId="0" pivotButton="0" quotePrefix="0" xfId="0"/>
    <xf numFmtId="0" fontId="0" fillId="11" borderId="0" pivotButton="0" quotePrefix="0" xfId="0"/>
    <xf numFmtId="0" fontId="20" fillId="11" borderId="0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21" fillId="13" borderId="0" pivotButton="0" quotePrefix="0" xfId="0"/>
    <xf numFmtId="0" fontId="21" fillId="13" borderId="0" applyAlignment="1" pivotButton="0" quotePrefix="0" xfId="0">
      <alignment wrapText="1"/>
    </xf>
    <xf numFmtId="0" fontId="20" fillId="14" borderId="0" pivotButton="0" quotePrefix="0" xfId="0"/>
    <xf numFmtId="0" fontId="5" fillId="15" borderId="0" pivotButton="0" quotePrefix="0" xfId="0"/>
    <xf numFmtId="0" fontId="21" fillId="16" borderId="0" applyAlignment="1" pivotButton="0" quotePrefix="0" xfId="0">
      <alignment wrapText="1"/>
    </xf>
    <xf numFmtId="0" fontId="0" fillId="17" borderId="0" pivotButton="0" quotePrefix="0" xfId="0"/>
    <xf numFmtId="0" fontId="20" fillId="17" borderId="0" pivotButton="0" quotePrefix="0" xfId="0"/>
    <xf numFmtId="0" fontId="0" fillId="18" borderId="0" pivotButton="0" quotePrefix="0" xfId="0"/>
    <xf numFmtId="0" fontId="5" fillId="18" borderId="0" pivotButton="0" quotePrefix="0" xfId="0"/>
    <xf numFmtId="0" fontId="20" fillId="17" borderId="0" applyAlignment="1" pivotButton="0" quotePrefix="0" xfId="0">
      <alignment wrapText="1"/>
    </xf>
    <xf numFmtId="0" fontId="5" fillId="18" borderId="0" applyAlignment="1" pivotButton="0" quotePrefix="0" xfId="0">
      <alignment wrapText="1"/>
    </xf>
    <xf numFmtId="0" fontId="0" fillId="19" borderId="0" pivotButton="0" quotePrefix="0" xfId="0"/>
    <xf numFmtId="0" fontId="22" fillId="19" borderId="0" pivotButton="0" quotePrefix="0" xfId="0"/>
    <xf numFmtId="0" fontId="22" fillId="19" borderId="0" applyAlignment="1" pivotButton="0" quotePrefix="0" xfId="0">
      <alignment wrapText="1"/>
    </xf>
    <xf numFmtId="0" fontId="20" fillId="20" borderId="0" applyAlignment="1" pivotButton="0" quotePrefix="0" xfId="0">
      <alignment wrapText="1"/>
    </xf>
    <xf numFmtId="0" fontId="5" fillId="21" borderId="0" applyAlignment="1" pivotButton="0" quotePrefix="0" xfId="0">
      <alignment wrapText="1"/>
    </xf>
    <xf numFmtId="0" fontId="22" fillId="22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8" fillId="8" borderId="0" applyAlignment="1" pivotButton="0" quotePrefix="0" xfId="0">
      <alignment vertical="center" wrapText="1"/>
    </xf>
    <xf numFmtId="0" fontId="20" fillId="11" borderId="0" applyAlignment="1" pivotButton="0" quotePrefix="0" xfId="0">
      <alignment wrapText="1"/>
    </xf>
    <xf numFmtId="0" fontId="5" fillId="12" borderId="0" applyAlignment="1" pivotButton="0" quotePrefix="0" xfId="0">
      <alignment wrapText="1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20" fillId="11" borderId="0" applyAlignment="1" pivotButton="0" quotePrefix="0" xfId="0">
      <alignment vertical="center" wrapText="1"/>
    </xf>
    <xf numFmtId="0" fontId="5" fillId="12" borderId="0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23" borderId="0" pivotButton="0" quotePrefix="0" xfId="0"/>
    <xf numFmtId="0" fontId="5" fillId="23" borderId="0" pivotButton="0" quotePrefix="0" xfId="0"/>
    <xf numFmtId="0" fontId="5" fillId="23" borderId="0" applyAlignment="1" pivotButton="0" quotePrefix="0" xfId="0">
      <alignment horizontal="center"/>
    </xf>
    <xf numFmtId="0" fontId="5" fillId="23" borderId="0" applyAlignment="1" pivotButton="0" quotePrefix="0" xfId="0">
      <alignment horizontal="center" vertical="center"/>
    </xf>
    <xf numFmtId="0" fontId="0" fillId="24" borderId="0" pivotButton="0" quotePrefix="0" xfId="0"/>
    <xf numFmtId="0" fontId="23" fillId="24" borderId="0" pivotButton="0" quotePrefix="0" xfId="0"/>
    <xf numFmtId="0" fontId="23" fillId="24" borderId="6" pivotButton="0" quotePrefix="0" xfId="0"/>
    <xf numFmtId="0" fontId="23" fillId="24" borderId="6" applyAlignment="1" pivotButton="0" quotePrefix="0" xfId="0">
      <alignment wrapText="1"/>
    </xf>
    <xf numFmtId="0" fontId="23" fillId="24" borderId="6" applyAlignment="1" pivotButton="0" quotePrefix="0" xfId="0">
      <alignment vertical="center" wrapText="1"/>
    </xf>
    <xf numFmtId="0" fontId="23" fillId="25" borderId="6" applyAlignment="1" pivotButton="0" quotePrefix="0" xfId="0">
      <alignment vertical="center" wrapText="1"/>
    </xf>
    <xf numFmtId="0" fontId="24" fillId="25" borderId="6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4" fillId="26" borderId="7" applyAlignment="1" pivotButton="0" quotePrefix="0" xfId="0">
      <alignment vertical="center" wrapText="1"/>
    </xf>
    <xf numFmtId="0" fontId="23" fillId="26" borderId="6" applyAlignment="1" pivotButton="0" quotePrefix="0" xfId="0">
      <alignment vertical="center" wrapText="1"/>
    </xf>
    <xf numFmtId="0" fontId="25" fillId="26" borderId="7" applyAlignment="1" pivotButton="0" quotePrefix="0" xfId="0">
      <alignment vertical="center" wrapText="1"/>
    </xf>
    <xf numFmtId="0" fontId="25" fillId="26" borderId="6" applyAlignment="1" pivotButton="0" quotePrefix="0" xfId="0">
      <alignment vertical="center" wrapText="1"/>
    </xf>
    <xf numFmtId="0" fontId="25" fillId="27" borderId="6" applyAlignment="1" pivotButton="0" quotePrefix="0" xfId="0">
      <alignment vertical="center" wrapText="1"/>
    </xf>
    <xf numFmtId="0" fontId="24" fillId="27" borderId="6" applyAlignment="1" pivotButton="0" quotePrefix="0" xfId="0">
      <alignment vertical="center" wrapText="1"/>
    </xf>
    <xf numFmtId="0" fontId="24" fillId="27" borderId="7" applyAlignment="1" pivotButton="0" quotePrefix="0" xfId="0">
      <alignment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164" fontId="6" fillId="0" borderId="5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5" fontId="23" fillId="26" borderId="6" applyAlignment="1" pivotButton="0" quotePrefix="0" xfId="0">
      <alignment vertical="center" wrapText="1"/>
    </xf>
    <xf numFmtId="165" fontId="0" fillId="0" borderId="0" pivotButton="0" quotePrefix="0" xfId="0"/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AssetMasterTable" displayName="AssetMasterTable" ref="A5:X112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" customWidth="1" min="4" max="4"/>
    <col width="8" customWidth="1" min="5" max="5"/>
    <col width="30" customWidth="1" min="6" max="6"/>
    <col width="42" customWidth="1" min="7" max="7"/>
    <col width="3" customWidth="1" min="8" max="8"/>
    <col width="21" customWidth="1" min="9" max="9"/>
    <col width="21" customWidth="1" min="10" max="10"/>
  </cols>
  <sheetData>
    <row r="1" ht="25" customHeight="1">
      <c r="A1" s="41" t="inlineStr">
        <is>
          <t>SHELLSTORM 2 · 美术资产中枢 v0.1</t>
        </is>
      </c>
    </row>
    <row r="2" ht="12" customHeight="1"/>
    <row r="3" ht="23" customHeight="1">
      <c r="A3" s="42" t="inlineStr">
        <is>
          <t>查重 → 归类 → 领取 AssetID → 组件制作 → 游戏内验收 → 回填哈希；本表是唯一资产登记源</t>
        </is>
      </c>
    </row>
    <row r="4">
      <c r="A4" s="43" t="n"/>
      <c r="B4" s="43" t="n"/>
      <c r="C4" s="43" t="n"/>
      <c r="D4" s="43" t="n"/>
      <c r="E4" s="43" t="n"/>
      <c r="F4" s="43" t="n"/>
      <c r="G4" s="43" t="n"/>
      <c r="H4" s="43" t="n"/>
      <c r="I4" s="43" t="n"/>
      <c r="J4" s="43" t="n"/>
    </row>
    <row r="5">
      <c r="A5" s="44" t="inlineStr">
        <is>
          <t>资产总数</t>
        </is>
      </c>
      <c r="B5" s="44" t="str"/>
      <c r="C5" s="44" t="inlineStr">
        <is>
          <t>已完成/已接入</t>
        </is>
      </c>
      <c r="D5" s="44" t="str"/>
      <c r="E5" s="44" t="inlineStr">
        <is>
          <t>待制作/程序占位</t>
        </is>
      </c>
      <c r="F5" s="44" t="str"/>
      <c r="G5" s="44" t="inlineStr">
        <is>
          <t>重复警报</t>
        </is>
      </c>
      <c r="H5" s="44" t="str"/>
      <c r="I5" s="44" t="inlineStr">
        <is>
          <t>当前3D原型</t>
        </is>
      </c>
      <c r="J5" s="44" t="inlineStr">
        <is>
          <t>基地 + 四主题副本 + 独立靶场</t>
        </is>
      </c>
    </row>
    <row r="6" ht="42" customHeight="1">
      <c r="A6" s="45">
        <f>COUNTA('资产主表'!$A$6:$A$205)</f>
        <v/>
      </c>
      <c r="B6" s="43" t="n"/>
      <c r="C6" s="45">
        <f>COUNTIF('资产主表'!$K$6:$K$205,"已完成")+COUNTIF('资产主表'!$K$6:$K$205,"原型已接入")</f>
        <v/>
      </c>
      <c r="D6" s="43" t="n"/>
      <c r="E6" s="45">
        <f>COUNTIF('资产主表'!$K$6:$K$205,"待制作")+COUNTIF('资产主表'!$K$6:$K$205,"程序占位")</f>
        <v/>
      </c>
      <c r="F6" s="43" t="n"/>
      <c r="G6" s="45">
        <f>COUNTIF('资产主表'!$S$6:$S$205,"重复")</f>
        <v/>
      </c>
      <c r="H6" s="43" t="n"/>
      <c r="I6" s="46" t="inlineStr">
        <is>
          <t>v0.1 3D塔楼：5m组件网格 / 30×25m战斗房 / 9m层高</t>
        </is>
      </c>
    </row>
    <row r="7">
      <c r="A7" s="43" t="n"/>
      <c r="B7" s="43" t="n"/>
      <c r="C7" s="43" t="n"/>
      <c r="D7" s="43" t="n"/>
      <c r="E7" s="43" t="n"/>
      <c r="F7" s="43" t="n"/>
      <c r="G7" s="43" t="n"/>
      <c r="H7" s="43" t="n"/>
      <c r="I7" s="43" t="n"/>
      <c r="J7" s="43" t="n"/>
    </row>
    <row r="8">
      <c r="A8" s="43" t="n"/>
      <c r="B8" s="43" t="n"/>
      <c r="C8" s="43" t="n"/>
      <c r="D8" s="43" t="n"/>
      <c r="E8" s="43" t="n"/>
      <c r="F8" s="43" t="n"/>
      <c r="G8" s="43" t="n"/>
      <c r="H8" s="43" t="n"/>
      <c r="I8" s="43" t="n"/>
      <c r="J8" s="43" t="n"/>
    </row>
    <row r="9" ht="32" customHeight="1">
      <c r="A9" s="47" t="inlineStr">
        <is>
          <t>大类</t>
        </is>
      </c>
      <c r="B9" s="48" t="inlineStr">
        <is>
          <t>资产数</t>
        </is>
      </c>
      <c r="C9" s="49" t="inlineStr">
        <is>
          <t>完成/接入</t>
        </is>
      </c>
      <c r="D9" s="43" t="n"/>
      <c r="E9" s="124" t="inlineStr">
        <is>
          <t>新增资产强制门禁</t>
        </is>
      </c>
      <c r="F9" s="125" t="n"/>
      <c r="G9" s="125" t="n"/>
      <c r="H9" s="125" t="n"/>
      <c r="I9" s="125" t="n"/>
      <c r="J9" s="126" t="n"/>
    </row>
    <row r="10">
      <c r="A10" s="50" t="inlineStr">
        <is>
          <t>角色</t>
        </is>
      </c>
      <c r="B10" s="50">
        <f>COUNTIF('资产主表'!$C$6:$C$205,A10)</f>
        <v/>
      </c>
      <c r="C10" s="50">
        <f>COUNTIFS('资产主表'!$C$6:$C$205,A10,'资产主表'!$K$6:$K$205,"已完成")+COUNTIFS('资产主表'!$C$6:$C$205,A10,'资产主表'!$K$6:$K$205,"原型已接入")</f>
        <v/>
      </c>
      <c r="D10" s="43" t="n"/>
      <c r="E10" s="51" t="inlineStr">
        <is>
          <t>1</t>
        </is>
      </c>
      <c r="F10" s="50" t="inlineStr">
        <is>
          <t>查逻辑 ID / 中文名 / 别名 / 文件哈希</t>
        </is>
      </c>
      <c r="G10" s="50" t="inlineStr">
        <is>
          <t>有同义资产则复用或建立变体父子关系</t>
        </is>
      </c>
      <c r="H10" s="43" t="n"/>
      <c r="I10" s="43" t="n"/>
      <c r="J10" s="43" t="n"/>
    </row>
    <row r="11">
      <c r="A11" s="52" t="inlineStr">
        <is>
          <t>敌人</t>
        </is>
      </c>
      <c r="B11" s="52">
        <f>COUNTIF('资产主表'!$C$6:$C$205,A11)</f>
        <v/>
      </c>
      <c r="C11" s="52">
        <f>COUNTIFS('资产主表'!$C$6:$C$205,A11,'资产主表'!$K$6:$K$205,"已完成")+COUNTIFS('资产主表'!$C$6:$C$205,A11,'资产主表'!$K$6:$K$205,"原型已接入")</f>
        <v/>
      </c>
      <c r="D11" s="43" t="n"/>
      <c r="E11" s="51" t="inlineStr">
        <is>
          <t>2</t>
        </is>
      </c>
      <c r="F11" s="52" t="inlineStr">
        <is>
          <t>在分类码表选择唯一大类与子类</t>
        </is>
      </c>
      <c r="G11" s="52" t="inlineStr">
        <is>
          <t>禁止同一资产跨目录复制</t>
        </is>
      </c>
      <c r="H11" s="43" t="n"/>
      <c r="I11" s="43" t="n"/>
      <c r="J11" s="43" t="n"/>
    </row>
    <row r="12">
      <c r="A12" s="52" t="inlineStr">
        <is>
          <t>枪械</t>
        </is>
      </c>
      <c r="B12" s="52">
        <f>COUNTIF('资产主表'!$C$6:$C$205,A12)</f>
        <v/>
      </c>
      <c r="C12" s="52">
        <f>COUNTIFS('资产主表'!$C$6:$C$205,A12,'资产主表'!$K$6:$K$205,"已完成")+COUNTIFS('资产主表'!$C$6:$C$205,A12,'资产主表'!$K$6:$K$205,"原型已接入")</f>
        <v/>
      </c>
      <c r="D12" s="43" t="n"/>
      <c r="E12" s="51" t="inlineStr">
        <is>
          <t>3</t>
        </is>
      </c>
      <c r="F12" s="52" t="inlineStr">
        <is>
          <t>领取稳定 AssetID 与小写 snake_case 文件名</t>
        </is>
      </c>
      <c r="G12" s="52" t="inlineStr">
        <is>
          <t>版本只加 _v002，不改 AssetID</t>
        </is>
      </c>
      <c r="H12" s="43" t="n"/>
      <c r="I12" s="43" t="n"/>
      <c r="J12" s="43" t="n"/>
    </row>
    <row r="13">
      <c r="A13" s="52" t="inlineStr">
        <is>
          <t>道具</t>
        </is>
      </c>
      <c r="B13" s="52">
        <f>COUNTIF('资产主表'!$C$6:$C$205,A13)</f>
        <v/>
      </c>
      <c r="C13" s="52">
        <f>COUNTIFS('资产主表'!$C$6:$C$205,A13,'资产主表'!$K$6:$K$205,"已完成")+COUNTIFS('资产主表'!$C$6:$C$205,A13,'资产主表'!$K$6:$K$205,"原型已接入")</f>
        <v/>
      </c>
      <c r="D13" s="43" t="n"/>
      <c r="E13" s="51" t="inlineStr">
        <is>
          <t>4</t>
        </is>
      </c>
      <c r="F13" s="52" t="inlineStr">
        <is>
          <t>3D房间/家具/枪械/怪物/灯具先查共用根与尺寸类</t>
        </is>
      </c>
      <c r="G13" s="52" t="inlineStr">
        <is>
          <t>主题差异进入资源或配置，禁止复制关卡局部目录</t>
        </is>
      </c>
      <c r="H13" s="43" t="n"/>
      <c r="I13" s="43" t="n"/>
      <c r="J13" s="43" t="n"/>
    </row>
    <row r="14">
      <c r="A14" s="52" t="inlineStr">
        <is>
          <t>场景</t>
        </is>
      </c>
      <c r="B14" s="52">
        <f>COUNTIF('资产主表'!$C$6:$C$205,A14)</f>
        <v/>
      </c>
      <c r="C14" s="52">
        <f>COUNTIFS('资产主表'!$C$6:$C$205,A14,'资产主表'!$K$6:$K$205,"已完成")+COUNTIFS('资产主表'!$C$6:$C$205,A14,'资产主表'!$K$6:$K$205,"原型已接入")</f>
        <v/>
      </c>
      <c r="D14" s="43" t="n"/>
      <c r="E14" s="51" t="inlineStr">
        <is>
          <t>5</t>
        </is>
      </c>
      <c r="F14" s="52" t="inlineStr">
        <is>
          <t>游戏内表现、状态机、玩法逻辑、性能四项验收</t>
        </is>
      </c>
      <c r="G14" s="52" t="inlineStr">
        <is>
          <t>通过后填写路径、尺寸、哈希、日期</t>
        </is>
      </c>
      <c r="H14" s="43" t="n"/>
      <c r="I14" s="43" t="n"/>
      <c r="J14" s="43" t="n"/>
    </row>
    <row r="15">
      <c r="A15" s="52" t="inlineStr">
        <is>
          <t>场景道具</t>
        </is>
      </c>
      <c r="B15" s="52">
        <f>COUNTIF('资产主表'!$C$6:$C$205,A15)</f>
        <v/>
      </c>
      <c r="C15" s="52">
        <f>COUNTIFS('资产主表'!$C$6:$C$205,A15,'资产主表'!$K$6:$K$205,"已完成")+COUNTIFS('资产主表'!$C$6:$C$205,A15,'资产主表'!$K$6:$K$205,"原型已接入")</f>
        <v/>
      </c>
      <c r="D15" s="43" t="n"/>
      <c r="E15" s="43" t="n"/>
      <c r="F15" s="43" t="n"/>
      <c r="G15" s="43" t="n"/>
      <c r="H15" s="43" t="n"/>
      <c r="I15" s="43" t="n"/>
      <c r="J15" s="43" t="n"/>
    </row>
    <row r="16">
      <c r="A16" s="52" t="inlineStr">
        <is>
          <t>UI</t>
        </is>
      </c>
      <c r="B16" s="52">
        <f>COUNTIF('资产主表'!$C$6:$C$205,A16)</f>
        <v/>
      </c>
      <c r="C16" s="52">
        <f>COUNTIFS('资产主表'!$C$6:$C$205,A16,'资产主表'!$K$6:$K$205,"已完成")+COUNTIFS('资产主表'!$C$6:$C$205,A16,'资产主表'!$K$6:$K$205,"原型已接入")</f>
        <v/>
      </c>
      <c r="D16" s="43" t="n"/>
      <c r="E16" s="43" t="n"/>
      <c r="F16" s="43" t="n"/>
      <c r="G16" s="43" t="n"/>
      <c r="H16" s="43" t="n"/>
      <c r="I16" s="43" t="n"/>
      <c r="J16" s="43" t="n"/>
    </row>
    <row r="17">
      <c r="A17" s="52" t="inlineStr">
        <is>
          <t>特效</t>
        </is>
      </c>
      <c r="B17" s="52">
        <f>COUNTIF('资产主表'!$C$6:$C$205,A17)</f>
        <v/>
      </c>
      <c r="C17" s="52">
        <f>COUNTIFS('资产主表'!$C$6:$C$205,A17,'资产主表'!$K$6:$K$205,"已完成")+COUNTIFS('资产主表'!$C$6:$C$205,A17,'资产主表'!$K$6:$K$205,"原型已接入")</f>
        <v/>
      </c>
      <c r="D17" s="43" t="n"/>
      <c r="E17" s="43" t="n"/>
      <c r="F17" s="43" t="n"/>
      <c r="G17" s="43" t="n"/>
      <c r="H17" s="43" t="n"/>
      <c r="I17" s="43" t="n"/>
      <c r="J17" s="43" t="n"/>
    </row>
    <row r="18">
      <c r="A18" s="52" t="inlineStr">
        <is>
          <t>音频</t>
        </is>
      </c>
      <c r="B18" s="52">
        <f>COUNTIF('资产主表'!$C$6:$C$205,A18)</f>
        <v/>
      </c>
      <c r="C18" s="52">
        <f>COUNTIFS('资产主表'!$C$6:$C$205,A18,'资产主表'!$K$6:$K$205,"已完成")+COUNTIFS('资产主表'!$C$6:$C$205,A18,'资产主表'!$K$6:$K$205,"原型已接入")</f>
        <v/>
      </c>
      <c r="D18" s="43" t="n"/>
      <c r="E18" s="43" t="n"/>
      <c r="F18" s="43" t="n"/>
      <c r="G18" s="43" t="n"/>
      <c r="H18" s="43" t="n"/>
      <c r="I18" s="43" t="n"/>
      <c r="J18" s="43" t="n"/>
    </row>
    <row r="19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</row>
    <row r="20">
      <c r="A20" s="43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</row>
  </sheetData>
  <mergeCells count="4">
    <mergeCell ref="E9:J9"/>
    <mergeCell ref="A3:J3"/>
    <mergeCell ref="A1:J2"/>
    <mergeCell ref="I6:J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0" customWidth="1" min="3" max="3"/>
    <col width="18" customWidth="1" min="4" max="4"/>
    <col width="22" customWidth="1" min="5" max="5"/>
    <col width="12" customWidth="1" min="6" max="6"/>
    <col width="25" customWidth="1" min="7" max="7"/>
    <col width="19" customWidth="1" min="8" max="8"/>
    <col width="15" customWidth="1" min="9" max="9"/>
    <col width="18" customWidth="1" min="10" max="10"/>
    <col width="12" customWidth="1" min="11" max="11"/>
    <col width="8" customWidth="1" min="12" max="12"/>
    <col width="9" customWidth="1" min="13" max="13"/>
    <col width="16" customWidth="1" min="14" max="14"/>
    <col width="36" customWidth="1" min="15" max="15"/>
    <col width="34" customWidth="1" min="16" max="16"/>
    <col width="26" customWidth="1" min="17" max="17"/>
    <col width="42" customWidth="1" min="18" max="18"/>
    <col width="12" customWidth="1" min="19" max="19"/>
    <col width="30" customWidth="1" min="20" max="20"/>
    <col width="12" customWidth="1" min="21" max="21"/>
    <col width="13" customWidth="1" min="22" max="22"/>
    <col width="16" customWidth="1" min="23" max="23"/>
    <col width="52" customWidth="1" min="24" max="24"/>
  </cols>
  <sheetData>
    <row r="1" ht="25" customHeight="1">
      <c r="A1" s="3" t="inlineStr">
        <is>
          <t>资产主表 · 唯一登记源</t>
        </is>
      </c>
    </row>
    <row r="2" ht="12" customHeight="1"/>
    <row r="3" ht="23" customHeight="1">
      <c r="A3" s="6" t="inlineStr">
        <is>
          <t>查重键由公式生成；S 列出现“重复”时禁止制作，先合并或建立变体父子关系</t>
        </is>
      </c>
    </row>
    <row r="5" ht="32" customHeight="1">
      <c r="A5" s="28" t="inlineStr">
        <is>
          <t>AssetID</t>
        </is>
      </c>
      <c r="B5" s="29" t="inlineStr">
        <is>
          <t>中文名</t>
        </is>
      </c>
      <c r="C5" s="29" t="inlineStr">
        <is>
          <t>大类</t>
        </is>
      </c>
      <c r="D5" s="29" t="inlineStr">
        <is>
          <t>子类</t>
        </is>
      </c>
      <c r="E5" s="29" t="inlineStr">
        <is>
          <t>逻辑ID/源键</t>
        </is>
      </c>
      <c r="F5" s="29" t="inlineStr">
        <is>
          <t>组件槽</t>
        </is>
      </c>
      <c r="G5" s="29" t="inlineStr">
        <is>
          <t>变体父ID</t>
        </is>
      </c>
      <c r="H5" s="29" t="inlineStr">
        <is>
          <t>视角</t>
        </is>
      </c>
      <c r="I5" s="29" t="inlineStr">
        <is>
          <t>状态/动画</t>
        </is>
      </c>
      <c r="J5" s="29" t="inlineStr">
        <is>
          <t>复用范围</t>
        </is>
      </c>
      <c r="K5" s="29" t="inlineStr">
        <is>
          <t>制作状态</t>
        </is>
      </c>
      <c r="L5" s="29" t="inlineStr">
        <is>
          <t>优先级</t>
        </is>
      </c>
      <c r="M5" s="29" t="inlineStr">
        <is>
          <t>版本</t>
        </is>
      </c>
      <c r="N5" s="29" t="inlineStr">
        <is>
          <t>规格(px)</t>
        </is>
      </c>
      <c r="O5" s="29" t="inlineStr">
        <is>
          <t>文件路径</t>
        </is>
      </c>
      <c r="P5" s="29" t="inlineStr">
        <is>
          <t>源码/策划依据</t>
        </is>
      </c>
      <c r="Q5" s="29" t="inlineStr">
        <is>
          <t>关键词/别名</t>
        </is>
      </c>
      <c r="R5" s="29" t="inlineStr">
        <is>
          <t>查重键</t>
        </is>
      </c>
      <c r="S5" s="29" t="inlineStr">
        <is>
          <t>查重结果</t>
        </is>
      </c>
      <c r="T5" s="29" t="inlineStr">
        <is>
          <t>SHA-256</t>
        </is>
      </c>
      <c r="U5" s="29" t="inlineStr">
        <is>
          <t>负责人</t>
        </is>
      </c>
      <c r="V5" s="29" t="inlineStr">
        <is>
          <t>更新时间</t>
        </is>
      </c>
      <c r="W5" s="29" t="inlineStr">
        <is>
          <t>来源/许可</t>
        </is>
      </c>
      <c r="X5" s="30" t="inlineStr">
        <is>
          <t>备注</t>
        </is>
      </c>
    </row>
    <row r="6">
      <c r="A6" s="36" t="inlineStr">
        <is>
          <t>CHR-PLY-CAPSULE01</t>
        </is>
      </c>
      <c r="B6" s="36" t="inlineStr">
        <is>
          <t>胶囊防护体玩家</t>
        </is>
      </c>
      <c r="C6" s="36" t="inlineStr">
        <is>
          <t>角色</t>
        </is>
      </c>
      <c r="D6" s="36" t="inlineStr">
        <is>
          <t>player</t>
        </is>
      </c>
      <c r="E6" s="36" t="inlineStr">
        <is>
          <t>player_capsule01</t>
        </is>
      </c>
      <c r="F6" s="36" t="inlineStr">
        <is>
          <t>root</t>
        </is>
      </c>
      <c r="G6" s="36" t="str"/>
      <c r="H6" s="36" t="inlineStr">
        <is>
          <t>俯视3D</t>
        </is>
      </c>
      <c r="I6" s="36" t="inlineStr">
        <is>
          <t>default</t>
        </is>
      </c>
      <c r="J6" s="36" t="inlineStr">
        <is>
          <t>正式3D玩家</t>
        </is>
      </c>
      <c r="K6" s="36" t="inlineStr">
        <is>
          <t>原型已接入</t>
        </is>
      </c>
      <c r="L6" s="36" t="inlineStr">
        <is>
          <t>P0</t>
        </is>
      </c>
      <c r="M6" s="36" t="inlineStr">
        <is>
          <t>v006</t>
        </is>
      </c>
      <c r="N6" s="36" t="inlineStr">
        <is>
          <t>稳定逻辑身份；当前表现约1.5m高</t>
        </is>
      </c>
      <c r="O6" s="36" t="inlineStr">
        <is>
          <t>assets/art/characters/player/chr_player_capsule01_3d/variants/bunny01/chr_player_capsule01_bunny01_root_top3d_v006.tscn</t>
        </is>
      </c>
      <c r="P6" s="36" t="inlineStr">
        <is>
          <t>src/player3d/Player3D.gd; src/player3d/PlayerAvatar3D.gd</t>
        </is>
      </c>
      <c r="Q6" s="36" t="inlineStr">
        <is>
          <t>玩家; 胶囊体; 防护服; 主角</t>
        </is>
      </c>
      <c r="R6" s="36">
        <f>LOWER(TRIM(C6)&amp;"|"&amp;TRIM(D6)&amp;"|"&amp;TRIM(E6)&amp;"|"&amp;TRIM(F6)&amp;"|"&amp;TRIM(H6)&amp;"|"&amp;TRIM(I6))</f>
        <v/>
      </c>
      <c r="S6" s="36">
        <f>IF(A6="","",IF(COUNTIF($R$6:$R$162,R6)&gt;1,"重复","唯一"))</f>
        <v/>
      </c>
      <c r="T6" s="36" t="str"/>
      <c r="U6" s="36" t="inlineStr">
        <is>
          <t>待分配</t>
        </is>
      </c>
      <c r="V6" s="127" t="n">
        <v>46243</v>
      </c>
      <c r="W6" s="36" t="inlineStr">
        <is>
          <t>稳定玩法根 AssetID</t>
        </is>
      </c>
      <c r="X6" s="36" t="inlineStr">
        <is>
          <t>2026-08-09：旧2D胶囊表现已退役并删除；正式表现只使用 CHR-PLY-CAPSULE01-3D-BUNNY01 v006。</t>
        </is>
      </c>
    </row>
    <row r="7">
      <c r="A7" s="37" t="inlineStr">
        <is>
          <t>CHR-PLY-CAPSULE01-HEAD-SIDE</t>
        </is>
      </c>
      <c r="B7" s="37" t="inlineStr">
        <is>
          <t>胶囊头壳</t>
        </is>
      </c>
      <c r="C7" s="37" t="inlineStr">
        <is>
          <t>角色</t>
        </is>
      </c>
      <c r="D7" s="37" t="inlineStr">
        <is>
          <t>player_component</t>
        </is>
      </c>
      <c r="E7" s="37" t="inlineStr">
        <is>
          <t>player_capsule01</t>
        </is>
      </c>
      <c r="F7" s="37" t="inlineStr">
        <is>
          <t>head</t>
        </is>
      </c>
      <c r="G7" s="37" t="inlineStr">
        <is>
          <t>CHR-PLY-CAPSULE01</t>
        </is>
      </c>
      <c r="H7" s="37" t="inlineStr">
        <is>
          <t>侧面朝右（可水平翻转）</t>
        </is>
      </c>
      <c r="I7" s="37" t="inlineStr">
        <is>
          <t>deprecated</t>
        </is>
      </c>
      <c r="J7" s="37" t="inlineStr">
        <is>
          <t>单资产</t>
        </is>
      </c>
      <c r="K7" s="37" t="inlineStr">
        <is>
          <t>弃用</t>
        </is>
      </c>
      <c r="L7" s="37" t="inlineStr">
        <is>
          <t>P0</t>
        </is>
      </c>
      <c r="M7" s="37" t="inlineStr">
        <is>
          <t>v001</t>
        </is>
      </c>
      <c r="N7" s="37" t="inlineStr">
        <is>
          <t>28×24 px</t>
        </is>
      </c>
      <c r="O7" s="37" t="n"/>
      <c r="P7" s="37" t="n"/>
      <c r="Q7" s="37" t="inlineStr">
        <is>
          <t>头; 头盔; 传感器</t>
        </is>
      </c>
      <c r="R7" s="37">
        <f>LOWER(TRIM(C7)&amp;"|"&amp;TRIM(D7)&amp;"|"&amp;TRIM(E7)&amp;"|"&amp;TRIM(F7)&amp;"|"&amp;TRIM(H7)&amp;"|"&amp;TRIM(I7))</f>
        <v/>
      </c>
      <c r="S7" s="37">
        <f>IF(A7="","",IF(COUNTIF($R$6:$R$162,R7)&gt;1,"重复","唯一"))</f>
        <v/>
      </c>
      <c r="T7" s="37" t="inlineStr">
        <is>
          <t>6035db0c8d1824ee0d0f12c0bcf7d5ebced8e37666541b7c31000ff7bad2f905</t>
        </is>
      </c>
      <c r="U7" s="37" t="inlineStr">
        <is>
          <t>待分配</t>
        </is>
      </c>
      <c r="V7" s="128" t="n">
        <v>46243</v>
      </c>
      <c r="W7" s="37" t="inlineStr">
        <is>
          <t>原创/待确认</t>
        </is>
      </c>
      <c r="X7" s="37" t="inlineStr">
        <is>
          <t>2026-08-09：旧2D玩家像素表现文件已从仓库删除；仅保留AssetID/哈希作为历史记录，替代项为 CHR-PLY-CAPSULE01-3D-BUNNY01。</t>
        </is>
      </c>
    </row>
    <row r="8">
      <c r="A8" s="37" t="inlineStr">
        <is>
          <t>CHR-PLY-CAPSULE01-BODY-SIDE</t>
        </is>
      </c>
      <c r="B8" s="37" t="inlineStr">
        <is>
          <t>胶囊防护服躯干</t>
        </is>
      </c>
      <c r="C8" s="37" t="inlineStr">
        <is>
          <t>角色</t>
        </is>
      </c>
      <c r="D8" s="37" t="inlineStr">
        <is>
          <t>player_component</t>
        </is>
      </c>
      <c r="E8" s="37" t="inlineStr">
        <is>
          <t>player_capsule01</t>
        </is>
      </c>
      <c r="F8" s="37" t="inlineStr">
        <is>
          <t>body</t>
        </is>
      </c>
      <c r="G8" s="37" t="inlineStr">
        <is>
          <t>CHR-PLY-CAPSULE01</t>
        </is>
      </c>
      <c r="H8" s="37" t="inlineStr">
        <is>
          <t>侧面朝右（可水平翻转）</t>
        </is>
      </c>
      <c r="I8" s="37" t="inlineStr">
        <is>
          <t>deprecated</t>
        </is>
      </c>
      <c r="J8" s="37" t="inlineStr">
        <is>
          <t>单资产</t>
        </is>
      </c>
      <c r="K8" s="37" t="inlineStr">
        <is>
          <t>弃用</t>
        </is>
      </c>
      <c r="L8" s="37" t="inlineStr">
        <is>
          <t>P0</t>
        </is>
      </c>
      <c r="M8" s="37" t="inlineStr">
        <is>
          <t>v001</t>
        </is>
      </c>
      <c r="N8" s="37" t="inlineStr">
        <is>
          <t>32×35 px</t>
        </is>
      </c>
      <c r="O8" s="37" t="n"/>
      <c r="P8" s="37" t="n"/>
      <c r="Q8" s="37" t="inlineStr">
        <is>
          <t>身子; 躯干; 防护服</t>
        </is>
      </c>
      <c r="R8" s="37">
        <f>LOWER(TRIM(C8)&amp;"|"&amp;TRIM(D8)&amp;"|"&amp;TRIM(E8)&amp;"|"&amp;TRIM(F8)&amp;"|"&amp;TRIM(H8)&amp;"|"&amp;TRIM(I8))</f>
        <v/>
      </c>
      <c r="S8" s="37">
        <f>IF(A8="","",IF(COUNTIF($R$6:$R$162,R8)&gt;1,"重复","唯一"))</f>
        <v/>
      </c>
      <c r="T8" s="37" t="inlineStr">
        <is>
          <t>653190cbcd99aaa10735842e4ee694c61e3c04b2d6aee7acfc3b03e0c7a65d6e</t>
        </is>
      </c>
      <c r="U8" s="37" t="inlineStr">
        <is>
          <t>待分配</t>
        </is>
      </c>
      <c r="V8" s="128" t="n">
        <v>46243</v>
      </c>
      <c r="W8" s="37" t="inlineStr">
        <is>
          <t>原创/待确认</t>
        </is>
      </c>
      <c r="X8" s="37" t="inlineStr">
        <is>
          <t>2026-08-09：旧2D玩家像素表现文件已从仓库删除；仅保留AssetID/哈希作为历史记录，替代项为 CHR-PLY-CAPSULE01-3D-BUNNY01。</t>
        </is>
      </c>
    </row>
    <row r="9">
      <c r="A9" s="37" t="inlineStr">
        <is>
          <t>CHR-PLY-CAPSULE01-HAND-L-SIDE</t>
        </is>
      </c>
      <c r="B9" s="37" t="inlineStr">
        <is>
          <t>左悬浮手（停用）</t>
        </is>
      </c>
      <c r="C9" s="37" t="inlineStr">
        <is>
          <t>角色</t>
        </is>
      </c>
      <c r="D9" s="37" t="inlineStr">
        <is>
          <t>player_component</t>
        </is>
      </c>
      <c r="E9" s="37" t="inlineStr">
        <is>
          <t>player_capsule01</t>
        </is>
      </c>
      <c r="F9" s="37" t="inlineStr">
        <is>
          <t>hand_l_source</t>
        </is>
      </c>
      <c r="G9" s="37" t="inlineStr">
        <is>
          <t>CHR-PLY-CAPSULE01</t>
        </is>
      </c>
      <c r="H9" s="37" t="inlineStr">
        <is>
          <t>侧面朝右（可水平翻转）</t>
        </is>
      </c>
      <c r="I9" s="37" t="inlineStr">
        <is>
          <t>deprecated</t>
        </is>
      </c>
      <c r="J9" s="37" t="inlineStr">
        <is>
          <t>单资产</t>
        </is>
      </c>
      <c r="K9" s="37" t="inlineStr">
        <is>
          <t>弃用</t>
        </is>
      </c>
      <c r="L9" s="37" t="inlineStr">
        <is>
          <t>P0</t>
        </is>
      </c>
      <c r="M9" s="37" t="inlineStr">
        <is>
          <t>v001</t>
        </is>
      </c>
      <c r="N9" s="37" t="inlineStr">
        <is>
          <t>22×21 px</t>
        </is>
      </c>
      <c r="O9" s="37" t="n"/>
      <c r="P9" s="37" t="n"/>
      <c r="Q9" s="37" t="inlineStr">
        <is>
          <t>左手; 辅助手</t>
        </is>
      </c>
      <c r="R9" s="37">
        <f>LOWER(TRIM(C9)&amp;"|"&amp;TRIM(D9)&amp;"|"&amp;TRIM(E9)&amp;"|"&amp;TRIM(F9)&amp;"|"&amp;TRIM(H9)&amp;"|"&amp;TRIM(I9))</f>
        <v/>
      </c>
      <c r="S9" s="37">
        <f>IF(A9="","",IF(COUNTIF($R$6:$R$162,R9)&gt;1,"重复","唯一"))</f>
        <v/>
      </c>
      <c r="T9" s="37" t="inlineStr">
        <is>
          <t>6270855f57a22aa2c1bc156b4fb85c98d8cc1b3978cd19082a0874e3d901c7c9</t>
        </is>
      </c>
      <c r="U9" s="37" t="inlineStr">
        <is>
          <t>待分配</t>
        </is>
      </c>
      <c r="V9" s="128" t="n">
        <v>46243</v>
      </c>
      <c r="W9" s="37" t="inlineStr">
        <is>
          <t>原创/待确认</t>
        </is>
      </c>
      <c r="X9" s="37" t="inlineStr">
        <is>
          <t>2026-08-09：旧2D玩家像素表现文件已从仓库删除；仅保留AssetID/哈希作为历史记录，替代项为 CHR-PLY-CAPSULE01-3D-BUNNY01。</t>
        </is>
      </c>
    </row>
    <row r="10">
      <c r="A10" s="37" t="inlineStr">
        <is>
          <t>CHR-PLY-CAPSULE01-HAND-R-SIDE</t>
        </is>
      </c>
      <c r="B10" s="37" t="inlineStr">
        <is>
          <t>唯一镜像握持手</t>
        </is>
      </c>
      <c r="C10" s="37" t="inlineStr">
        <is>
          <t>角色</t>
        </is>
      </c>
      <c r="D10" s="37" t="inlineStr">
        <is>
          <t>player_component</t>
        </is>
      </c>
      <c r="E10" s="37" t="inlineStr">
        <is>
          <t>player_capsule01</t>
        </is>
      </c>
      <c r="F10" s="37" t="inlineStr">
        <is>
          <t>hand</t>
        </is>
      </c>
      <c r="G10" s="37" t="inlineStr">
        <is>
          <t>CHR-PLY-CAPSULE01</t>
        </is>
      </c>
      <c r="H10" s="37" t="inlineStr">
        <is>
          <t>侧面朝右（可水平翻转）</t>
        </is>
      </c>
      <c r="I10" s="37" t="inlineStr">
        <is>
          <t>deprecated</t>
        </is>
      </c>
      <c r="J10" s="37" t="inlineStr">
        <is>
          <t>单资产</t>
        </is>
      </c>
      <c r="K10" s="37" t="inlineStr">
        <is>
          <t>弃用</t>
        </is>
      </c>
      <c r="L10" s="37" t="inlineStr">
        <is>
          <t>P0</t>
        </is>
      </c>
      <c r="M10" s="37" t="inlineStr">
        <is>
          <t>v001</t>
        </is>
      </c>
      <c r="N10" s="37" t="inlineStr">
        <is>
          <t>22×17 px</t>
        </is>
      </c>
      <c r="O10" s="37" t="n"/>
      <c r="P10" s="37" t="n"/>
      <c r="Q10" s="37" t="inlineStr">
        <is>
          <t>右手; 主手; 枪手; 镜像握持</t>
        </is>
      </c>
      <c r="R10" s="37">
        <f>LOWER(TRIM(C10)&amp;"|"&amp;TRIM(D10)&amp;"|"&amp;TRIM(E10)&amp;"|"&amp;TRIM(F10)&amp;"|"&amp;TRIM(H10)&amp;"|"&amp;TRIM(I10))</f>
        <v/>
      </c>
      <c r="S10" s="37">
        <f>IF(A10="","",IF(COUNTIF($R$6:$R$162,R10)&gt;1,"重复","唯一"))</f>
        <v/>
      </c>
      <c r="T10" s="37" t="inlineStr">
        <is>
          <t>69c2529cbd277ed337ce3b0a02a1994a2b470c99e545fad297e314a60485cfdf</t>
        </is>
      </c>
      <c r="U10" s="37" t="inlineStr">
        <is>
          <t>待分配</t>
        </is>
      </c>
      <c r="V10" s="128" t="n">
        <v>46243</v>
      </c>
      <c r="W10" s="37" t="inlineStr">
        <is>
          <t>原创/待确认</t>
        </is>
      </c>
      <c r="X10" s="37" t="inlineStr">
        <is>
          <t>2026-08-09：旧2D玩家像素表现文件已从仓库删除；仅保留AssetID/哈希作为历史记录，替代项为 CHR-PLY-CAPSULE01-3D-BUNNY01。</t>
        </is>
      </c>
    </row>
    <row r="11">
      <c r="A11" s="37" t="inlineStr">
        <is>
          <t>CHR-PLY-CAPSULE01-SCARF-SIDE</t>
        </is>
      </c>
      <c r="B11" s="37" t="inlineStr">
        <is>
          <t>红色安全围巾</t>
        </is>
      </c>
      <c r="C11" s="37" t="inlineStr">
        <is>
          <t>角色</t>
        </is>
      </c>
      <c r="D11" s="37" t="inlineStr">
        <is>
          <t>player_accessory</t>
        </is>
      </c>
      <c r="E11" s="37" t="inlineStr">
        <is>
          <t>player_capsule01</t>
        </is>
      </c>
      <c r="F11" s="37" t="inlineStr">
        <is>
          <t>scarf</t>
        </is>
      </c>
      <c r="G11" s="37" t="inlineStr">
        <is>
          <t>CHR-PLY-CAPSULE01</t>
        </is>
      </c>
      <c r="H11" s="37" t="inlineStr">
        <is>
          <t>侧面朝右（可水平翻转）</t>
        </is>
      </c>
      <c r="I11" s="37" t="inlineStr">
        <is>
          <t>deprecated</t>
        </is>
      </c>
      <c r="J11" s="37" t="inlineStr">
        <is>
          <t>单资产</t>
        </is>
      </c>
      <c r="K11" s="37" t="inlineStr">
        <is>
          <t>弃用</t>
        </is>
      </c>
      <c r="L11" s="37" t="inlineStr">
        <is>
          <t>P0</t>
        </is>
      </c>
      <c r="M11" s="37" t="inlineStr">
        <is>
          <t>v001</t>
        </is>
      </c>
      <c r="N11" s="37" t="inlineStr">
        <is>
          <t>26×14 px</t>
        </is>
      </c>
      <c r="O11" s="37" t="n"/>
      <c r="P11" s="37" t="n"/>
      <c r="Q11" s="37" t="inlineStr">
        <is>
          <t>红围巾; 牛仔围巾; 识别色</t>
        </is>
      </c>
      <c r="R11" s="37">
        <f>LOWER(TRIM(C11)&amp;"|"&amp;TRIM(D11)&amp;"|"&amp;TRIM(E11)&amp;"|"&amp;TRIM(F11)&amp;"|"&amp;TRIM(H11)&amp;"|"&amp;TRIM(I11))</f>
        <v/>
      </c>
      <c r="S11" s="37">
        <f>IF(A11="","",IF(COUNTIF($R$6:$R$162,R11)&gt;1,"重复","唯一"))</f>
        <v/>
      </c>
      <c r="T11" s="37" t="inlineStr">
        <is>
          <t>d3a7b1bb5e2ac0ef0c2129854ce59e91d7503a88e478326e1bd3b918a74fc079</t>
        </is>
      </c>
      <c r="U11" s="37" t="inlineStr">
        <is>
          <t>待分配</t>
        </is>
      </c>
      <c r="V11" s="128" t="n">
        <v>46243</v>
      </c>
      <c r="W11" s="37" t="inlineStr">
        <is>
          <t>原创/待确认</t>
        </is>
      </c>
      <c r="X11" s="37" t="inlineStr">
        <is>
          <t>2026-08-09：旧2D玩家像素表现文件已从仓库删除；仅保留AssetID/哈希作为历史记录，替代项为 CHR-PLY-CAPSULE01-3D-BUNNY01。</t>
        </is>
      </c>
    </row>
    <row r="12">
      <c r="A12" s="37" t="inlineStr">
        <is>
          <t>CHR-PLY-CAPSULE01-PREVIEW-STATES</t>
        </is>
      </c>
      <c r="B12" s="37" t="inlineStr">
        <is>
          <t>玩家六态验收预览</t>
        </is>
      </c>
      <c r="C12" s="37" t="inlineStr">
        <is>
          <t>角色</t>
        </is>
      </c>
      <c r="D12" s="37" t="inlineStr">
        <is>
          <t>review_board</t>
        </is>
      </c>
      <c r="E12" s="37" t="inlineStr">
        <is>
          <t>player_capsule01</t>
        </is>
      </c>
      <c r="F12" s="37" t="inlineStr">
        <is>
          <t>preview</t>
        </is>
      </c>
      <c r="G12" s="37" t="inlineStr">
        <is>
          <t>CHR-PLY-CAPSULE01</t>
        </is>
      </c>
      <c r="H12" s="37" t="inlineStr">
        <is>
          <t>侧面朝右（可水平翻转）</t>
        </is>
      </c>
      <c r="I12" s="37" t="inlineStr">
        <is>
          <t>deprecated</t>
        </is>
      </c>
      <c r="J12" s="37" t="inlineStr">
        <is>
          <t>评审/回归</t>
        </is>
      </c>
      <c r="K12" s="37" t="inlineStr">
        <is>
          <t>弃用</t>
        </is>
      </c>
      <c r="L12" s="37" t="inlineStr">
        <is>
          <t>P0</t>
        </is>
      </c>
      <c r="M12" s="37" t="inlineStr">
        <is>
          <t>v001</t>
        </is>
      </c>
      <c r="N12" s="37" t="inlineStr">
        <is>
          <t>1280×720 px</t>
        </is>
      </c>
      <c r="O12" s="37" t="n"/>
      <c r="P12" s="37" t="n"/>
      <c r="Q12" s="37" t="inlineStr">
        <is>
          <t>六态; 验收板</t>
        </is>
      </c>
      <c r="R12" s="37">
        <f>LOWER(TRIM(C12)&amp;"|"&amp;TRIM(D12)&amp;"|"&amp;TRIM(E12)&amp;"|"&amp;TRIM(F12)&amp;"|"&amp;TRIM(H12)&amp;"|"&amp;TRIM(I12))</f>
        <v/>
      </c>
      <c r="S12" s="37">
        <f>IF(A12="","",IF(COUNTIF($R$6:$R$162,R12)&gt;1,"重复","唯一"))</f>
        <v/>
      </c>
      <c r="T12" s="37" t="str"/>
      <c r="U12" s="37" t="inlineStr">
        <is>
          <t>待分配</t>
        </is>
      </c>
      <c r="V12" s="128" t="n">
        <v>46243</v>
      </c>
      <c r="W12" s="37" t="inlineStr">
        <is>
          <t>原创/待确认</t>
        </is>
      </c>
      <c r="X12" s="37" t="inlineStr">
        <is>
          <t>2026-08-09：旧2D玩家像素表现文件已从仓库删除；仅保留AssetID/哈希作为历史记录，替代项为 CHR-PLY-CAPSULE01-3D-BUNNY01。</t>
        </is>
      </c>
    </row>
    <row r="13">
      <c r="A13" s="37" t="inlineStr">
        <is>
          <t>VFX-PLY-DASH-TRAIL</t>
        </is>
      </c>
      <c r="B13" s="37" t="inlineStr">
        <is>
          <t>玩家冲刺尾迹</t>
        </is>
      </c>
      <c r="C13" s="37" t="inlineStr">
        <is>
          <t>特效</t>
        </is>
      </c>
      <c r="D13" s="37" t="inlineStr">
        <is>
          <t>player_state</t>
        </is>
      </c>
      <c r="E13" s="37" t="inlineStr">
        <is>
          <t>player_dash</t>
        </is>
      </c>
      <c r="F13" s="37" t="inlineStr">
        <is>
          <t>root</t>
        </is>
      </c>
      <c r="G13" s="37" t="str"/>
      <c r="H13" s="37" t="inlineStr">
        <is>
          <t>侧面朝右（可水平翻转）</t>
        </is>
      </c>
      <c r="I13" s="37" t="inlineStr">
        <is>
          <t>dashing</t>
        </is>
      </c>
      <c r="J13" s="37" t="inlineStr">
        <is>
          <t>玩家状态</t>
        </is>
      </c>
      <c r="K13" s="37" t="inlineStr">
        <is>
          <t>弃用</t>
        </is>
      </c>
      <c r="L13" s="37" t="inlineStr">
        <is>
          <t>P1</t>
        </is>
      </c>
      <c r="M13" s="37" t="inlineStr">
        <is>
          <t>v001</t>
        </is>
      </c>
      <c r="N13" s="37" t="inlineStr">
        <is>
          <t>待定</t>
        </is>
      </c>
      <c r="O13" s="37" t="str"/>
      <c r="P13" s="37" t="n"/>
      <c r="Q13" s="37" t="str"/>
      <c r="R13" s="37">
        <f>LOWER(TRIM(C13)&amp;"|"&amp;TRIM(D13)&amp;"|"&amp;TRIM(E13)&amp;"|"&amp;TRIM(F13)&amp;"|"&amp;TRIM(H13)&amp;"|"&amp;TRIM(I13))</f>
        <v/>
      </c>
      <c r="S13" s="37">
        <f>IF(A13="","",IF(COUNTIF($R$6:$R$162,R13)&gt;1,"重复","唯一"))</f>
        <v/>
      </c>
      <c r="T13" s="37" t="str"/>
      <c r="U13" s="37" t="inlineStr">
        <is>
          <t>待分配</t>
        </is>
      </c>
      <c r="V13" s="128" t="n">
        <v>46243</v>
      </c>
      <c r="W13" s="37" t="inlineStr">
        <is>
          <t>原创/待确认</t>
        </is>
      </c>
      <c r="X13" s="37" t="inlineStr">
        <is>
          <t>2026-08-09：旧2D PlayerAvatarRenderer专用表现已删除；当前3D状态表现由 PlayerAvatar3D / WeaponModel3D 持有。</t>
        </is>
      </c>
    </row>
    <row r="14">
      <c r="A14" s="37" t="inlineStr">
        <is>
          <t>VFX-PLY-HURT-FLASH</t>
        </is>
      </c>
      <c r="B14" s="37" t="inlineStr">
        <is>
          <t>玩家受击闪光</t>
        </is>
      </c>
      <c r="C14" s="37" t="inlineStr">
        <is>
          <t>特效</t>
        </is>
      </c>
      <c r="D14" s="37" t="inlineStr">
        <is>
          <t>player_state</t>
        </is>
      </c>
      <c r="E14" s="37" t="inlineStr">
        <is>
          <t>player_hurt</t>
        </is>
      </c>
      <c r="F14" s="37" t="inlineStr">
        <is>
          <t>root</t>
        </is>
      </c>
      <c r="G14" s="37" t="str"/>
      <c r="H14" s="37" t="inlineStr">
        <is>
          <t>侧面朝右（可水平翻转）</t>
        </is>
      </c>
      <c r="I14" s="37" t="inlineStr">
        <is>
          <t>hurt</t>
        </is>
      </c>
      <c r="J14" s="37" t="inlineStr">
        <is>
          <t>玩家状态</t>
        </is>
      </c>
      <c r="K14" s="37" t="inlineStr">
        <is>
          <t>弃用</t>
        </is>
      </c>
      <c r="L14" s="37" t="inlineStr">
        <is>
          <t>P1</t>
        </is>
      </c>
      <c r="M14" s="37" t="inlineStr">
        <is>
          <t>v001</t>
        </is>
      </c>
      <c r="N14" s="37" t="inlineStr">
        <is>
          <t>待定</t>
        </is>
      </c>
      <c r="O14" s="37" t="str"/>
      <c r="P14" s="37" t="n"/>
      <c r="Q14" s="37" t="str"/>
      <c r="R14" s="37">
        <f>LOWER(TRIM(C14)&amp;"|"&amp;TRIM(D14)&amp;"|"&amp;TRIM(E14)&amp;"|"&amp;TRIM(F14)&amp;"|"&amp;TRIM(H14)&amp;"|"&amp;TRIM(I14))</f>
        <v/>
      </c>
      <c r="S14" s="37">
        <f>IF(A14="","",IF(COUNTIF($R$6:$R$162,R14)&gt;1,"重复","唯一"))</f>
        <v/>
      </c>
      <c r="T14" s="37" t="str"/>
      <c r="U14" s="37" t="inlineStr">
        <is>
          <t>待分配</t>
        </is>
      </c>
      <c r="V14" s="128" t="n">
        <v>46243</v>
      </c>
      <c r="W14" s="37" t="inlineStr">
        <is>
          <t>原创/待确认</t>
        </is>
      </c>
      <c r="X14" s="37" t="inlineStr">
        <is>
          <t>2026-08-09：旧2D PlayerAvatarRenderer专用表现已删除；当前3D状态表现由 PlayerAvatar3D / WeaponModel3D 持有。</t>
        </is>
      </c>
    </row>
    <row r="15">
      <c r="A15" s="37" t="inlineStr">
        <is>
          <t>VFX-PLY-LOWHP-RING</t>
        </is>
      </c>
      <c r="B15" s="37" t="inlineStr">
        <is>
          <t>玩家低血环</t>
        </is>
      </c>
      <c r="C15" s="37" t="inlineStr">
        <is>
          <t>特效</t>
        </is>
      </c>
      <c r="D15" s="37" t="inlineStr">
        <is>
          <t>player_overlay</t>
        </is>
      </c>
      <c r="E15" s="37" t="inlineStr">
        <is>
          <t>player_low_hp</t>
        </is>
      </c>
      <c r="F15" s="37" t="inlineStr">
        <is>
          <t>root</t>
        </is>
      </c>
      <c r="G15" s="37" t="str"/>
      <c r="H15" s="37" t="inlineStr">
        <is>
          <t>侧面朝右（可水平翻转）</t>
        </is>
      </c>
      <c r="I15" s="37" t="inlineStr">
        <is>
          <t>low_health</t>
        </is>
      </c>
      <c r="J15" s="37" t="inlineStr">
        <is>
          <t>叠加状态</t>
        </is>
      </c>
      <c r="K15" s="37" t="inlineStr">
        <is>
          <t>弃用</t>
        </is>
      </c>
      <c r="L15" s="37" t="inlineStr">
        <is>
          <t>P2</t>
        </is>
      </c>
      <c r="M15" s="37" t="inlineStr">
        <is>
          <t>v001</t>
        </is>
      </c>
      <c r="N15" s="37" t="inlineStr">
        <is>
          <t>待定</t>
        </is>
      </c>
      <c r="O15" s="37" t="str"/>
      <c r="P15" s="37" t="n"/>
      <c r="Q15" s="37" t="str"/>
      <c r="R15" s="37">
        <f>LOWER(TRIM(C15)&amp;"|"&amp;TRIM(D15)&amp;"|"&amp;TRIM(E15)&amp;"|"&amp;TRIM(F15)&amp;"|"&amp;TRIM(H15)&amp;"|"&amp;TRIM(I15))</f>
        <v/>
      </c>
      <c r="S15" s="37">
        <f>IF(A15="","",IF(COUNTIF($R$6:$R$162,R15)&gt;1,"重复","唯一"))</f>
        <v/>
      </c>
      <c r="T15" s="37" t="str"/>
      <c r="U15" s="37" t="inlineStr">
        <is>
          <t>待分配</t>
        </is>
      </c>
      <c r="V15" s="128" t="n">
        <v>46243</v>
      </c>
      <c r="W15" s="37" t="inlineStr">
        <is>
          <t>原创/待确认</t>
        </is>
      </c>
      <c r="X15" s="37" t="inlineStr">
        <is>
          <t>2026-08-09：旧2D PlayerAvatarRenderer专用表现已删除；当前3D状态表现由 PlayerAvatar3D / WeaponModel3D 持有。</t>
        </is>
      </c>
    </row>
    <row r="16">
      <c r="A16" s="37" t="inlineStr">
        <is>
          <t>VFX-PLY-SILENCED-RING</t>
        </is>
      </c>
      <c r="B16" s="37" t="inlineStr">
        <is>
          <t>玩家沉默干扰环</t>
        </is>
      </c>
      <c r="C16" s="37" t="inlineStr">
        <is>
          <t>特效</t>
        </is>
      </c>
      <c r="D16" s="37" t="inlineStr">
        <is>
          <t>player_overlay</t>
        </is>
      </c>
      <c r="E16" s="37" t="inlineStr">
        <is>
          <t>player_silenced</t>
        </is>
      </c>
      <c r="F16" s="37" t="inlineStr">
        <is>
          <t>root</t>
        </is>
      </c>
      <c r="G16" s="37" t="str"/>
      <c r="H16" s="37" t="inlineStr">
        <is>
          <t>侧面朝右（可水平翻转）</t>
        </is>
      </c>
      <c r="I16" s="37" t="inlineStr">
        <is>
          <t>silenced</t>
        </is>
      </c>
      <c r="J16" s="37" t="inlineStr">
        <is>
          <t>叠加状态</t>
        </is>
      </c>
      <c r="K16" s="37" t="inlineStr">
        <is>
          <t>弃用</t>
        </is>
      </c>
      <c r="L16" s="37" t="inlineStr">
        <is>
          <t>P2</t>
        </is>
      </c>
      <c r="M16" s="37" t="inlineStr">
        <is>
          <t>v001</t>
        </is>
      </c>
      <c r="N16" s="37" t="inlineStr">
        <is>
          <t>待定</t>
        </is>
      </c>
      <c r="O16" s="37" t="str"/>
      <c r="P16" s="37" t="n"/>
      <c r="Q16" s="37" t="str"/>
      <c r="R16" s="37">
        <f>LOWER(TRIM(C16)&amp;"|"&amp;TRIM(D16)&amp;"|"&amp;TRIM(E16)&amp;"|"&amp;TRIM(F16)&amp;"|"&amp;TRIM(H16)&amp;"|"&amp;TRIM(I16))</f>
        <v/>
      </c>
      <c r="S16" s="37">
        <f>IF(A16="","",IF(COUNTIF($R$6:$R$162,R16)&gt;1,"重复","唯一"))</f>
        <v/>
      </c>
      <c r="T16" s="37" t="str"/>
      <c r="U16" s="37" t="inlineStr">
        <is>
          <t>待分配</t>
        </is>
      </c>
      <c r="V16" s="128" t="n">
        <v>46243</v>
      </c>
      <c r="W16" s="37" t="inlineStr">
        <is>
          <t>原创/待确认</t>
        </is>
      </c>
      <c r="X16" s="37" t="inlineStr">
        <is>
          <t>2026-08-09：旧2D PlayerAvatarRenderer专用表现已删除；当前3D状态表现由 PlayerAvatar3D / WeaponModel3D 持有。</t>
        </is>
      </c>
    </row>
    <row r="17">
      <c r="A17" s="37" t="inlineStr">
        <is>
          <t>ENM-MELEE-FUNGBOAR01</t>
        </is>
      </c>
      <c r="B17" s="37" t="inlineStr">
        <is>
          <t>小菌猪</t>
        </is>
      </c>
      <c r="C17" s="37" t="inlineStr">
        <is>
          <t>敌人</t>
        </is>
      </c>
      <c r="D17" s="37" t="inlineStr">
        <is>
          <t>normal_melee</t>
        </is>
      </c>
      <c r="E17" s="37" t="inlineStr">
        <is>
          <t>melee_chaser</t>
        </is>
      </c>
      <c r="F17" s="37" t="inlineStr">
        <is>
          <t>root</t>
        </is>
      </c>
      <c r="G17" s="37" t="str"/>
      <c r="H17" s="37" t="inlineStr">
        <is>
          <t>侧面朝右（可水平翻转）</t>
        </is>
      </c>
      <c r="I17" s="37" t="inlineStr">
        <is>
          <t>default</t>
        </is>
      </c>
      <c r="J17" s="37" t="inlineStr">
        <is>
          <t>单资产</t>
        </is>
      </c>
      <c r="K17" s="37" t="inlineStr">
        <is>
          <t>程序占位</t>
        </is>
      </c>
      <c r="L17" s="37" t="inlineStr">
        <is>
          <t>P0</t>
        </is>
      </c>
      <c r="M17" s="37" t="inlineStr">
        <is>
          <t>v001</t>
        </is>
      </c>
      <c r="N17" s="37" t="inlineStr">
        <is>
          <t>待定</t>
        </is>
      </c>
      <c r="O17" s="37" t="str"/>
      <c r="P17" s="37" t="inlineStr">
        <is>
          <t>src/enemy/EnemyTypes.gd</t>
        </is>
      </c>
      <c r="Q17" s="37" t="inlineStr">
        <is>
          <t>近战追击; chaser</t>
        </is>
      </c>
      <c r="R17" s="37">
        <f>LOWER(TRIM(C17)&amp;"|"&amp;TRIM(D17)&amp;"|"&amp;TRIM(E17)&amp;"|"&amp;TRIM(F17)&amp;"|"&amp;TRIM(H17)&amp;"|"&amp;TRIM(I17))</f>
        <v/>
      </c>
      <c r="S17" s="37">
        <f>IF(A17="","",IF(COUNTIF($R$6:$R$162,R17)&gt;1,"重复","唯一"))</f>
        <v/>
      </c>
      <c r="T17" s="37" t="str"/>
      <c r="U17" s="37" t="inlineStr">
        <is>
          <t>待分配</t>
        </is>
      </c>
      <c r="V17" s="128" t="n">
        <v>46224</v>
      </c>
      <c r="W17" s="37" t="inlineStr">
        <is>
          <t>原创/待确认</t>
        </is>
      </c>
      <c r="X17" s="37" t="inlineStr">
        <is>
          <t>需保持快速贴脸轮廓</t>
        </is>
      </c>
    </row>
    <row r="18">
      <c r="A18" s="37" t="inlineStr">
        <is>
          <t>ENM-RANGED-SPORESHOOTER01</t>
        </is>
      </c>
      <c r="B18" s="37" t="inlineStr">
        <is>
          <t>孢子射手</t>
        </is>
      </c>
      <c r="C18" s="37" t="inlineStr">
        <is>
          <t>敌人</t>
        </is>
      </c>
      <c r="D18" s="37" t="inlineStr">
        <is>
          <t>normal_ranged</t>
        </is>
      </c>
      <c r="E18" s="37" t="inlineStr">
        <is>
          <t>ranged_caster</t>
        </is>
      </c>
      <c r="F18" s="37" t="inlineStr">
        <is>
          <t>root</t>
        </is>
      </c>
      <c r="G18" s="37" t="str"/>
      <c r="H18" s="37" t="inlineStr">
        <is>
          <t>侧面朝右（可水平翻转）</t>
        </is>
      </c>
      <c r="I18" s="37" t="inlineStr">
        <is>
          <t>default</t>
        </is>
      </c>
      <c r="J18" s="37" t="inlineStr">
        <is>
          <t>单资产</t>
        </is>
      </c>
      <c r="K18" s="37" t="inlineStr">
        <is>
          <t>程序占位</t>
        </is>
      </c>
      <c r="L18" s="37" t="inlineStr">
        <is>
          <t>P0</t>
        </is>
      </c>
      <c r="M18" s="37" t="inlineStr">
        <is>
          <t>v001</t>
        </is>
      </c>
      <c r="N18" s="37" t="inlineStr">
        <is>
          <t>待定</t>
        </is>
      </c>
      <c r="O18" s="37" t="str"/>
      <c r="P18" s="37" t="inlineStr">
        <is>
          <t>src/enemy/EnemyTypes.gd</t>
        </is>
      </c>
      <c r="Q18" s="37" t="inlineStr">
        <is>
          <t>远程弹幕; ranged</t>
        </is>
      </c>
      <c r="R18" s="37">
        <f>LOWER(TRIM(C18)&amp;"|"&amp;TRIM(D18)&amp;"|"&amp;TRIM(E18)&amp;"|"&amp;TRIM(F18)&amp;"|"&amp;TRIM(H18)&amp;"|"&amp;TRIM(I18))</f>
        <v/>
      </c>
      <c r="S18" s="37">
        <f>IF(A18="","",IF(COUNTIF($R$6:$R$162,R18)&gt;1,"重复","唯一"))</f>
        <v/>
      </c>
      <c r="T18" s="37" t="str"/>
      <c r="U18" s="37" t="inlineStr">
        <is>
          <t>待分配</t>
        </is>
      </c>
      <c r="V18" s="128" t="n">
        <v>46224</v>
      </c>
      <c r="W18" s="37" t="inlineStr">
        <is>
          <t>原创/待确认</t>
        </is>
      </c>
      <c r="X18" s="37" t="str"/>
    </row>
    <row r="19">
      <c r="A19" s="37" t="inlineStr">
        <is>
          <t>ENM-SUMMON-HIVE01</t>
        </is>
      </c>
      <c r="B19" s="37" t="inlineStr">
        <is>
          <t>蜂巢怪</t>
        </is>
      </c>
      <c r="C19" s="37" t="inlineStr">
        <is>
          <t>敌人</t>
        </is>
      </c>
      <c r="D19" s="37" t="inlineStr">
        <is>
          <t>normal_summoner</t>
        </is>
      </c>
      <c r="E19" s="37" t="inlineStr">
        <is>
          <t>summoner</t>
        </is>
      </c>
      <c r="F19" s="37" t="inlineStr">
        <is>
          <t>root</t>
        </is>
      </c>
      <c r="G19" s="37" t="str"/>
      <c r="H19" s="37" t="inlineStr">
        <is>
          <t>侧面朝右（可水平翻转）</t>
        </is>
      </c>
      <c r="I19" s="37" t="inlineStr">
        <is>
          <t>default</t>
        </is>
      </c>
      <c r="J19" s="37" t="inlineStr">
        <is>
          <t>单资产</t>
        </is>
      </c>
      <c r="K19" s="37" t="inlineStr">
        <is>
          <t>程序占位</t>
        </is>
      </c>
      <c r="L19" s="37" t="inlineStr">
        <is>
          <t>P0</t>
        </is>
      </c>
      <c r="M19" s="37" t="inlineStr">
        <is>
          <t>v001</t>
        </is>
      </c>
      <c r="N19" s="37" t="inlineStr">
        <is>
          <t>待定</t>
        </is>
      </c>
      <c r="O19" s="37" t="str"/>
      <c r="P19" s="37" t="inlineStr">
        <is>
          <t>src/enemy/EnemyTypes.gd</t>
        </is>
      </c>
      <c r="Q19" s="37" t="inlineStr">
        <is>
          <t>召唤型; hive</t>
        </is>
      </c>
      <c r="R19" s="37">
        <f>LOWER(TRIM(C19)&amp;"|"&amp;TRIM(D19)&amp;"|"&amp;TRIM(E19)&amp;"|"&amp;TRIM(F19)&amp;"|"&amp;TRIM(H19)&amp;"|"&amp;TRIM(I19))</f>
        <v/>
      </c>
      <c r="S19" s="37">
        <f>IF(A19="","",IF(COUNTIF($R$6:$R$162,R19)&gt;1,"重复","唯一"))</f>
        <v/>
      </c>
      <c r="T19" s="37" t="str"/>
      <c r="U19" s="37" t="inlineStr">
        <is>
          <t>待分配</t>
        </is>
      </c>
      <c r="V19" s="128" t="n">
        <v>46224</v>
      </c>
      <c r="W19" s="37" t="inlineStr">
        <is>
          <t>原创/待确认</t>
        </is>
      </c>
      <c r="X19" s="37" t="str"/>
    </row>
    <row r="20">
      <c r="A20" s="37" t="inlineStr">
        <is>
          <t>ENM-TANK-SHELLGUARD01</t>
        </is>
      </c>
      <c r="B20" s="37" t="inlineStr">
        <is>
          <t>壳甲卫兵</t>
        </is>
      </c>
      <c r="C20" s="37" t="inlineStr">
        <is>
          <t>敌人</t>
        </is>
      </c>
      <c r="D20" s="37" t="inlineStr">
        <is>
          <t>normal_tank</t>
        </is>
      </c>
      <c r="E20" s="37" t="inlineStr">
        <is>
          <t>shielded</t>
        </is>
      </c>
      <c r="F20" s="37" t="inlineStr">
        <is>
          <t>root</t>
        </is>
      </c>
      <c r="G20" s="37" t="str"/>
      <c r="H20" s="37" t="inlineStr">
        <is>
          <t>侧面朝右（可水平翻转）</t>
        </is>
      </c>
      <c r="I20" s="37" t="inlineStr">
        <is>
          <t>default</t>
        </is>
      </c>
      <c r="J20" s="37" t="inlineStr">
        <is>
          <t>单资产</t>
        </is>
      </c>
      <c r="K20" s="37" t="inlineStr">
        <is>
          <t>程序占位</t>
        </is>
      </c>
      <c r="L20" s="37" t="inlineStr">
        <is>
          <t>P0</t>
        </is>
      </c>
      <c r="M20" s="37" t="inlineStr">
        <is>
          <t>v001</t>
        </is>
      </c>
      <c r="N20" s="37" t="inlineStr">
        <is>
          <t>待定</t>
        </is>
      </c>
      <c r="O20" s="37" t="str"/>
      <c r="P20" s="37" t="inlineStr">
        <is>
          <t>src/enemy/EnemyTypes.gd</t>
        </is>
      </c>
      <c r="Q20" s="37" t="inlineStr">
        <is>
          <t>护盾型; tank</t>
        </is>
      </c>
      <c r="R20" s="37">
        <f>LOWER(TRIM(C20)&amp;"|"&amp;TRIM(D20)&amp;"|"&amp;TRIM(E20)&amp;"|"&amp;TRIM(F20)&amp;"|"&amp;TRIM(H20)&amp;"|"&amp;TRIM(I20))</f>
        <v/>
      </c>
      <c r="S20" s="37">
        <f>IF(A20="","",IF(COUNTIF($R$6:$R$162,R20)&gt;1,"重复","唯一"))</f>
        <v/>
      </c>
      <c r="T20" s="37" t="str"/>
      <c r="U20" s="37" t="inlineStr">
        <is>
          <t>待分配</t>
        </is>
      </c>
      <c r="V20" s="128" t="n">
        <v>46224</v>
      </c>
      <c r="W20" s="37" t="inlineStr">
        <is>
          <t>原创/待确认</t>
        </is>
      </c>
      <c r="X20" s="37" t="str"/>
    </row>
    <row r="21">
      <c r="A21" s="37" t="inlineStr">
        <is>
          <t>ENM-BOMBER-FRUIT01</t>
        </is>
      </c>
      <c r="B21" s="37" t="inlineStr">
        <is>
          <t>炸弹果</t>
        </is>
      </c>
      <c r="C21" s="37" t="inlineStr">
        <is>
          <t>敌人</t>
        </is>
      </c>
      <c r="D21" s="37" t="inlineStr">
        <is>
          <t>normal_bomber</t>
        </is>
      </c>
      <c r="E21" s="37" t="inlineStr">
        <is>
          <t>exploder</t>
        </is>
      </c>
      <c r="F21" s="37" t="inlineStr">
        <is>
          <t>root</t>
        </is>
      </c>
      <c r="G21" s="37" t="str"/>
      <c r="H21" s="37" t="inlineStr">
        <is>
          <t>侧面朝右（可水平翻转）</t>
        </is>
      </c>
      <c r="I21" s="37" t="inlineStr">
        <is>
          <t>default</t>
        </is>
      </c>
      <c r="J21" s="37" t="inlineStr">
        <is>
          <t>单资产</t>
        </is>
      </c>
      <c r="K21" s="37" t="inlineStr">
        <is>
          <t>程序占位</t>
        </is>
      </c>
      <c r="L21" s="37" t="inlineStr">
        <is>
          <t>P0</t>
        </is>
      </c>
      <c r="M21" s="37" t="inlineStr">
        <is>
          <t>v001</t>
        </is>
      </c>
      <c r="N21" s="37" t="inlineStr">
        <is>
          <t>待定</t>
        </is>
      </c>
      <c r="O21" s="37" t="str"/>
      <c r="P21" s="37" t="inlineStr">
        <is>
          <t>src/enemy/EnemyTypes.gd</t>
        </is>
      </c>
      <c r="Q21" s="37" t="inlineStr">
        <is>
          <t>膨胀鼠; 自爆型; bomber</t>
        </is>
      </c>
      <c r="R21" s="37">
        <f>LOWER(TRIM(C21)&amp;"|"&amp;TRIM(D21)&amp;"|"&amp;TRIM(E21)&amp;"|"&amp;TRIM(F21)&amp;"|"&amp;TRIM(H21)&amp;"|"&amp;TRIM(I21))</f>
        <v/>
      </c>
      <c r="S21" s="37">
        <f>IF(A21="","",IF(COUNTIF($R$6:$R$162,R21)&gt;1,"重复","唯一"))</f>
        <v/>
      </c>
      <c r="T21" s="37" t="str"/>
      <c r="U21" s="37" t="inlineStr">
        <is>
          <t>待分配</t>
        </is>
      </c>
      <c r="V21" s="128" t="n">
        <v>46224</v>
      </c>
      <c r="W21" s="37" t="inlineStr">
        <is>
          <t>原创/待确认</t>
        </is>
      </c>
      <c r="X21" s="37" t="str"/>
    </row>
    <row r="22">
      <c r="A22" s="37" t="inlineStr">
        <is>
          <t>ENM-TRAP-SPIKEWORM01</t>
        </is>
      </c>
      <c r="B22" s="37" t="inlineStr">
        <is>
          <t>地刺虫</t>
        </is>
      </c>
      <c r="C22" s="37" t="inlineStr">
        <is>
          <t>敌人</t>
        </is>
      </c>
      <c r="D22" s="37" t="inlineStr">
        <is>
          <t>normal_ambusher</t>
        </is>
      </c>
      <c r="E22" s="37" t="inlineStr">
        <is>
          <t>ambusher</t>
        </is>
      </c>
      <c r="F22" s="37" t="inlineStr">
        <is>
          <t>root</t>
        </is>
      </c>
      <c r="G22" s="37" t="str"/>
      <c r="H22" s="37" t="inlineStr">
        <is>
          <t>侧面朝右（可水平翻转）</t>
        </is>
      </c>
      <c r="I22" s="37" t="inlineStr">
        <is>
          <t>default</t>
        </is>
      </c>
      <c r="J22" s="37" t="inlineStr">
        <is>
          <t>单资产</t>
        </is>
      </c>
      <c r="K22" s="37" t="inlineStr">
        <is>
          <t>程序占位</t>
        </is>
      </c>
      <c r="L22" s="37" t="inlineStr">
        <is>
          <t>P0</t>
        </is>
      </c>
      <c r="M22" s="37" t="inlineStr">
        <is>
          <t>v001</t>
        </is>
      </c>
      <c r="N22" s="37" t="inlineStr">
        <is>
          <t>待定</t>
        </is>
      </c>
      <c r="O22" s="37" t="str"/>
      <c r="P22" s="37" t="inlineStr">
        <is>
          <t>src/enemy/EnemyTypes.gd</t>
        </is>
      </c>
      <c r="Q22" s="37" t="inlineStr">
        <is>
          <t>潜伏型; trapper</t>
        </is>
      </c>
      <c r="R22" s="37">
        <f>LOWER(TRIM(C22)&amp;"|"&amp;TRIM(D22)&amp;"|"&amp;TRIM(E22)&amp;"|"&amp;TRIM(F22)&amp;"|"&amp;TRIM(H22)&amp;"|"&amp;TRIM(I22))</f>
        <v/>
      </c>
      <c r="S22" s="37">
        <f>IF(A22="","",IF(COUNTIF($R$6:$R$162,R22)&gt;1,"重复","唯一"))</f>
        <v/>
      </c>
      <c r="T22" s="37" t="str"/>
      <c r="U22" s="37" t="inlineStr">
        <is>
          <t>待分配</t>
        </is>
      </c>
      <c r="V22" s="128" t="n">
        <v>46224</v>
      </c>
      <c r="W22" s="37" t="inlineStr">
        <is>
          <t>原创/待确认</t>
        </is>
      </c>
      <c r="X22" s="37" t="str"/>
    </row>
    <row r="23">
      <c r="A23" s="37" t="inlineStr">
        <is>
          <t>ENM-BOSS-ABYSS01</t>
        </is>
      </c>
      <c r="B23" s="37" t="inlineStr">
        <is>
          <t>深渊 Boss</t>
        </is>
      </c>
      <c r="C23" s="37" t="inlineStr">
        <is>
          <t>敌人</t>
        </is>
      </c>
      <c r="D23" s="37" t="inlineStr">
        <is>
          <t>boss</t>
        </is>
      </c>
      <c r="E23" s="37" t="inlineStr">
        <is>
          <t>boss</t>
        </is>
      </c>
      <c r="F23" s="37" t="inlineStr">
        <is>
          <t>root</t>
        </is>
      </c>
      <c r="G23" s="37" t="str"/>
      <c r="H23" s="37" t="inlineStr">
        <is>
          <t>侧面朝右（可水平翻转）</t>
        </is>
      </c>
      <c r="I23" s="37" t="inlineStr">
        <is>
          <t>default</t>
        </is>
      </c>
      <c r="J23" s="37" t="inlineStr">
        <is>
          <t>单资产</t>
        </is>
      </c>
      <c r="K23" s="37" t="inlineStr">
        <is>
          <t>程序占位</t>
        </is>
      </c>
      <c r="L23" s="37" t="inlineStr">
        <is>
          <t>P1</t>
        </is>
      </c>
      <c r="M23" s="37" t="inlineStr">
        <is>
          <t>v001</t>
        </is>
      </c>
      <c r="N23" s="37" t="inlineStr">
        <is>
          <t>待定</t>
        </is>
      </c>
      <c r="O23" s="37" t="str"/>
      <c r="P23" s="37" t="inlineStr">
        <is>
          <t>src/enemy/BossAvatarRenderer.gd</t>
        </is>
      </c>
      <c r="Q23" s="37" t="inlineStr">
        <is>
          <t>BossActor; 三阶段</t>
        </is>
      </c>
      <c r="R23" s="37">
        <f>LOWER(TRIM(C23)&amp;"|"&amp;TRIM(D23)&amp;"|"&amp;TRIM(E23)&amp;"|"&amp;TRIM(F23)&amp;"|"&amp;TRIM(H23)&amp;"|"&amp;TRIM(I23))</f>
        <v/>
      </c>
      <c r="S23" s="37">
        <f>IF(A23="","",IF(COUNTIF($R$6:$R$162,R23)&gt;1,"重复","唯一"))</f>
        <v/>
      </c>
      <c r="T23" s="37" t="str"/>
      <c r="U23" s="37" t="inlineStr">
        <is>
          <t>待分配</t>
        </is>
      </c>
      <c r="V23" s="128" t="n">
        <v>46224</v>
      </c>
      <c r="W23" s="37" t="inlineStr">
        <is>
          <t>原创/待确认</t>
        </is>
      </c>
      <c r="X23" s="37" t="inlineStr">
        <is>
          <t>三阶段由同一主体加部件/发光变化，不重复做整套</t>
        </is>
      </c>
    </row>
    <row r="24">
      <c r="A24" s="37" t="inlineStr">
        <is>
          <t>WPN-GUN-BP-PISTOL</t>
        </is>
      </c>
      <c r="B24" s="37" t="inlineStr">
        <is>
          <t>豌豆手枪 / 吹风机造型</t>
        </is>
      </c>
      <c r="C24" s="37" t="inlineStr">
        <is>
          <t>枪械</t>
        </is>
      </c>
      <c r="D24" s="37" t="inlineStr">
        <is>
          <t>gunbody</t>
        </is>
      </c>
      <c r="E24" s="37" t="inlineStr">
        <is>
          <t>bp_pistol</t>
        </is>
      </c>
      <c r="F24" s="37" t="inlineStr">
        <is>
          <t>root</t>
        </is>
      </c>
      <c r="G24" s="37" t="str"/>
      <c r="H24" s="37" t="inlineStr">
        <is>
          <t>俯视3D / local -Z 枪口</t>
        </is>
      </c>
      <c r="I24" s="37" t="inlineStr">
        <is>
          <t>default / 标准握把与8类挂点</t>
        </is>
      </c>
      <c r="J24" s="37" t="inlineStr">
        <is>
          <t>手持/背负/地面/UI 共用独立PackedScene</t>
        </is>
      </c>
      <c r="K24" s="37" t="inlineStr">
        <is>
          <t>正式美术已接入</t>
        </is>
      </c>
      <c r="L24" s="37" t="inlineStr">
        <is>
          <t>P0</t>
        </is>
      </c>
      <c r="M24" s="37" t="inlineStr">
        <is>
          <t>v001</t>
        </is>
      </c>
      <c r="N24" s="37" t="inlineStr">
        <is>
          <t>握把原点；local -Z枪口；3材质；独立GLB/PackedScene</t>
        </is>
      </c>
      <c r="O24" s="37" t="inlineStr">
        <is>
          <t>assets/art/weapons/weapon_3d/runtime/hair_dryer/wpn_hair_dryer_root_top3d_v001.tscn</t>
        </is>
      </c>
      <c r="P24" s="37" t="inlineStr">
        <is>
          <t>assets/art/weapons/weapon_3d/source/hair_dryer/wpn_hair_dryer_source_v001.blend; src/combat3d/WeaponModel3D.gd</t>
        </is>
      </c>
      <c r="Q24" s="37" t="inlineStr">
        <is>
          <t>bp_pistol; 吹风机; 握把原点; -Z枪口; 通用挂点; 多巴胺配色</t>
        </is>
      </c>
      <c r="R24" s="37">
        <f>LOWER(TRIM(C24)&amp;"|"&amp;TRIM(D24)&amp;"|"&amp;TRIM(E24)&amp;"|"&amp;TRIM(F24)&amp;"|"&amp;TRIM(H24)&amp;"|"&amp;TRIM(I24))</f>
        <v/>
      </c>
      <c r="S24" s="37" t="inlineStr">
        <is>
          <t>唯一</t>
        </is>
      </c>
      <c r="T24" s="37" t="inlineStr">
        <is>
          <t>c8e52bda1186290d466026515f08ce7ad31e49d288288640525916f4967685a8</t>
        </is>
      </c>
      <c r="U24" s="37" t="inlineStr">
        <is>
          <t>Codex</t>
        </is>
      </c>
      <c r="V24" s="128" t="n">
        <v>46244</v>
      </c>
      <c r="W24" s="37" t="inlineStr">
        <is>
          <t>用户自制Blender资产</t>
        </is>
      </c>
      <c r="X24" s="37" t="inlineStr">
        <is>
          <t>由18枪合集拆成独立资产；根节点即握把原点，枪口统一local -Z；无需玩家侧逐枪旋转补丁。</t>
        </is>
      </c>
    </row>
    <row r="25">
      <c r="A25" s="37" t="inlineStr">
        <is>
          <t>WPN-GUN-BP-SHOTGUN</t>
        </is>
      </c>
      <c r="B25" s="37" t="inlineStr">
        <is>
          <t>散射喷壶 / 双管炮造型</t>
        </is>
      </c>
      <c r="C25" s="37" t="inlineStr">
        <is>
          <t>枪械</t>
        </is>
      </c>
      <c r="D25" s="37" t="inlineStr">
        <is>
          <t>gunbody</t>
        </is>
      </c>
      <c r="E25" s="37" t="inlineStr">
        <is>
          <t>bp_shotgun</t>
        </is>
      </c>
      <c r="F25" s="37" t="inlineStr">
        <is>
          <t>root</t>
        </is>
      </c>
      <c r="G25" s="37" t="str"/>
      <c r="H25" s="37" t="inlineStr">
        <is>
          <t>俯视3D / local -Z 枪口</t>
        </is>
      </c>
      <c r="I25" s="37" t="inlineStr">
        <is>
          <t>default / 标准握把与8类挂点</t>
        </is>
      </c>
      <c r="J25" s="37" t="inlineStr">
        <is>
          <t>手持/背负/地面/UI 共用独立PackedScene</t>
        </is>
      </c>
      <c r="K25" s="37" t="inlineStr">
        <is>
          <t>正式美术已接入</t>
        </is>
      </c>
      <c r="L25" s="37" t="inlineStr">
        <is>
          <t>P0</t>
        </is>
      </c>
      <c r="M25" s="37" t="inlineStr">
        <is>
          <t>v001</t>
        </is>
      </c>
      <c r="N25" s="37" t="inlineStr">
        <is>
          <t>握把原点；local -Z枪口；3材质；独立GLB/PackedScene</t>
        </is>
      </c>
      <c r="O25" s="37" t="inlineStr">
        <is>
          <t>assets/art/weapons/weapon_3d/runtime/double_barrel_cannon/wpn_double_barrel_cannon_root_top3d_v001.tscn</t>
        </is>
      </c>
      <c r="P25" s="37" t="inlineStr">
        <is>
          <t>assets/art/weapons/weapon_3d/source/double_barrel_cannon/wpn_double_barrel_cannon_source_v001.blend; src/combat3d/WeaponModel3D.gd</t>
        </is>
      </c>
      <c r="Q25" s="37" t="inlineStr">
        <is>
          <t>bp_shotgun; 双管炮; 握把原点; -Z枪口; 通用挂点; 多巴胺配色</t>
        </is>
      </c>
      <c r="R25" s="37">
        <f>LOWER(TRIM(C25)&amp;"|"&amp;TRIM(D25)&amp;"|"&amp;TRIM(E25)&amp;"|"&amp;TRIM(F25)&amp;"|"&amp;TRIM(H25)&amp;"|"&amp;TRIM(I25))</f>
        <v/>
      </c>
      <c r="S25" s="37" t="inlineStr">
        <is>
          <t>唯一</t>
        </is>
      </c>
      <c r="T25" s="37" t="inlineStr">
        <is>
          <t>8e026c49d7882e13f500f4306bb31927195766703f06b15fcaaf68d3d7246fe3</t>
        </is>
      </c>
      <c r="U25" s="37" t="inlineStr">
        <is>
          <t>Codex</t>
        </is>
      </c>
      <c r="V25" s="128" t="n">
        <v>46244</v>
      </c>
      <c r="W25" s="37" t="inlineStr">
        <is>
          <t>用户自制Blender资产</t>
        </is>
      </c>
      <c r="X25" s="37" t="inlineStr">
        <is>
          <t>由18枪合集拆成独立资产；根节点即握把原点，枪口统一local -Z；无需玩家侧逐枪旋转补丁。</t>
        </is>
      </c>
    </row>
    <row r="26">
      <c r="A26" s="37" t="inlineStr">
        <is>
          <t>WPN-GUN-BP-RIFLE</t>
        </is>
      </c>
      <c r="B26" s="37" t="inlineStr">
        <is>
          <t>步枪 / 扫帚步枪造型</t>
        </is>
      </c>
      <c r="C26" s="37" t="inlineStr">
        <is>
          <t>枪械</t>
        </is>
      </c>
      <c r="D26" s="37" t="inlineStr">
        <is>
          <t>gunbody</t>
        </is>
      </c>
      <c r="E26" s="37" t="inlineStr">
        <is>
          <t>bp_rifle</t>
        </is>
      </c>
      <c r="F26" s="37" t="inlineStr">
        <is>
          <t>root</t>
        </is>
      </c>
      <c r="G26" s="37" t="str"/>
      <c r="H26" s="37" t="inlineStr">
        <is>
          <t>俯视3D / local -Z 枪口</t>
        </is>
      </c>
      <c r="I26" s="37" t="inlineStr">
        <is>
          <t>default / 标准握把与8类挂点</t>
        </is>
      </c>
      <c r="J26" s="37" t="inlineStr">
        <is>
          <t>手持/背负/地面/UI 共用独立PackedScene</t>
        </is>
      </c>
      <c r="K26" s="37" t="inlineStr">
        <is>
          <t>正式美术已接入</t>
        </is>
      </c>
      <c r="L26" s="37" t="inlineStr">
        <is>
          <t>P0</t>
        </is>
      </c>
      <c r="M26" s="37" t="inlineStr">
        <is>
          <t>v001</t>
        </is>
      </c>
      <c r="N26" s="37" t="inlineStr">
        <is>
          <t>握把原点；local -Z枪口；3材质；独立GLB/PackedScene</t>
        </is>
      </c>
      <c r="O26" s="37" t="inlineStr">
        <is>
          <t>assets/art/weapons/weapon_3d/runtime/broom_rifle/wpn_broom_rifle_root_top3d_v001.tscn</t>
        </is>
      </c>
      <c r="P26" s="37" t="inlineStr">
        <is>
          <t>assets/art/weapons/weapon_3d/source/broom_rifle/wpn_broom_rifle_source_v001.blend; src/combat3d/WeaponModel3D.gd</t>
        </is>
      </c>
      <c r="Q26" s="37" t="inlineStr">
        <is>
          <t>bp_rifle; 扫帚步枪; 握把原点; -Z枪口; 通用挂点; 多巴胺配色</t>
        </is>
      </c>
      <c r="R26" s="37">
        <f>LOWER(TRIM(C26)&amp;"|"&amp;TRIM(D26)&amp;"|"&amp;TRIM(E26)&amp;"|"&amp;TRIM(F26)&amp;"|"&amp;TRIM(H26)&amp;"|"&amp;TRIM(I26))</f>
        <v/>
      </c>
      <c r="S26" s="37" t="inlineStr">
        <is>
          <t>唯一</t>
        </is>
      </c>
      <c r="T26" s="37" t="inlineStr">
        <is>
          <t>67a1515e3659a6d34ab7774cf92da256465259ff38ed3409fca29fa04935a22c</t>
        </is>
      </c>
      <c r="U26" s="37" t="inlineStr">
        <is>
          <t>Codex</t>
        </is>
      </c>
      <c r="V26" s="128" t="n">
        <v>46244</v>
      </c>
      <c r="W26" s="37" t="inlineStr">
        <is>
          <t>用户自制Blender资产</t>
        </is>
      </c>
      <c r="X26" s="37" t="inlineStr">
        <is>
          <t>由18枪合集拆成独立资产；根节点即握把原点，枪口统一local -Z；无需玩家侧逐枪旋转补丁。</t>
        </is>
      </c>
    </row>
    <row r="27">
      <c r="A27" s="37" t="inlineStr">
        <is>
          <t>WPN-GUN-BP-MACHINEGUN</t>
        </is>
      </c>
      <c r="B27" s="37" t="inlineStr">
        <is>
          <t>蜂窝机枪 / 水箱爆能枪造型</t>
        </is>
      </c>
      <c r="C27" s="37" t="inlineStr">
        <is>
          <t>枪械</t>
        </is>
      </c>
      <c r="D27" s="37" t="inlineStr">
        <is>
          <t>gunbody</t>
        </is>
      </c>
      <c r="E27" s="37" t="inlineStr">
        <is>
          <t>bp_machinegun</t>
        </is>
      </c>
      <c r="F27" s="37" t="inlineStr">
        <is>
          <t>root</t>
        </is>
      </c>
      <c r="G27" s="37" t="str"/>
      <c r="H27" s="37" t="inlineStr">
        <is>
          <t>俯视3D / local -Z 枪口</t>
        </is>
      </c>
      <c r="I27" s="37" t="inlineStr">
        <is>
          <t>default / 标准握把与8类挂点</t>
        </is>
      </c>
      <c r="J27" s="37" t="inlineStr">
        <is>
          <t>手持/背负/地面/UI 共用独立PackedScene</t>
        </is>
      </c>
      <c r="K27" s="37" t="inlineStr">
        <is>
          <t>正式美术已接入</t>
        </is>
      </c>
      <c r="L27" s="37" t="inlineStr">
        <is>
          <t>P1</t>
        </is>
      </c>
      <c r="M27" s="37" t="inlineStr">
        <is>
          <t>v001</t>
        </is>
      </c>
      <c r="N27" s="37" t="inlineStr">
        <is>
          <t>握把原点；local -Z枪口；3材质；独立GLB/PackedScene</t>
        </is>
      </c>
      <c r="O27" s="37" t="inlineStr">
        <is>
          <t>assets/art/weapons/weapon_3d/runtime/water_tank_blaster/wpn_water_tank_blaster_root_top3d_v001.tscn</t>
        </is>
      </c>
      <c r="P27" s="37" t="inlineStr">
        <is>
          <t>assets/art/weapons/weapon_3d/source/water_tank_blaster/wpn_water_tank_blaster_source_v001.blend; src/combat3d/WeaponModel3D.gd</t>
        </is>
      </c>
      <c r="Q27" s="37" t="inlineStr">
        <is>
          <t>bp_machinegun; 水箱爆能枪; 握把原点; -Z枪口; 通用挂点; 多巴胺配色</t>
        </is>
      </c>
      <c r="R27" s="37">
        <f>LOWER(TRIM(C27)&amp;"|"&amp;TRIM(D27)&amp;"|"&amp;TRIM(E27)&amp;"|"&amp;TRIM(F27)&amp;"|"&amp;TRIM(H27)&amp;"|"&amp;TRIM(I27))</f>
        <v/>
      </c>
      <c r="S27" s="37" t="inlineStr">
        <is>
          <t>唯一</t>
        </is>
      </c>
      <c r="T27" s="37" t="inlineStr">
        <is>
          <t>24608d0d872a1c30fd698e4332582c679d1219c0dc7fd13b58e7853f1aad56e1</t>
        </is>
      </c>
      <c r="U27" s="37" t="inlineStr">
        <is>
          <t>Codex</t>
        </is>
      </c>
      <c r="V27" s="128" t="n">
        <v>46244</v>
      </c>
      <c r="W27" s="37" t="inlineStr">
        <is>
          <t>用户自制Blender资产</t>
        </is>
      </c>
      <c r="X27" s="37" t="inlineStr">
        <is>
          <t>由18枪合集拆成独立资产；根节点即握把原点，枪口统一local -Z；无需玩家侧逐枪旋转补丁。</t>
        </is>
      </c>
    </row>
    <row r="28">
      <c r="A28" s="37" t="inlineStr">
        <is>
          <t>WPN-GUN-BP-SNIPER</t>
        </is>
      </c>
      <c r="B28" s="37" t="inlineStr">
        <is>
          <t>弹弓狙击 / 糖果狙击枪造型</t>
        </is>
      </c>
      <c r="C28" s="37" t="inlineStr">
        <is>
          <t>枪械</t>
        </is>
      </c>
      <c r="D28" s="37" t="inlineStr">
        <is>
          <t>gunbody</t>
        </is>
      </c>
      <c r="E28" s="37" t="inlineStr">
        <is>
          <t>bp_sniper</t>
        </is>
      </c>
      <c r="F28" s="37" t="inlineStr">
        <is>
          <t>root</t>
        </is>
      </c>
      <c r="G28" s="37" t="str"/>
      <c r="H28" s="37" t="inlineStr">
        <is>
          <t>俯视3D / local -Z 枪口</t>
        </is>
      </c>
      <c r="I28" s="37" t="inlineStr">
        <is>
          <t>default / 标准握把与8类挂点</t>
        </is>
      </c>
      <c r="J28" s="37" t="inlineStr">
        <is>
          <t>手持/背负/地面/UI 共用独立PackedScene</t>
        </is>
      </c>
      <c r="K28" s="37" t="inlineStr">
        <is>
          <t>正式美术已接入</t>
        </is>
      </c>
      <c r="L28" s="37" t="inlineStr">
        <is>
          <t>P1</t>
        </is>
      </c>
      <c r="M28" s="37" t="inlineStr">
        <is>
          <t>v001</t>
        </is>
      </c>
      <c r="N28" s="37" t="inlineStr">
        <is>
          <t>握把原点；local -Z枪口；3材质；独立GLB/PackedScene</t>
        </is>
      </c>
      <c r="O28" s="37" t="inlineStr">
        <is>
          <t>assets/art/weapons/weapon_3d/runtime/candy_sniper/wpn_candy_sniper_root_top3d_v001.tscn</t>
        </is>
      </c>
      <c r="P28" s="37" t="inlineStr">
        <is>
          <t>assets/art/weapons/weapon_3d/source/candy_sniper/wpn_candy_sniper_source_v001.blend; src/combat3d/WeaponModel3D.gd</t>
        </is>
      </c>
      <c r="Q28" s="37" t="inlineStr">
        <is>
          <t>bp_sniper; 糖果狙击枪; 握把原点; -Z枪口; 通用挂点; 多巴胺配色</t>
        </is>
      </c>
      <c r="R28" s="37">
        <f>LOWER(TRIM(C28)&amp;"|"&amp;TRIM(D28)&amp;"|"&amp;TRIM(E28)&amp;"|"&amp;TRIM(F28)&amp;"|"&amp;TRIM(H28)&amp;"|"&amp;TRIM(I28))</f>
        <v/>
      </c>
      <c r="S28" s="37" t="inlineStr">
        <is>
          <t>唯一</t>
        </is>
      </c>
      <c r="T28" s="37" t="inlineStr">
        <is>
          <t>3900da0b2425d46e95de087b3e1a24c9948492ba03606f9c0fa13e2ccc165b7a</t>
        </is>
      </c>
      <c r="U28" s="37" t="inlineStr">
        <is>
          <t>Codex</t>
        </is>
      </c>
      <c r="V28" s="128" t="n">
        <v>46244</v>
      </c>
      <c r="W28" s="37" t="inlineStr">
        <is>
          <t>用户自制Blender资产</t>
        </is>
      </c>
      <c r="X28" s="37" t="inlineStr">
        <is>
          <t>由18枪合集拆成独立资产；根节点即握把原点，枪口统一local -Z；无需玩家侧逐枪旋转补丁。</t>
        </is>
      </c>
    </row>
    <row r="29">
      <c r="A29" s="37" t="inlineStr">
        <is>
          <t>WPN-GUN-BP-LAUNCHER</t>
        </is>
      </c>
      <c r="B29" s="37" t="inlineStr">
        <is>
          <t>反胃榴弹筒 / 烤面包机造型</t>
        </is>
      </c>
      <c r="C29" s="37" t="inlineStr">
        <is>
          <t>枪械</t>
        </is>
      </c>
      <c r="D29" s="37" t="inlineStr">
        <is>
          <t>gunbody</t>
        </is>
      </c>
      <c r="E29" s="37" t="inlineStr">
        <is>
          <t>bp_launcher</t>
        </is>
      </c>
      <c r="F29" s="37" t="inlineStr">
        <is>
          <t>root</t>
        </is>
      </c>
      <c r="G29" s="37" t="str"/>
      <c r="H29" s="37" t="inlineStr">
        <is>
          <t>俯视3D / local -Z 枪口</t>
        </is>
      </c>
      <c r="I29" s="37" t="inlineStr">
        <is>
          <t>default / 标准握把与8类挂点</t>
        </is>
      </c>
      <c r="J29" s="37" t="inlineStr">
        <is>
          <t>手持/背负/地面/UI 共用独立PackedScene</t>
        </is>
      </c>
      <c r="K29" s="37" t="inlineStr">
        <is>
          <t>正式美术已接入</t>
        </is>
      </c>
      <c r="L29" s="37" t="inlineStr">
        <is>
          <t>P1</t>
        </is>
      </c>
      <c r="M29" s="37" t="inlineStr">
        <is>
          <t>v001</t>
        </is>
      </c>
      <c r="N29" s="37" t="inlineStr">
        <is>
          <t>握把原点；local -Z枪口；3材质；独立GLB/PackedScene</t>
        </is>
      </c>
      <c r="O29" s="37" t="inlineStr">
        <is>
          <t>assets/art/weapons/weapon_3d/runtime/toaster_launcher/wpn_toaster_launcher_root_top3d_v001.tscn</t>
        </is>
      </c>
      <c r="P29" s="37" t="inlineStr">
        <is>
          <t>assets/art/weapons/weapon_3d/source/toaster_launcher/wpn_toaster_launcher_source_v001.blend; src/combat3d/WeaponModel3D.gd</t>
        </is>
      </c>
      <c r="Q29" s="37" t="inlineStr">
        <is>
          <t>bp_launcher; 烤面包机发射器; 握把原点; -Z枪口; 通用挂点; 多巴胺配色</t>
        </is>
      </c>
      <c r="R29" s="37">
        <f>LOWER(TRIM(C29)&amp;"|"&amp;TRIM(D29)&amp;"|"&amp;TRIM(E29)&amp;"|"&amp;TRIM(F29)&amp;"|"&amp;TRIM(H29)&amp;"|"&amp;TRIM(I29))</f>
        <v/>
      </c>
      <c r="S29" s="37" t="inlineStr">
        <is>
          <t>唯一</t>
        </is>
      </c>
      <c r="T29" s="37" t="inlineStr">
        <is>
          <t>461e79fd525624d53da47ed8d14923788c3ca3d5c9460ce4cfeef7394d28272f</t>
        </is>
      </c>
      <c r="U29" s="37" t="inlineStr">
        <is>
          <t>Codex</t>
        </is>
      </c>
      <c r="V29" s="128" t="n">
        <v>46244</v>
      </c>
      <c r="W29" s="37" t="inlineStr">
        <is>
          <t>用户自制Blender资产</t>
        </is>
      </c>
      <c r="X29" s="37" t="inlineStr">
        <is>
          <t>由18枪合集拆成独立资产；根节点即握把原点，枪口统一local -Z；无需玩家侧逐枪旋转补丁。</t>
        </is>
      </c>
    </row>
    <row r="30">
      <c r="A30" s="37" t="inlineStr">
        <is>
          <t>WPN-GUN-BP-CHARGE</t>
        </is>
      </c>
      <c r="B30" s="37" t="inlineStr">
        <is>
          <t>蓄力萝卜炮 / 口香糖机造型</t>
        </is>
      </c>
      <c r="C30" s="37" t="inlineStr">
        <is>
          <t>枪械</t>
        </is>
      </c>
      <c r="D30" s="37" t="inlineStr">
        <is>
          <t>gunbody</t>
        </is>
      </c>
      <c r="E30" s="37" t="inlineStr">
        <is>
          <t>bp_charge</t>
        </is>
      </c>
      <c r="F30" s="37" t="inlineStr">
        <is>
          <t>root</t>
        </is>
      </c>
      <c r="G30" s="37" t="str"/>
      <c r="H30" s="37" t="inlineStr">
        <is>
          <t>俯视3D / local -Z 枪口</t>
        </is>
      </c>
      <c r="I30" s="37" t="inlineStr">
        <is>
          <t>default / 标准握把与8类挂点</t>
        </is>
      </c>
      <c r="J30" s="37" t="inlineStr">
        <is>
          <t>手持/背负/地面/UI 共用独立PackedScene</t>
        </is>
      </c>
      <c r="K30" s="37" t="inlineStr">
        <is>
          <t>正式美术已接入</t>
        </is>
      </c>
      <c r="L30" s="37" t="inlineStr">
        <is>
          <t>P2</t>
        </is>
      </c>
      <c r="M30" s="37" t="inlineStr">
        <is>
          <t>v001</t>
        </is>
      </c>
      <c r="N30" s="37" t="inlineStr">
        <is>
          <t>握把原点；local -Z枪口；3材质；独立GLB/PackedScene</t>
        </is>
      </c>
      <c r="O30" s="37" t="inlineStr">
        <is>
          <t>assets/art/weapons/weapon_3d/runtime/gumball_cannon/wpn_gumball_cannon_root_top3d_v001.tscn</t>
        </is>
      </c>
      <c r="P30" s="37" t="inlineStr">
        <is>
          <t>assets/art/weapons/weapon_3d/source/gumball_cannon/wpn_gumball_cannon_source_v001.blend; src/combat3d/WeaponModel3D.gd</t>
        </is>
      </c>
      <c r="Q30" s="37" t="inlineStr">
        <is>
          <t>bp_charge; 口香糖机加农炮; 握把原点; -Z枪口; 通用挂点; 多巴胺配色</t>
        </is>
      </c>
      <c r="R30" s="37">
        <f>LOWER(TRIM(C30)&amp;"|"&amp;TRIM(D30)&amp;"|"&amp;TRIM(E30)&amp;"|"&amp;TRIM(F30)&amp;"|"&amp;TRIM(H30)&amp;"|"&amp;TRIM(I30))</f>
        <v/>
      </c>
      <c r="S30" s="37" t="inlineStr">
        <is>
          <t>唯一</t>
        </is>
      </c>
      <c r="T30" s="37" t="inlineStr">
        <is>
          <t>94576279e46fcbca9d2587bdfdbf7498084557ac3903541c87c84ca1c575a6c4</t>
        </is>
      </c>
      <c r="U30" s="37" t="inlineStr">
        <is>
          <t>Codex</t>
        </is>
      </c>
      <c r="V30" s="128" t="n">
        <v>46244</v>
      </c>
      <c r="W30" s="37" t="inlineStr">
        <is>
          <t>用户自制Blender资产</t>
        </is>
      </c>
      <c r="X30" s="37" t="inlineStr">
        <is>
          <t>由18枪合集拆成独立资产；根节点即握把原点，枪口统一local -Z；无需玩家侧逐枪旋转补丁。</t>
        </is>
      </c>
    </row>
    <row r="31">
      <c r="A31" s="37" t="inlineStr">
        <is>
          <t>WPN-BUL-MOD-BULLET-STANDARD</t>
        </is>
      </c>
      <c r="B31" s="37" t="inlineStr">
        <is>
          <t>标准子弹</t>
        </is>
      </c>
      <c r="C31" s="37" t="inlineStr">
        <is>
          <t>枪械</t>
        </is>
      </c>
      <c r="D31" s="37" t="inlineStr">
        <is>
          <t>bullet_module</t>
        </is>
      </c>
      <c r="E31" s="37" t="inlineStr">
        <is>
          <t>mod_bullet_standard</t>
        </is>
      </c>
      <c r="F31" s="37" t="inlineStr">
        <is>
          <t>root</t>
        </is>
      </c>
      <c r="G31" s="37" t="str"/>
      <c r="H31" s="37" t="inlineStr">
        <is>
          <t>顶视/方向无关</t>
        </is>
      </c>
      <c r="I31" s="37" t="inlineStr">
        <is>
          <t>default</t>
        </is>
      </c>
      <c r="J31" s="37" t="inlineStr">
        <is>
          <t>弹体/VFX/UI 图标</t>
        </is>
      </c>
      <c r="K31" s="37" t="inlineStr">
        <is>
          <t>程序占位</t>
        </is>
      </c>
      <c r="L31" s="37" t="inlineStr">
        <is>
          <t>P1</t>
        </is>
      </c>
      <c r="M31" s="37" t="inlineStr">
        <is>
          <t>v001</t>
        </is>
      </c>
      <c r="N31" s="37" t="inlineStr">
        <is>
          <t>建议 12×12 px</t>
        </is>
      </c>
      <c r="O31" s="37" t="str"/>
      <c r="P31" s="37" t="inlineStr">
        <is>
          <t>src/base/BlueprintRegistry.gd</t>
        </is>
      </c>
      <c r="Q31" s="37" t="str"/>
      <c r="R31" s="37">
        <f>LOWER(TRIM(C31)&amp;"|"&amp;TRIM(D31)&amp;"|"&amp;TRIM(E31)&amp;"|"&amp;TRIM(F31)&amp;"|"&amp;TRIM(H31)&amp;"|"&amp;TRIM(I31))</f>
        <v/>
      </c>
      <c r="S31" s="37">
        <f>IF(A31="","",IF(COUNTIF($R$6:$R$162,R31)&gt;1,"重复","唯一"))</f>
        <v/>
      </c>
      <c r="T31" s="37" t="str"/>
      <c r="U31" s="37" t="inlineStr">
        <is>
          <t>待分配</t>
        </is>
      </c>
      <c r="V31" s="128" t="n">
        <v>46224</v>
      </c>
      <c r="W31" s="37" t="inlineStr">
        <is>
          <t>原创/待确认</t>
        </is>
      </c>
      <c r="X31" s="37" t="inlineStr">
        <is>
          <t>优先复用颜色和弹道特效，不为每把枪重复制作</t>
        </is>
      </c>
    </row>
    <row r="32">
      <c r="A32" s="37" t="inlineStr">
        <is>
          <t>WPN-BUL-MOD-BULLET-STICKY</t>
        </is>
      </c>
      <c r="B32" s="37" t="inlineStr">
        <is>
          <t>黏黏弹</t>
        </is>
      </c>
      <c r="C32" s="37" t="inlineStr">
        <is>
          <t>枪械</t>
        </is>
      </c>
      <c r="D32" s="37" t="inlineStr">
        <is>
          <t>bullet_module</t>
        </is>
      </c>
      <c r="E32" s="37" t="inlineStr">
        <is>
          <t>mod_bullet_sticky</t>
        </is>
      </c>
      <c r="F32" s="37" t="inlineStr">
        <is>
          <t>root</t>
        </is>
      </c>
      <c r="G32" s="37" t="str"/>
      <c r="H32" s="37" t="inlineStr">
        <is>
          <t>顶视/方向无关</t>
        </is>
      </c>
      <c r="I32" s="37" t="inlineStr">
        <is>
          <t>default</t>
        </is>
      </c>
      <c r="J32" s="37" t="inlineStr">
        <is>
          <t>弹体/VFX/UI 图标</t>
        </is>
      </c>
      <c r="K32" s="37" t="inlineStr">
        <is>
          <t>程序占位</t>
        </is>
      </c>
      <c r="L32" s="37" t="inlineStr">
        <is>
          <t>P1</t>
        </is>
      </c>
      <c r="M32" s="37" t="inlineStr">
        <is>
          <t>v001</t>
        </is>
      </c>
      <c r="N32" s="37" t="inlineStr">
        <is>
          <t>建议 12×12 px</t>
        </is>
      </c>
      <c r="O32" s="37" t="str"/>
      <c r="P32" s="37" t="inlineStr">
        <is>
          <t>src/base/BlueprintRegistry.gd</t>
        </is>
      </c>
      <c r="Q32" s="37" t="str"/>
      <c r="R32" s="37">
        <f>LOWER(TRIM(C32)&amp;"|"&amp;TRIM(D32)&amp;"|"&amp;TRIM(E32)&amp;"|"&amp;TRIM(F32)&amp;"|"&amp;TRIM(H32)&amp;"|"&amp;TRIM(I32))</f>
        <v/>
      </c>
      <c r="S32" s="37">
        <f>IF(A32="","",IF(COUNTIF($R$6:$R$162,R32)&gt;1,"重复","唯一"))</f>
        <v/>
      </c>
      <c r="T32" s="37" t="str"/>
      <c r="U32" s="37" t="inlineStr">
        <is>
          <t>待分配</t>
        </is>
      </c>
      <c r="V32" s="128" t="n">
        <v>46224</v>
      </c>
      <c r="W32" s="37" t="inlineStr">
        <is>
          <t>原创/待确认</t>
        </is>
      </c>
      <c r="X32" s="37" t="inlineStr">
        <is>
          <t>优先复用颜色和弹道特效，不为每把枪重复制作</t>
        </is>
      </c>
    </row>
    <row r="33">
      <c r="A33" s="37" t="inlineStr">
        <is>
          <t>WPN-BUL-MOD-BULLET-BOUNCE</t>
        </is>
      </c>
      <c r="B33" s="37" t="inlineStr">
        <is>
          <t>回旋镖弹</t>
        </is>
      </c>
      <c r="C33" s="37" t="inlineStr">
        <is>
          <t>枪械</t>
        </is>
      </c>
      <c r="D33" s="37" t="inlineStr">
        <is>
          <t>bullet_module</t>
        </is>
      </c>
      <c r="E33" s="37" t="inlineStr">
        <is>
          <t>mod_bullet_bounce</t>
        </is>
      </c>
      <c r="F33" s="37" t="inlineStr">
        <is>
          <t>root</t>
        </is>
      </c>
      <c r="G33" s="37" t="str"/>
      <c r="H33" s="37" t="inlineStr">
        <is>
          <t>顶视/方向无关</t>
        </is>
      </c>
      <c r="I33" s="37" t="inlineStr">
        <is>
          <t>default</t>
        </is>
      </c>
      <c r="J33" s="37" t="inlineStr">
        <is>
          <t>弹体/VFX/UI 图标</t>
        </is>
      </c>
      <c r="K33" s="37" t="inlineStr">
        <is>
          <t>程序占位</t>
        </is>
      </c>
      <c r="L33" s="37" t="inlineStr">
        <is>
          <t>P1</t>
        </is>
      </c>
      <c r="M33" s="37" t="inlineStr">
        <is>
          <t>v001</t>
        </is>
      </c>
      <c r="N33" s="37" t="inlineStr">
        <is>
          <t>建议 12×12 px</t>
        </is>
      </c>
      <c r="O33" s="37" t="str"/>
      <c r="P33" s="37" t="inlineStr">
        <is>
          <t>src/base/BlueprintRegistry.gd</t>
        </is>
      </c>
      <c r="Q33" s="37" t="str"/>
      <c r="R33" s="37">
        <f>LOWER(TRIM(C33)&amp;"|"&amp;TRIM(D33)&amp;"|"&amp;TRIM(E33)&amp;"|"&amp;TRIM(F33)&amp;"|"&amp;TRIM(H33)&amp;"|"&amp;TRIM(I33))</f>
        <v/>
      </c>
      <c r="S33" s="37">
        <f>IF(A33="","",IF(COUNTIF($R$6:$R$162,R33)&gt;1,"重复","唯一"))</f>
        <v/>
      </c>
      <c r="T33" s="37" t="str"/>
      <c r="U33" s="37" t="inlineStr">
        <is>
          <t>待分配</t>
        </is>
      </c>
      <c r="V33" s="128" t="n">
        <v>46224</v>
      </c>
      <c r="W33" s="37" t="inlineStr">
        <is>
          <t>原创/待确认</t>
        </is>
      </c>
      <c r="X33" s="37" t="inlineStr">
        <is>
          <t>优先复用颜色和弹道特效，不为每把枪重复制作</t>
        </is>
      </c>
    </row>
    <row r="34">
      <c r="A34" s="37" t="inlineStr">
        <is>
          <t>WPN-BUL-MOD-BULLET-PIERCING</t>
        </is>
      </c>
      <c r="B34" s="37" t="inlineStr">
        <is>
          <t>穿甲弹</t>
        </is>
      </c>
      <c r="C34" s="37" t="inlineStr">
        <is>
          <t>枪械</t>
        </is>
      </c>
      <c r="D34" s="37" t="inlineStr">
        <is>
          <t>bullet_module</t>
        </is>
      </c>
      <c r="E34" s="37" t="inlineStr">
        <is>
          <t>mod_bullet_piercing</t>
        </is>
      </c>
      <c r="F34" s="37" t="inlineStr">
        <is>
          <t>root</t>
        </is>
      </c>
      <c r="G34" s="37" t="str"/>
      <c r="H34" s="37" t="inlineStr">
        <is>
          <t>顶视/方向无关</t>
        </is>
      </c>
      <c r="I34" s="37" t="inlineStr">
        <is>
          <t>default</t>
        </is>
      </c>
      <c r="J34" s="37" t="inlineStr">
        <is>
          <t>弹体/VFX/UI 图标</t>
        </is>
      </c>
      <c r="K34" s="37" t="inlineStr">
        <is>
          <t>程序占位</t>
        </is>
      </c>
      <c r="L34" s="37" t="inlineStr">
        <is>
          <t>P1</t>
        </is>
      </c>
      <c r="M34" s="37" t="inlineStr">
        <is>
          <t>v001</t>
        </is>
      </c>
      <c r="N34" s="37" t="inlineStr">
        <is>
          <t>建议 12×12 px</t>
        </is>
      </c>
      <c r="O34" s="37" t="str"/>
      <c r="P34" s="37" t="inlineStr">
        <is>
          <t>src/base/BlueprintRegistry.gd</t>
        </is>
      </c>
      <c r="Q34" s="37" t="str"/>
      <c r="R34" s="37">
        <f>LOWER(TRIM(C34)&amp;"|"&amp;TRIM(D34)&amp;"|"&amp;TRIM(E34)&amp;"|"&amp;TRIM(F34)&amp;"|"&amp;TRIM(H34)&amp;"|"&amp;TRIM(I34))</f>
        <v/>
      </c>
      <c r="S34" s="37">
        <f>IF(A34="","",IF(COUNTIF($R$6:$R$162,R34)&gt;1,"重复","唯一"))</f>
        <v/>
      </c>
      <c r="T34" s="37" t="str"/>
      <c r="U34" s="37" t="inlineStr">
        <is>
          <t>待分配</t>
        </is>
      </c>
      <c r="V34" s="128" t="n">
        <v>46224</v>
      </c>
      <c r="W34" s="37" t="inlineStr">
        <is>
          <t>原创/待确认</t>
        </is>
      </c>
      <c r="X34" s="37" t="inlineStr">
        <is>
          <t>优先复用颜色和弹道特效，不为每把枪重复制作</t>
        </is>
      </c>
    </row>
    <row r="35">
      <c r="A35" s="37" t="inlineStr">
        <is>
          <t>WPN-BUL-MOD-BULLET-EXPLOSIVE</t>
        </is>
      </c>
      <c r="B35" s="37" t="inlineStr">
        <is>
          <t>爆炸弹</t>
        </is>
      </c>
      <c r="C35" s="37" t="inlineStr">
        <is>
          <t>枪械</t>
        </is>
      </c>
      <c r="D35" s="37" t="inlineStr">
        <is>
          <t>bullet_module</t>
        </is>
      </c>
      <c r="E35" s="37" t="inlineStr">
        <is>
          <t>mod_bullet_explosive</t>
        </is>
      </c>
      <c r="F35" s="37" t="inlineStr">
        <is>
          <t>root</t>
        </is>
      </c>
      <c r="G35" s="37" t="str"/>
      <c r="H35" s="37" t="inlineStr">
        <is>
          <t>顶视/方向无关</t>
        </is>
      </c>
      <c r="I35" s="37" t="inlineStr">
        <is>
          <t>default</t>
        </is>
      </c>
      <c r="J35" s="37" t="inlineStr">
        <is>
          <t>弹体/VFX/UI 图标</t>
        </is>
      </c>
      <c r="K35" s="37" t="inlineStr">
        <is>
          <t>程序占位</t>
        </is>
      </c>
      <c r="L35" s="37" t="inlineStr">
        <is>
          <t>P1</t>
        </is>
      </c>
      <c r="M35" s="37" t="inlineStr">
        <is>
          <t>v001</t>
        </is>
      </c>
      <c r="N35" s="37" t="inlineStr">
        <is>
          <t>建议 12×12 px</t>
        </is>
      </c>
      <c r="O35" s="37" t="str"/>
      <c r="P35" s="37" t="inlineStr">
        <is>
          <t>src/base/BlueprintRegistry.gd</t>
        </is>
      </c>
      <c r="Q35" s="37" t="str"/>
      <c r="R35" s="37">
        <f>LOWER(TRIM(C35)&amp;"|"&amp;TRIM(D35)&amp;"|"&amp;TRIM(E35)&amp;"|"&amp;TRIM(F35)&amp;"|"&amp;TRIM(H35)&amp;"|"&amp;TRIM(I35))</f>
        <v/>
      </c>
      <c r="S35" s="37">
        <f>IF(A35="","",IF(COUNTIF($R$6:$R$162,R35)&gt;1,"重复","唯一"))</f>
        <v/>
      </c>
      <c r="T35" s="37" t="str"/>
      <c r="U35" s="37" t="inlineStr">
        <is>
          <t>待分配</t>
        </is>
      </c>
      <c r="V35" s="128" t="n">
        <v>46224</v>
      </c>
      <c r="W35" s="37" t="inlineStr">
        <is>
          <t>原创/待确认</t>
        </is>
      </c>
      <c r="X35" s="37" t="inlineStr">
        <is>
          <t>优先复用颜色和弹道特效，不为每把枪重复制作</t>
        </is>
      </c>
    </row>
    <row r="36">
      <c r="A36" s="37" t="inlineStr">
        <is>
          <t>WPN-BUL-MOD-BULLET-HOMING</t>
        </is>
      </c>
      <c r="B36" s="37" t="inlineStr">
        <is>
          <t>蜂卵弹</t>
        </is>
      </c>
      <c r="C36" s="37" t="inlineStr">
        <is>
          <t>枪械</t>
        </is>
      </c>
      <c r="D36" s="37" t="inlineStr">
        <is>
          <t>bullet_module</t>
        </is>
      </c>
      <c r="E36" s="37" t="inlineStr">
        <is>
          <t>mod_bullet_homing</t>
        </is>
      </c>
      <c r="F36" s="37" t="inlineStr">
        <is>
          <t>root</t>
        </is>
      </c>
      <c r="G36" s="37" t="str"/>
      <c r="H36" s="37" t="inlineStr">
        <is>
          <t>顶视/方向无关</t>
        </is>
      </c>
      <c r="I36" s="37" t="inlineStr">
        <is>
          <t>default</t>
        </is>
      </c>
      <c r="J36" s="37" t="inlineStr">
        <is>
          <t>弹体/VFX/UI 图标</t>
        </is>
      </c>
      <c r="K36" s="37" t="inlineStr">
        <is>
          <t>程序占位</t>
        </is>
      </c>
      <c r="L36" s="37" t="inlineStr">
        <is>
          <t>P1</t>
        </is>
      </c>
      <c r="M36" s="37" t="inlineStr">
        <is>
          <t>v001</t>
        </is>
      </c>
      <c r="N36" s="37" t="inlineStr">
        <is>
          <t>建议 12×12 px</t>
        </is>
      </c>
      <c r="O36" s="37" t="str"/>
      <c r="P36" s="37" t="inlineStr">
        <is>
          <t>src/base/BlueprintRegistry.gd</t>
        </is>
      </c>
      <c r="Q36" s="37" t="str"/>
      <c r="R36" s="37">
        <f>LOWER(TRIM(C36)&amp;"|"&amp;TRIM(D36)&amp;"|"&amp;TRIM(E36)&amp;"|"&amp;TRIM(F36)&amp;"|"&amp;TRIM(H36)&amp;"|"&amp;TRIM(I36))</f>
        <v/>
      </c>
      <c r="S36" s="37">
        <f>IF(A36="","",IF(COUNTIF($R$6:$R$162,R36)&gt;1,"重复","唯一"))</f>
        <v/>
      </c>
      <c r="T36" s="37" t="str"/>
      <c r="U36" s="37" t="inlineStr">
        <is>
          <t>待分配</t>
        </is>
      </c>
      <c r="V36" s="128" t="n">
        <v>46224</v>
      </c>
      <c r="W36" s="37" t="inlineStr">
        <is>
          <t>原创/待确认</t>
        </is>
      </c>
      <c r="X36" s="37" t="inlineStr">
        <is>
          <t>优先复用颜色和弹道特效，不为每把枪重复制作</t>
        </is>
      </c>
    </row>
    <row r="37">
      <c r="A37" s="37" t="inlineStr">
        <is>
          <t>WPN-BUL-MOD-BULLET-BLACKHOLE</t>
        </is>
      </c>
      <c r="B37" s="37" t="inlineStr">
        <is>
          <t>黑洞弹</t>
        </is>
      </c>
      <c r="C37" s="37" t="inlineStr">
        <is>
          <t>枪械</t>
        </is>
      </c>
      <c r="D37" s="37" t="inlineStr">
        <is>
          <t>bullet_module</t>
        </is>
      </c>
      <c r="E37" s="37" t="inlineStr">
        <is>
          <t>mod_bullet_blackhole</t>
        </is>
      </c>
      <c r="F37" s="37" t="inlineStr">
        <is>
          <t>root</t>
        </is>
      </c>
      <c r="G37" s="37" t="str"/>
      <c r="H37" s="37" t="inlineStr">
        <is>
          <t>顶视/方向无关</t>
        </is>
      </c>
      <c r="I37" s="37" t="inlineStr">
        <is>
          <t>default</t>
        </is>
      </c>
      <c r="J37" s="37" t="inlineStr">
        <is>
          <t>弹体/VFX/UI 图标</t>
        </is>
      </c>
      <c r="K37" s="37" t="inlineStr">
        <is>
          <t>程序占位</t>
        </is>
      </c>
      <c r="L37" s="37" t="inlineStr">
        <is>
          <t>P1</t>
        </is>
      </c>
      <c r="M37" s="37" t="inlineStr">
        <is>
          <t>v001</t>
        </is>
      </c>
      <c r="N37" s="37" t="inlineStr">
        <is>
          <t>建议 12×12 px</t>
        </is>
      </c>
      <c r="O37" s="37" t="str"/>
      <c r="P37" s="37" t="inlineStr">
        <is>
          <t>src/base/BlueprintRegistry.gd</t>
        </is>
      </c>
      <c r="Q37" s="37" t="str"/>
      <c r="R37" s="37">
        <f>LOWER(TRIM(C37)&amp;"|"&amp;TRIM(D37)&amp;"|"&amp;TRIM(E37)&amp;"|"&amp;TRIM(F37)&amp;"|"&amp;TRIM(H37)&amp;"|"&amp;TRIM(I37))</f>
        <v/>
      </c>
      <c r="S37" s="37">
        <f>IF(A37="","",IF(COUNTIF($R$6:$R$162,R37)&gt;1,"重复","唯一"))</f>
        <v/>
      </c>
      <c r="T37" s="37" t="str"/>
      <c r="U37" s="37" t="inlineStr">
        <is>
          <t>待分配</t>
        </is>
      </c>
      <c r="V37" s="128" t="n">
        <v>46224</v>
      </c>
      <c r="W37" s="37" t="inlineStr">
        <is>
          <t>原创/待确认</t>
        </is>
      </c>
      <c r="X37" s="37" t="inlineStr">
        <is>
          <t>优先复用颜色和弹道特效，不为每把枪重复制作</t>
        </is>
      </c>
    </row>
    <row r="38">
      <c r="A38" s="37" t="inlineStr">
        <is>
          <t>WPN-BUL-MOD-BULLET-BALLOON</t>
        </is>
      </c>
      <c r="B38" s="37" t="inlineStr">
        <is>
          <t>气球弹</t>
        </is>
      </c>
      <c r="C38" s="37" t="inlineStr">
        <is>
          <t>枪械</t>
        </is>
      </c>
      <c r="D38" s="37" t="inlineStr">
        <is>
          <t>bullet_module</t>
        </is>
      </c>
      <c r="E38" s="37" t="inlineStr">
        <is>
          <t>mod_bullet_balloon</t>
        </is>
      </c>
      <c r="F38" s="37" t="inlineStr">
        <is>
          <t>root</t>
        </is>
      </c>
      <c r="G38" s="37" t="str"/>
      <c r="H38" s="37" t="inlineStr">
        <is>
          <t>顶视/方向无关</t>
        </is>
      </c>
      <c r="I38" s="37" t="inlineStr">
        <is>
          <t>default</t>
        </is>
      </c>
      <c r="J38" s="37" t="inlineStr">
        <is>
          <t>弹体/VFX/UI 图标</t>
        </is>
      </c>
      <c r="K38" s="37" t="inlineStr">
        <is>
          <t>程序占位</t>
        </is>
      </c>
      <c r="L38" s="37" t="inlineStr">
        <is>
          <t>P1</t>
        </is>
      </c>
      <c r="M38" s="37" t="inlineStr">
        <is>
          <t>v001</t>
        </is>
      </c>
      <c r="N38" s="37" t="inlineStr">
        <is>
          <t>建议 12×12 px</t>
        </is>
      </c>
      <c r="O38" s="37" t="str"/>
      <c r="P38" s="37" t="inlineStr">
        <is>
          <t>src/base/BlueprintRegistry.gd</t>
        </is>
      </c>
      <c r="Q38" s="37" t="str"/>
      <c r="R38" s="37">
        <f>LOWER(TRIM(C38)&amp;"|"&amp;TRIM(D38)&amp;"|"&amp;TRIM(E38)&amp;"|"&amp;TRIM(F38)&amp;"|"&amp;TRIM(H38)&amp;"|"&amp;TRIM(I38))</f>
        <v/>
      </c>
      <c r="S38" s="37">
        <f>IF(A38="","",IF(COUNTIF($R$6:$R$162,R38)&gt;1,"重复","唯一"))</f>
        <v/>
      </c>
      <c r="T38" s="37" t="str"/>
      <c r="U38" s="37" t="inlineStr">
        <is>
          <t>待分配</t>
        </is>
      </c>
      <c r="V38" s="128" t="n">
        <v>46224</v>
      </c>
      <c r="W38" s="37" t="inlineStr">
        <is>
          <t>原创/待确认</t>
        </is>
      </c>
      <c r="X38" s="37" t="inlineStr">
        <is>
          <t>优先复用颜色和弹道特效，不为每把枪重复制作</t>
        </is>
      </c>
    </row>
    <row r="39">
      <c r="A39" s="37" t="inlineStr">
        <is>
          <t>WPN-ATT-ATTACH-TRIPLE-MUZZLE</t>
        </is>
      </c>
      <c r="B39" s="37" t="inlineStr">
        <is>
          <t>三叉枪口</t>
        </is>
      </c>
      <c r="C39" s="37" t="inlineStr">
        <is>
          <t>枪械</t>
        </is>
      </c>
      <c r="D39" s="37" t="inlineStr">
        <is>
          <t>attachment</t>
        </is>
      </c>
      <c r="E39" s="37" t="inlineStr">
        <is>
          <t>attach_triple_muzzle</t>
        </is>
      </c>
      <c r="F39" s="37" t="inlineStr">
        <is>
          <t>root</t>
        </is>
      </c>
      <c r="G39" s="37" t="str"/>
      <c r="H39" s="37" t="inlineStr">
        <is>
          <t>侧面朝右</t>
        </is>
      </c>
      <c r="I39" s="37" t="inlineStr">
        <is>
          <t>default</t>
        </is>
      </c>
      <c r="J39" s="37" t="inlineStr">
        <is>
          <t>装配树/枪身/UI 图标</t>
        </is>
      </c>
      <c r="K39" s="37" t="inlineStr">
        <is>
          <t>程序占位</t>
        </is>
      </c>
      <c r="L39" s="37" t="inlineStr">
        <is>
          <t>P2</t>
        </is>
      </c>
      <c r="M39" s="37" t="inlineStr">
        <is>
          <t>v001</t>
        </is>
      </c>
      <c r="N39" s="37" t="inlineStr">
        <is>
          <t>建议 12–24 px</t>
        </is>
      </c>
      <c r="O39" s="37" t="str"/>
      <c r="P39" s="37" t="inlineStr">
        <is>
          <t>src/base/BlueprintRegistry.gd</t>
        </is>
      </c>
      <c r="Q39" s="37" t="str"/>
      <c r="R39" s="37">
        <f>LOWER(TRIM(C39)&amp;"|"&amp;TRIM(D39)&amp;"|"&amp;TRIM(E39)&amp;"|"&amp;TRIM(F39)&amp;"|"&amp;TRIM(H39)&amp;"|"&amp;TRIM(I39))</f>
        <v/>
      </c>
      <c r="S39" s="37">
        <f>IF(A39="","",IF(COUNTIF($R$6:$R$162,R39)&gt;1,"重复","唯一"))</f>
        <v/>
      </c>
      <c r="T39" s="37" t="str"/>
      <c r="U39" s="37" t="inlineStr">
        <is>
          <t>待分配</t>
        </is>
      </c>
      <c r="V39" s="128" t="n">
        <v>46224</v>
      </c>
      <c r="W39" s="37" t="inlineStr">
        <is>
          <t>原创/待确认</t>
        </is>
      </c>
      <c r="X39" s="37" t="inlineStr">
        <is>
          <t>以挂点部件制作，不烘焙进整枪</t>
        </is>
      </c>
    </row>
    <row r="40">
      <c r="A40" s="37" t="inlineStr">
        <is>
          <t>WPN-ATT-ATTACH-RUBBER-STOCK</t>
        </is>
      </c>
      <c r="B40" s="37" t="inlineStr">
        <is>
          <t>橡皮枪托</t>
        </is>
      </c>
      <c r="C40" s="37" t="inlineStr">
        <is>
          <t>枪械</t>
        </is>
      </c>
      <c r="D40" s="37" t="inlineStr">
        <is>
          <t>attachment</t>
        </is>
      </c>
      <c r="E40" s="37" t="inlineStr">
        <is>
          <t>attach_rubber_stock</t>
        </is>
      </c>
      <c r="F40" s="37" t="inlineStr">
        <is>
          <t>root</t>
        </is>
      </c>
      <c r="G40" s="37" t="str"/>
      <c r="H40" s="37" t="inlineStr">
        <is>
          <t>侧面朝右</t>
        </is>
      </c>
      <c r="I40" s="37" t="inlineStr">
        <is>
          <t>default</t>
        </is>
      </c>
      <c r="J40" s="37" t="inlineStr">
        <is>
          <t>装配树/枪身/UI 图标</t>
        </is>
      </c>
      <c r="K40" s="37" t="inlineStr">
        <is>
          <t>程序占位</t>
        </is>
      </c>
      <c r="L40" s="37" t="inlineStr">
        <is>
          <t>P2</t>
        </is>
      </c>
      <c r="M40" s="37" t="inlineStr">
        <is>
          <t>v001</t>
        </is>
      </c>
      <c r="N40" s="37" t="inlineStr">
        <is>
          <t>建议 12–24 px</t>
        </is>
      </c>
      <c r="O40" s="37" t="str"/>
      <c r="P40" s="37" t="inlineStr">
        <is>
          <t>src/base/BlueprintRegistry.gd</t>
        </is>
      </c>
      <c r="Q40" s="37" t="str"/>
      <c r="R40" s="37">
        <f>LOWER(TRIM(C40)&amp;"|"&amp;TRIM(D40)&amp;"|"&amp;TRIM(E40)&amp;"|"&amp;TRIM(F40)&amp;"|"&amp;TRIM(H40)&amp;"|"&amp;TRIM(I40))</f>
        <v/>
      </c>
      <c r="S40" s="37">
        <f>IF(A40="","",IF(COUNTIF($R$6:$R$162,R40)&gt;1,"重复","唯一"))</f>
        <v/>
      </c>
      <c r="T40" s="37" t="str"/>
      <c r="U40" s="37" t="inlineStr">
        <is>
          <t>待分配</t>
        </is>
      </c>
      <c r="V40" s="128" t="n">
        <v>46224</v>
      </c>
      <c r="W40" s="37" t="inlineStr">
        <is>
          <t>原创/待确认</t>
        </is>
      </c>
      <c r="X40" s="37" t="inlineStr">
        <is>
          <t>以挂点部件制作，不烘焙进整枪</t>
        </is>
      </c>
    </row>
    <row r="41">
      <c r="A41" s="37" t="inlineStr">
        <is>
          <t>WPN-ATT-ATTACH-SCOPE</t>
        </is>
      </c>
      <c r="B41" s="37" t="inlineStr">
        <is>
          <t>放大镜瞄具</t>
        </is>
      </c>
      <c r="C41" s="37" t="inlineStr">
        <is>
          <t>枪械</t>
        </is>
      </c>
      <c r="D41" s="37" t="inlineStr">
        <is>
          <t>attachment</t>
        </is>
      </c>
      <c r="E41" s="37" t="inlineStr">
        <is>
          <t>attach_scope</t>
        </is>
      </c>
      <c r="F41" s="37" t="inlineStr">
        <is>
          <t>root</t>
        </is>
      </c>
      <c r="G41" s="37" t="str"/>
      <c r="H41" s="37" t="inlineStr">
        <is>
          <t>侧面朝右</t>
        </is>
      </c>
      <c r="I41" s="37" t="inlineStr">
        <is>
          <t>default</t>
        </is>
      </c>
      <c r="J41" s="37" t="inlineStr">
        <is>
          <t>装配树/枪身/UI 图标</t>
        </is>
      </c>
      <c r="K41" s="37" t="inlineStr">
        <is>
          <t>程序占位</t>
        </is>
      </c>
      <c r="L41" s="37" t="inlineStr">
        <is>
          <t>P2</t>
        </is>
      </c>
      <c r="M41" s="37" t="inlineStr">
        <is>
          <t>v001</t>
        </is>
      </c>
      <c r="N41" s="37" t="inlineStr">
        <is>
          <t>建议 12–24 px</t>
        </is>
      </c>
      <c r="O41" s="37" t="str"/>
      <c r="P41" s="37" t="inlineStr">
        <is>
          <t>src/base/BlueprintRegistry.gd</t>
        </is>
      </c>
      <c r="Q41" s="37" t="str"/>
      <c r="R41" s="37">
        <f>LOWER(TRIM(C41)&amp;"|"&amp;TRIM(D41)&amp;"|"&amp;TRIM(E41)&amp;"|"&amp;TRIM(F41)&amp;"|"&amp;TRIM(H41)&amp;"|"&amp;TRIM(I41))</f>
        <v/>
      </c>
      <c r="S41" s="37">
        <f>IF(A41="","",IF(COUNTIF($R$6:$R$162,R41)&gt;1,"重复","唯一"))</f>
        <v/>
      </c>
      <c r="T41" s="37" t="str"/>
      <c r="U41" s="37" t="inlineStr">
        <is>
          <t>待分配</t>
        </is>
      </c>
      <c r="V41" s="128" t="n">
        <v>46224</v>
      </c>
      <c r="W41" s="37" t="inlineStr">
        <is>
          <t>原创/待确认</t>
        </is>
      </c>
      <c r="X41" s="37" t="inlineStr">
        <is>
          <t>以挂点部件制作，不烘焙进整枪</t>
        </is>
      </c>
    </row>
    <row r="42">
      <c r="A42" s="37" t="inlineStr">
        <is>
          <t>WPN-ATT-ATTACH-BIG-MAG</t>
        </is>
      </c>
      <c r="B42" s="37" t="inlineStr">
        <is>
          <t>肉质弹匣</t>
        </is>
      </c>
      <c r="C42" s="37" t="inlineStr">
        <is>
          <t>枪械</t>
        </is>
      </c>
      <c r="D42" s="37" t="inlineStr">
        <is>
          <t>attachment</t>
        </is>
      </c>
      <c r="E42" s="37" t="inlineStr">
        <is>
          <t>attach_big_mag</t>
        </is>
      </c>
      <c r="F42" s="37" t="inlineStr">
        <is>
          <t>root</t>
        </is>
      </c>
      <c r="G42" s="37" t="str"/>
      <c r="H42" s="37" t="inlineStr">
        <is>
          <t>侧面朝右</t>
        </is>
      </c>
      <c r="I42" s="37" t="inlineStr">
        <is>
          <t>default</t>
        </is>
      </c>
      <c r="J42" s="37" t="inlineStr">
        <is>
          <t>装配树/枪身/UI 图标</t>
        </is>
      </c>
      <c r="K42" s="37" t="inlineStr">
        <is>
          <t>程序占位</t>
        </is>
      </c>
      <c r="L42" s="37" t="inlineStr">
        <is>
          <t>P2</t>
        </is>
      </c>
      <c r="M42" s="37" t="inlineStr">
        <is>
          <t>v001</t>
        </is>
      </c>
      <c r="N42" s="37" t="inlineStr">
        <is>
          <t>建议 12–24 px</t>
        </is>
      </c>
      <c r="O42" s="37" t="str"/>
      <c r="P42" s="37" t="inlineStr">
        <is>
          <t>src/base/BlueprintRegistry.gd</t>
        </is>
      </c>
      <c r="Q42" s="37" t="str"/>
      <c r="R42" s="37">
        <f>LOWER(TRIM(C42)&amp;"|"&amp;TRIM(D42)&amp;"|"&amp;TRIM(E42)&amp;"|"&amp;TRIM(F42)&amp;"|"&amp;TRIM(H42)&amp;"|"&amp;TRIM(I42))</f>
        <v/>
      </c>
      <c r="S42" s="37">
        <f>IF(A42="","",IF(COUNTIF($R$6:$R$162,R42)&gt;1,"重复","唯一"))</f>
        <v/>
      </c>
      <c r="T42" s="37" t="str"/>
      <c r="U42" s="37" t="inlineStr">
        <is>
          <t>待分配</t>
        </is>
      </c>
      <c r="V42" s="128" t="n">
        <v>46224</v>
      </c>
      <c r="W42" s="37" t="inlineStr">
        <is>
          <t>原创/待确认</t>
        </is>
      </c>
      <c r="X42" s="37" t="inlineStr">
        <is>
          <t>以挂点部件制作，不烘焙进整枪</t>
        </is>
      </c>
    </row>
    <row r="43">
      <c r="A43" s="37" t="inlineStr">
        <is>
          <t>WPN-ATT-ATTACH-FAN</t>
        </is>
      </c>
      <c r="B43" s="37" t="inlineStr">
        <is>
          <t>小风扇</t>
        </is>
      </c>
      <c r="C43" s="37" t="inlineStr">
        <is>
          <t>枪械</t>
        </is>
      </c>
      <c r="D43" s="37" t="inlineStr">
        <is>
          <t>attachment</t>
        </is>
      </c>
      <c r="E43" s="37" t="inlineStr">
        <is>
          <t>attach_fan</t>
        </is>
      </c>
      <c r="F43" s="37" t="inlineStr">
        <is>
          <t>root</t>
        </is>
      </c>
      <c r="G43" s="37" t="str"/>
      <c r="H43" s="37" t="inlineStr">
        <is>
          <t>侧面朝右</t>
        </is>
      </c>
      <c r="I43" s="37" t="inlineStr">
        <is>
          <t>default</t>
        </is>
      </c>
      <c r="J43" s="37" t="inlineStr">
        <is>
          <t>装配树/枪身/UI 图标</t>
        </is>
      </c>
      <c r="K43" s="37" t="inlineStr">
        <is>
          <t>程序占位</t>
        </is>
      </c>
      <c r="L43" s="37" t="inlineStr">
        <is>
          <t>P2</t>
        </is>
      </c>
      <c r="M43" s="37" t="inlineStr">
        <is>
          <t>v001</t>
        </is>
      </c>
      <c r="N43" s="37" t="inlineStr">
        <is>
          <t>建议 12–24 px</t>
        </is>
      </c>
      <c r="O43" s="37" t="str"/>
      <c r="P43" s="37" t="inlineStr">
        <is>
          <t>src/base/BlueprintRegistry.gd</t>
        </is>
      </c>
      <c r="Q43" s="37" t="str"/>
      <c r="R43" s="37">
        <f>LOWER(TRIM(C43)&amp;"|"&amp;TRIM(D43)&amp;"|"&amp;TRIM(E43)&amp;"|"&amp;TRIM(F43)&amp;"|"&amp;TRIM(H43)&amp;"|"&amp;TRIM(I43))</f>
        <v/>
      </c>
      <c r="S43" s="37">
        <f>IF(A43="","",IF(COUNTIF($R$6:$R$162,R43)&gt;1,"重复","唯一"))</f>
        <v/>
      </c>
      <c r="T43" s="37" t="str"/>
      <c r="U43" s="37" t="inlineStr">
        <is>
          <t>待分配</t>
        </is>
      </c>
      <c r="V43" s="128" t="n">
        <v>46224</v>
      </c>
      <c r="W43" s="37" t="inlineStr">
        <is>
          <t>原创/待确认</t>
        </is>
      </c>
      <c r="X43" s="37" t="inlineStr">
        <is>
          <t>以挂点部件制作，不烘焙进整枪</t>
        </is>
      </c>
    </row>
    <row r="44">
      <c r="A44" s="37" t="inlineStr">
        <is>
          <t>WPN-ATT-ATTACH-COPY-STICKER</t>
        </is>
      </c>
      <c r="B44" s="37" t="inlineStr">
        <is>
          <t>复制贴纸</t>
        </is>
      </c>
      <c r="C44" s="37" t="inlineStr">
        <is>
          <t>枪械</t>
        </is>
      </c>
      <c r="D44" s="37" t="inlineStr">
        <is>
          <t>attachment</t>
        </is>
      </c>
      <c r="E44" s="37" t="inlineStr">
        <is>
          <t>attach_copy_sticker</t>
        </is>
      </c>
      <c r="F44" s="37" t="inlineStr">
        <is>
          <t>root</t>
        </is>
      </c>
      <c r="G44" s="37" t="str"/>
      <c r="H44" s="37" t="inlineStr">
        <is>
          <t>侧面朝右</t>
        </is>
      </c>
      <c r="I44" s="37" t="inlineStr">
        <is>
          <t>default</t>
        </is>
      </c>
      <c r="J44" s="37" t="inlineStr">
        <is>
          <t>装配树/枪身/UI 图标</t>
        </is>
      </c>
      <c r="K44" s="37" t="inlineStr">
        <is>
          <t>程序占位</t>
        </is>
      </c>
      <c r="L44" s="37" t="inlineStr">
        <is>
          <t>P2</t>
        </is>
      </c>
      <c r="M44" s="37" t="inlineStr">
        <is>
          <t>v001</t>
        </is>
      </c>
      <c r="N44" s="37" t="inlineStr">
        <is>
          <t>建议 12–24 px</t>
        </is>
      </c>
      <c r="O44" s="37" t="str"/>
      <c r="P44" s="37" t="inlineStr">
        <is>
          <t>src/base/BlueprintRegistry.gd</t>
        </is>
      </c>
      <c r="Q44" s="37" t="str"/>
      <c r="R44" s="37">
        <f>LOWER(TRIM(C44)&amp;"|"&amp;TRIM(D44)&amp;"|"&amp;TRIM(E44)&amp;"|"&amp;TRIM(F44)&amp;"|"&amp;TRIM(H44)&amp;"|"&amp;TRIM(I44))</f>
        <v/>
      </c>
      <c r="S44" s="37">
        <f>IF(A44="","",IF(COUNTIF($R$6:$R$162,R44)&gt;1,"重复","唯一"))</f>
        <v/>
      </c>
      <c r="T44" s="37" t="str"/>
      <c r="U44" s="37" t="inlineStr">
        <is>
          <t>待分配</t>
        </is>
      </c>
      <c r="V44" s="128" t="n">
        <v>46224</v>
      </c>
      <c r="W44" s="37" t="inlineStr">
        <is>
          <t>原创/待确认</t>
        </is>
      </c>
      <c r="X44" s="37" t="inlineStr">
        <is>
          <t>以挂点部件制作，不烘焙进整枪</t>
        </is>
      </c>
    </row>
    <row r="45">
      <c r="A45" s="37" t="inlineStr">
        <is>
          <t>ITM-CONSUMABLE-ITEM-BEACON</t>
        </is>
      </c>
      <c r="B45" s="37" t="inlineStr">
        <is>
          <t>撤离信标</t>
        </is>
      </c>
      <c r="C45" s="37" t="inlineStr">
        <is>
          <t>道具</t>
        </is>
      </c>
      <c r="D45" s="37" t="inlineStr">
        <is>
          <t>consumable</t>
        </is>
      </c>
      <c r="E45" s="37" t="inlineStr">
        <is>
          <t>item_beacon</t>
        </is>
      </c>
      <c r="F45" s="37" t="inlineStr">
        <is>
          <t>root</t>
        </is>
      </c>
      <c r="G45" s="37" t="str"/>
      <c r="H45" s="37" t="inlineStr">
        <is>
          <t>顶视/图标</t>
        </is>
      </c>
      <c r="I45" s="37" t="inlineStr">
        <is>
          <t>default</t>
        </is>
      </c>
      <c r="J45" s="37" t="inlineStr">
        <is>
          <t>世界拾取/UI 图标</t>
        </is>
      </c>
      <c r="K45" s="37" t="inlineStr">
        <is>
          <t>程序占位</t>
        </is>
      </c>
      <c r="L45" s="37" t="inlineStr">
        <is>
          <t>P0</t>
        </is>
      </c>
      <c r="M45" s="37" t="inlineStr">
        <is>
          <t>v001</t>
        </is>
      </c>
      <c r="N45" s="37" t="inlineStr">
        <is>
          <t>世界 24–40 px；UI 32 px</t>
        </is>
      </c>
      <c r="O45" s="37" t="str"/>
      <c r="P45" s="37" t="inlineStr">
        <is>
          <t>src/base/ItemRegistry.gd</t>
        </is>
      </c>
      <c r="Q45" s="37" t="str"/>
      <c r="R45" s="37">
        <f>LOWER(TRIM(C45)&amp;"|"&amp;TRIM(D45)&amp;"|"&amp;TRIM(E45)&amp;"|"&amp;TRIM(F45)&amp;"|"&amp;TRIM(H45)&amp;"|"&amp;TRIM(I45))</f>
        <v/>
      </c>
      <c r="S45" s="37">
        <f>IF(A45="","",IF(COUNTIF($R$6:$R$162,R45)&gt;1,"重复","唯一"))</f>
        <v/>
      </c>
      <c r="T45" s="37" t="str"/>
      <c r="U45" s="37" t="inlineStr">
        <is>
          <t>待分配</t>
        </is>
      </c>
      <c r="V45" s="128" t="n">
        <v>46224</v>
      </c>
      <c r="W45" s="37" t="inlineStr">
        <is>
          <t>原创/待确认</t>
        </is>
      </c>
      <c r="X45" s="37" t="str"/>
    </row>
    <row r="46">
      <c r="A46" s="37" t="inlineStr">
        <is>
          <t>ITM-KEY-ITEM-ROOM-KEY</t>
        </is>
      </c>
      <c r="B46" s="37" t="inlineStr">
        <is>
          <t>房间钥匙</t>
        </is>
      </c>
      <c r="C46" s="37" t="inlineStr">
        <is>
          <t>道具</t>
        </is>
      </c>
      <c r="D46" s="37" t="inlineStr">
        <is>
          <t>key</t>
        </is>
      </c>
      <c r="E46" s="37" t="inlineStr">
        <is>
          <t>item_room_key</t>
        </is>
      </c>
      <c r="F46" s="37" t="inlineStr">
        <is>
          <t>root</t>
        </is>
      </c>
      <c r="G46" s="37" t="str"/>
      <c r="H46" s="37" t="inlineStr">
        <is>
          <t>顶视/图标</t>
        </is>
      </c>
      <c r="I46" s="37" t="inlineStr">
        <is>
          <t>default</t>
        </is>
      </c>
      <c r="J46" s="37" t="inlineStr">
        <is>
          <t>世界拾取/UI 图标</t>
        </is>
      </c>
      <c r="K46" s="37" t="inlineStr">
        <is>
          <t>程序占位</t>
        </is>
      </c>
      <c r="L46" s="37" t="inlineStr">
        <is>
          <t>P0</t>
        </is>
      </c>
      <c r="M46" s="37" t="inlineStr">
        <is>
          <t>v001</t>
        </is>
      </c>
      <c r="N46" s="37" t="inlineStr">
        <is>
          <t>世界 24–40 px；UI 32 px</t>
        </is>
      </c>
      <c r="O46" s="37" t="str"/>
      <c r="P46" s="37" t="inlineStr">
        <is>
          <t>src/base/ItemRegistry.gd</t>
        </is>
      </c>
      <c r="Q46" s="37" t="str"/>
      <c r="R46" s="37">
        <f>LOWER(TRIM(C46)&amp;"|"&amp;TRIM(D46)&amp;"|"&amp;TRIM(E46)&amp;"|"&amp;TRIM(F46)&amp;"|"&amp;TRIM(H46)&amp;"|"&amp;TRIM(I46))</f>
        <v/>
      </c>
      <c r="S46" s="37">
        <f>IF(A46="","",IF(COUNTIF($R$6:$R$162,R46)&gt;1,"重复","唯一"))</f>
        <v/>
      </c>
      <c r="T46" s="37" t="str"/>
      <c r="U46" s="37" t="inlineStr">
        <is>
          <t>待分配</t>
        </is>
      </c>
      <c r="V46" s="128" t="n">
        <v>46224</v>
      </c>
      <c r="W46" s="37" t="inlineStr">
        <is>
          <t>原创/待确认</t>
        </is>
      </c>
      <c r="X46" s="37" t="str"/>
    </row>
    <row r="47">
      <c r="A47" s="37" t="inlineStr">
        <is>
          <t>ITM-PICKUP-SOUL-ORB</t>
        </is>
      </c>
      <c r="B47" s="37" t="inlineStr">
        <is>
          <t>灵魂球</t>
        </is>
      </c>
      <c r="C47" s="37" t="inlineStr">
        <is>
          <t>道具</t>
        </is>
      </c>
      <c r="D47" s="37" t="inlineStr">
        <is>
          <t>pickup</t>
        </is>
      </c>
      <c r="E47" s="37" t="inlineStr">
        <is>
          <t>soul_orb</t>
        </is>
      </c>
      <c r="F47" s="37" t="inlineStr">
        <is>
          <t>root</t>
        </is>
      </c>
      <c r="G47" s="37" t="str"/>
      <c r="H47" s="37" t="inlineStr">
        <is>
          <t>顶视/图标</t>
        </is>
      </c>
      <c r="I47" s="37" t="inlineStr">
        <is>
          <t>default</t>
        </is>
      </c>
      <c r="J47" s="37" t="inlineStr">
        <is>
          <t>世界拾取/UI 图标</t>
        </is>
      </c>
      <c r="K47" s="37" t="inlineStr">
        <is>
          <t>程序占位</t>
        </is>
      </c>
      <c r="L47" s="37" t="inlineStr">
        <is>
          <t>P1</t>
        </is>
      </c>
      <c r="M47" s="37" t="inlineStr">
        <is>
          <t>v001</t>
        </is>
      </c>
      <c r="N47" s="37" t="inlineStr">
        <is>
          <t>世界 24–40 px；UI 32 px</t>
        </is>
      </c>
      <c r="O47" s="37" t="str"/>
      <c r="P47" s="37" t="inlineStr">
        <is>
          <t>scenes/</t>
        </is>
      </c>
      <c r="Q47" s="37" t="str"/>
      <c r="R47" s="37">
        <f>LOWER(TRIM(C47)&amp;"|"&amp;TRIM(D47)&amp;"|"&amp;TRIM(E47)&amp;"|"&amp;TRIM(F47)&amp;"|"&amp;TRIM(H47)&amp;"|"&amp;TRIM(I47))</f>
        <v/>
      </c>
      <c r="S47" s="37">
        <f>IF(A47="","",IF(COUNTIF($R$6:$R$162,R47)&gt;1,"重复","唯一"))</f>
        <v/>
      </c>
      <c r="T47" s="37" t="str"/>
      <c r="U47" s="37" t="inlineStr">
        <is>
          <t>待分配</t>
        </is>
      </c>
      <c r="V47" s="128" t="n">
        <v>46224</v>
      </c>
      <c r="W47" s="37" t="inlineStr">
        <is>
          <t>原创/待确认</t>
        </is>
      </c>
      <c r="X47" s="37" t="str"/>
    </row>
    <row r="48">
      <c r="A48" s="37" t="inlineStr">
        <is>
          <t>ITM-CONTAINER-CONTAINER</t>
        </is>
      </c>
      <c r="B48" s="37" t="inlineStr">
        <is>
          <t>战利品容器</t>
        </is>
      </c>
      <c r="C48" s="37" t="inlineStr">
        <is>
          <t>道具</t>
        </is>
      </c>
      <c r="D48" s="37" t="inlineStr">
        <is>
          <t>container</t>
        </is>
      </c>
      <c r="E48" s="37" t="inlineStr">
        <is>
          <t>container</t>
        </is>
      </c>
      <c r="F48" s="37" t="inlineStr">
        <is>
          <t>root</t>
        </is>
      </c>
      <c r="G48" s="37" t="str"/>
      <c r="H48" s="37" t="inlineStr">
        <is>
          <t>顶视/图标</t>
        </is>
      </c>
      <c r="I48" s="37" t="inlineStr">
        <is>
          <t>default</t>
        </is>
      </c>
      <c r="J48" s="37" t="inlineStr">
        <is>
          <t>世界拾取/UI 图标</t>
        </is>
      </c>
      <c r="K48" s="37" t="inlineStr">
        <is>
          <t>程序占位</t>
        </is>
      </c>
      <c r="L48" s="37" t="inlineStr">
        <is>
          <t>P1</t>
        </is>
      </c>
      <c r="M48" s="37" t="inlineStr">
        <is>
          <t>v001</t>
        </is>
      </c>
      <c r="N48" s="37" t="inlineStr">
        <is>
          <t>世界 24–40 px；UI 32 px</t>
        </is>
      </c>
      <c r="O48" s="37" t="str"/>
      <c r="P48" s="37" t="inlineStr">
        <is>
          <t>scenes/</t>
        </is>
      </c>
      <c r="Q48" s="37" t="str"/>
      <c r="R48" s="37">
        <f>LOWER(TRIM(C48)&amp;"|"&amp;TRIM(D48)&amp;"|"&amp;TRIM(E48)&amp;"|"&amp;TRIM(F48)&amp;"|"&amp;TRIM(H48)&amp;"|"&amp;TRIM(I48))</f>
        <v/>
      </c>
      <c r="S48" s="37">
        <f>IF(A48="","",IF(COUNTIF($R$6:$R$162,R48)&gt;1,"重复","唯一"))</f>
        <v/>
      </c>
      <c r="T48" s="37" t="str"/>
      <c r="U48" s="37" t="inlineStr">
        <is>
          <t>待分配</t>
        </is>
      </c>
      <c r="V48" s="128" t="n">
        <v>46224</v>
      </c>
      <c r="W48" s="37" t="inlineStr">
        <is>
          <t>原创/待确认</t>
        </is>
      </c>
      <c r="X48" s="37" t="str"/>
    </row>
    <row r="49">
      <c r="A49" s="37" t="inlineStr">
        <is>
          <t>ITM-PICKUP-ROOM-KEY-PICKUP</t>
        </is>
      </c>
      <c r="B49" s="37" t="inlineStr">
        <is>
          <t>房间钥匙掉落</t>
        </is>
      </c>
      <c r="C49" s="37" t="inlineStr">
        <is>
          <t>道具</t>
        </is>
      </c>
      <c r="D49" s="37" t="inlineStr">
        <is>
          <t>pickup</t>
        </is>
      </c>
      <c r="E49" s="37" t="inlineStr">
        <is>
          <t>room_key_pickup</t>
        </is>
      </c>
      <c r="F49" s="37" t="inlineStr">
        <is>
          <t>root</t>
        </is>
      </c>
      <c r="G49" s="37" t="str"/>
      <c r="H49" s="37" t="inlineStr">
        <is>
          <t>顶视/图标</t>
        </is>
      </c>
      <c r="I49" s="37" t="inlineStr">
        <is>
          <t>default</t>
        </is>
      </c>
      <c r="J49" s="37" t="inlineStr">
        <is>
          <t>全部3D房间/清房奖励</t>
        </is>
      </c>
      <c r="K49" s="37" t="inlineStr">
        <is>
          <t>原型已接入</t>
        </is>
      </c>
      <c r="L49" s="37" t="inlineStr">
        <is>
          <t>P1</t>
        </is>
      </c>
      <c r="M49" s="37" t="inlineStr">
        <is>
          <t>v001</t>
        </is>
      </c>
      <c r="N49" s="37" t="inlineStr">
        <is>
          <t>程序模型/0.32s Tween</t>
        </is>
      </c>
      <c r="O49" s="37" t="n"/>
      <c r="P49" s="37" t="inlineStr">
        <is>
          <t>src/world3d/RoomKeyPickup3D.gd</t>
        </is>
      </c>
      <c r="Q49" s="37" t="str"/>
      <c r="R49" s="37">
        <f>LOWER(TRIM(C49)&amp;"|"&amp;TRIM(D49)&amp;"|"&amp;TRIM(E49)&amp;"|"&amp;TRIM(F49)&amp;"|"&amp;TRIM(H49)&amp;"|"&amp;TRIM(I49))</f>
        <v/>
      </c>
      <c r="S49" s="37">
        <f>IF(A49="","",IF(COUNTIF($R$6:$R$162,R49)&gt;1,"重复","唯一"))</f>
        <v/>
      </c>
      <c r="T49" s="37" t="str"/>
      <c r="U49" s="37" t="inlineStr">
        <is>
          <t>Codex</t>
        </is>
      </c>
      <c r="V49" s="128" t="n">
        <v>46225</v>
      </c>
      <c r="W49" s="37" t="inlineStr">
        <is>
          <t>原创程序几何</t>
        </is>
      </c>
      <c r="X49" s="37" t="inlineStr">
        <is>
          <t>清房后在玩家附近安全边界生成；同房唯一且返回时可补发；成功拾取先关闭碰撞，再上弹旋转缩小后回收</t>
        </is>
      </c>
    </row>
    <row r="50">
      <c r="A50" s="37" t="inlineStr">
        <is>
          <t>ITM-PICKUP-BASE-GROUND-ITEM</t>
        </is>
      </c>
      <c r="B50" s="37" t="inlineStr">
        <is>
          <t>地面物品底座</t>
        </is>
      </c>
      <c r="C50" s="37" t="inlineStr">
        <is>
          <t>道具</t>
        </is>
      </c>
      <c r="D50" s="37" t="inlineStr">
        <is>
          <t>pickup_base</t>
        </is>
      </c>
      <c r="E50" s="37" t="inlineStr">
        <is>
          <t>ground_item</t>
        </is>
      </c>
      <c r="F50" s="37" t="inlineStr">
        <is>
          <t>root</t>
        </is>
      </c>
      <c r="G50" s="37" t="str"/>
      <c r="H50" s="37" t="inlineStr">
        <is>
          <t>顶视/图标</t>
        </is>
      </c>
      <c r="I50" s="37" t="inlineStr">
        <is>
          <t>default</t>
        </is>
      </c>
      <c r="J50" s="37" t="inlineStr">
        <is>
          <t>地面掉落/背包投影</t>
        </is>
      </c>
      <c r="K50" s="37" t="inlineStr">
        <is>
          <t>原型已接入</t>
        </is>
      </c>
      <c r="L50" s="37" t="inlineStr">
        <is>
          <t>P2</t>
        </is>
      </c>
      <c r="M50" s="37" t="inlineStr">
        <is>
          <t>v001</t>
        </is>
      </c>
      <c r="N50" s="37" t="inlineStr">
        <is>
          <t>程序模型/0.32s Tween</t>
        </is>
      </c>
      <c r="O50" s="37" t="n"/>
      <c r="P50" s="37" t="inlineStr">
        <is>
          <t>src/world3d/GroundLootPickup3D.gd</t>
        </is>
      </c>
      <c r="Q50" s="37" t="str"/>
      <c r="R50" s="37">
        <f>LOWER(TRIM(C50)&amp;"|"&amp;TRIM(D50)&amp;"|"&amp;TRIM(E50)&amp;"|"&amp;TRIM(F50)&amp;"|"&amp;TRIM(H50)&amp;"|"&amp;TRIM(I50))</f>
        <v/>
      </c>
      <c r="S50" s="37">
        <f>IF(A50="","",IF(COUNTIF($R$6:$R$162,R50)&gt;1,"重复","唯一"))</f>
        <v/>
      </c>
      <c r="T50" s="37" t="str"/>
      <c r="U50" s="37" t="inlineStr">
        <is>
          <t>Codex</t>
        </is>
      </c>
      <c r="V50" s="128" t="n">
        <v>46225</v>
      </c>
      <c r="W50" s="37" t="inlineStr">
        <is>
          <t>原创程序几何</t>
        </is>
      </c>
      <c r="X50" s="37" t="inlineStr">
        <is>
          <t>与背包投影共用 ItemModelFactory3D；满包时保留，成功接收后播放0.32秒上弹旋转缩小动画</t>
        </is>
      </c>
    </row>
    <row r="51">
      <c r="A51" s="37" t="inlineStr">
        <is>
          <t>ENV-BASE-WORLD-KIT</t>
        </is>
      </c>
      <c r="B51" s="37" t="inlineStr">
        <is>
          <t>末日基地与荒野</t>
        </is>
      </c>
      <c r="C51" s="37" t="inlineStr">
        <is>
          <t>场景</t>
        </is>
      </c>
      <c r="D51" s="37" t="inlineStr">
        <is>
          <t>biome_kit</t>
        </is>
      </c>
      <c r="E51" s="37" t="inlineStr">
        <is>
          <t>base_world</t>
        </is>
      </c>
      <c r="F51" s="37" t="inlineStr">
        <is>
          <t>root</t>
        </is>
      </c>
      <c r="G51" s="37" t="str"/>
      <c r="H51" s="37" t="inlineStr">
        <is>
          <t>顶视</t>
        </is>
      </c>
      <c r="I51" s="37" t="inlineStr">
        <is>
          <t>default</t>
        </is>
      </c>
      <c r="J51" s="37" t="inlineStr">
        <is>
          <t>同主题房间共享</t>
        </is>
      </c>
      <c r="K51" s="37" t="inlineStr">
        <is>
          <t>程序占位</t>
        </is>
      </c>
      <c r="L51" s="37" t="inlineStr">
        <is>
          <t>P0</t>
        </is>
      </c>
      <c r="M51" s="37" t="inlineStr">
        <is>
          <t>v001</t>
        </is>
      </c>
      <c r="N51" s="37" t="inlineStr">
        <is>
          <t>64 px 网格；模块化 Tile/Prop</t>
        </is>
      </c>
      <c r="O51" s="37" t="str"/>
      <c r="P51" s="37" t="inlineStr">
        <is>
          <t>scenes/BaseWorld.tscn</t>
        </is>
      </c>
      <c r="Q51" s="37" t="str"/>
      <c r="R51" s="37">
        <f>LOWER(TRIM(C51)&amp;"|"&amp;TRIM(D51)&amp;"|"&amp;TRIM(E51)&amp;"|"&amp;TRIM(F51)&amp;"|"&amp;TRIM(H51)&amp;"|"&amp;TRIM(I51))</f>
        <v/>
      </c>
      <c r="S51" s="37">
        <f>IF(A51="","",IF(COUNTIF($R$6:$R$162,R51)&gt;1,"重复","唯一"))</f>
        <v/>
      </c>
      <c r="T51" s="37" t="str"/>
      <c r="U51" s="37" t="inlineStr">
        <is>
          <t>待分配</t>
        </is>
      </c>
      <c r="V51" s="128" t="n">
        <v>46224</v>
      </c>
      <c r="W51" s="37" t="inlineStr">
        <is>
          <t>原创/待确认</t>
        </is>
      </c>
      <c r="X51" s="37" t="inlineStr">
        <is>
          <t>先拆地面/墙/门/大中小道具，禁止整张场景烘焙</t>
        </is>
      </c>
    </row>
    <row r="52">
      <c r="A52" s="37" t="inlineStr">
        <is>
          <t>ENV-IRON-FRONTIER-KIT</t>
        </is>
      </c>
      <c r="B52" s="37" t="inlineStr">
        <is>
          <t>冷钢边境</t>
        </is>
      </c>
      <c r="C52" s="37" t="inlineStr">
        <is>
          <t>场景</t>
        </is>
      </c>
      <c r="D52" s="37" t="inlineStr">
        <is>
          <t>biome_kit</t>
        </is>
      </c>
      <c r="E52" s="37" t="inlineStr">
        <is>
          <t>iron_frontier</t>
        </is>
      </c>
      <c r="F52" s="37" t="inlineStr">
        <is>
          <t>root</t>
        </is>
      </c>
      <c r="G52" s="37" t="str"/>
      <c r="H52" s="37" t="inlineStr">
        <is>
          <t>顶视</t>
        </is>
      </c>
      <c r="I52" s="37" t="inlineStr">
        <is>
          <t>default</t>
        </is>
      </c>
      <c r="J52" s="37" t="inlineStr">
        <is>
          <t>同主题房间共享</t>
        </is>
      </c>
      <c r="K52" s="37" t="inlineStr">
        <is>
          <t>程序占位</t>
        </is>
      </c>
      <c r="L52" s="37" t="inlineStr">
        <is>
          <t>P0</t>
        </is>
      </c>
      <c r="M52" s="37" t="inlineStr">
        <is>
          <t>v001</t>
        </is>
      </c>
      <c r="N52" s="37" t="inlineStr">
        <is>
          <t>64 px 网格；模块化 Tile/Prop</t>
        </is>
      </c>
      <c r="O52" s="37" t="str"/>
      <c r="P52" s="37" t="inlineStr">
        <is>
          <t>scenes/levels/IronFrontier.tscn</t>
        </is>
      </c>
      <c r="Q52" s="37" t="str"/>
      <c r="R52" s="37">
        <f>LOWER(TRIM(C52)&amp;"|"&amp;TRIM(D52)&amp;"|"&amp;TRIM(E52)&amp;"|"&amp;TRIM(F52)&amp;"|"&amp;TRIM(H52)&amp;"|"&amp;TRIM(I52))</f>
        <v/>
      </c>
      <c r="S52" s="37">
        <f>IF(A52="","",IF(COUNTIF($R$6:$R$162,R52)&gt;1,"重复","唯一"))</f>
        <v/>
      </c>
      <c r="T52" s="37" t="str"/>
      <c r="U52" s="37" t="inlineStr">
        <is>
          <t>待分配</t>
        </is>
      </c>
      <c r="V52" s="128" t="n">
        <v>46224</v>
      </c>
      <c r="W52" s="37" t="inlineStr">
        <is>
          <t>原创/待确认</t>
        </is>
      </c>
      <c r="X52" s="37" t="inlineStr">
        <is>
          <t>先拆地面/墙/门/大中小道具，禁止整张场景烘焙</t>
        </is>
      </c>
    </row>
    <row r="53">
      <c r="A53" s="37" t="inlineStr">
        <is>
          <t>ENV-RUST-FOUNDRY-KIT</t>
        </is>
      </c>
      <c r="B53" s="37" t="inlineStr">
        <is>
          <t>锈蚀铸造厂</t>
        </is>
      </c>
      <c r="C53" s="37" t="inlineStr">
        <is>
          <t>场景</t>
        </is>
      </c>
      <c r="D53" s="37" t="inlineStr">
        <is>
          <t>biome_kit</t>
        </is>
      </c>
      <c r="E53" s="37" t="inlineStr">
        <is>
          <t>rust_foundry</t>
        </is>
      </c>
      <c r="F53" s="37" t="inlineStr">
        <is>
          <t>root</t>
        </is>
      </c>
      <c r="G53" s="37" t="str"/>
      <c r="H53" s="37" t="inlineStr">
        <is>
          <t>顶视</t>
        </is>
      </c>
      <c r="I53" s="37" t="inlineStr">
        <is>
          <t>default</t>
        </is>
      </c>
      <c r="J53" s="37" t="inlineStr">
        <is>
          <t>同主题房间共享</t>
        </is>
      </c>
      <c r="K53" s="37" t="inlineStr">
        <is>
          <t>程序占位</t>
        </is>
      </c>
      <c r="L53" s="37" t="inlineStr">
        <is>
          <t>P1</t>
        </is>
      </c>
      <c r="M53" s="37" t="inlineStr">
        <is>
          <t>v001</t>
        </is>
      </c>
      <c r="N53" s="37" t="inlineStr">
        <is>
          <t>64 px 网格；模块化 Tile/Prop</t>
        </is>
      </c>
      <c r="O53" s="37" t="str"/>
      <c r="P53" s="37" t="inlineStr">
        <is>
          <t>scenes/levels/RustFoundry.tscn</t>
        </is>
      </c>
      <c r="Q53" s="37" t="str"/>
      <c r="R53" s="37">
        <f>LOWER(TRIM(C53)&amp;"|"&amp;TRIM(D53)&amp;"|"&amp;TRIM(E53)&amp;"|"&amp;TRIM(F53)&amp;"|"&amp;TRIM(H53)&amp;"|"&amp;TRIM(I53))</f>
        <v/>
      </c>
      <c r="S53" s="37">
        <f>IF(A53="","",IF(COUNTIF($R$6:$R$162,R53)&gt;1,"重复","唯一"))</f>
        <v/>
      </c>
      <c r="T53" s="37" t="str"/>
      <c r="U53" s="37" t="inlineStr">
        <is>
          <t>待分配</t>
        </is>
      </c>
      <c r="V53" s="128" t="n">
        <v>46224</v>
      </c>
      <c r="W53" s="37" t="inlineStr">
        <is>
          <t>原创/待确认</t>
        </is>
      </c>
      <c r="X53" s="37" t="inlineStr">
        <is>
          <t>先拆地面/墙/门/大中小道具，禁止整张场景烘焙</t>
        </is>
      </c>
    </row>
    <row r="54">
      <c r="A54" s="37" t="inlineStr">
        <is>
          <t>ENV-SPORE-DEPTHS-KIT</t>
        </is>
      </c>
      <c r="B54" s="37" t="inlineStr">
        <is>
          <t>孢子深层</t>
        </is>
      </c>
      <c r="C54" s="37" t="inlineStr">
        <is>
          <t>场景</t>
        </is>
      </c>
      <c r="D54" s="37" t="inlineStr">
        <is>
          <t>biome_kit</t>
        </is>
      </c>
      <c r="E54" s="37" t="inlineStr">
        <is>
          <t>spore_depths</t>
        </is>
      </c>
      <c r="F54" s="37" t="inlineStr">
        <is>
          <t>root</t>
        </is>
      </c>
      <c r="G54" s="37" t="str"/>
      <c r="H54" s="37" t="inlineStr">
        <is>
          <t>顶视</t>
        </is>
      </c>
      <c r="I54" s="37" t="inlineStr">
        <is>
          <t>default</t>
        </is>
      </c>
      <c r="J54" s="37" t="inlineStr">
        <is>
          <t>同主题房间共享</t>
        </is>
      </c>
      <c r="K54" s="37" t="inlineStr">
        <is>
          <t>程序占位</t>
        </is>
      </c>
      <c r="L54" s="37" t="inlineStr">
        <is>
          <t>P1</t>
        </is>
      </c>
      <c r="M54" s="37" t="inlineStr">
        <is>
          <t>v001</t>
        </is>
      </c>
      <c r="N54" s="37" t="inlineStr">
        <is>
          <t>64 px 网格；模块化 Tile/Prop</t>
        </is>
      </c>
      <c r="O54" s="37" t="str"/>
      <c r="P54" s="37" t="inlineStr">
        <is>
          <t>scenes/levels/SporeDepths.tscn</t>
        </is>
      </c>
      <c r="Q54" s="37" t="str"/>
      <c r="R54" s="37">
        <f>LOWER(TRIM(C54)&amp;"|"&amp;TRIM(D54)&amp;"|"&amp;TRIM(E54)&amp;"|"&amp;TRIM(F54)&amp;"|"&amp;TRIM(H54)&amp;"|"&amp;TRIM(I54))</f>
        <v/>
      </c>
      <c r="S54" s="37">
        <f>IF(A54="","",IF(COUNTIF($R$6:$R$162,R54)&gt;1,"重复","唯一"))</f>
        <v/>
      </c>
      <c r="T54" s="37" t="str"/>
      <c r="U54" s="37" t="inlineStr">
        <is>
          <t>待分配</t>
        </is>
      </c>
      <c r="V54" s="128" t="n">
        <v>46224</v>
      </c>
      <c r="W54" s="37" t="inlineStr">
        <is>
          <t>原创/待确认</t>
        </is>
      </c>
      <c r="X54" s="37" t="inlineStr">
        <is>
          <t>先拆地面/墙/门/大中小道具，禁止整张场景烘焙</t>
        </is>
      </c>
    </row>
    <row r="55">
      <c r="A55" s="37" t="inlineStr">
        <is>
          <t>ENV-ABYSS-ARCHIVE-KIT</t>
        </is>
      </c>
      <c r="B55" s="37" t="inlineStr">
        <is>
          <t>深渊档案库</t>
        </is>
      </c>
      <c r="C55" s="37" t="inlineStr">
        <is>
          <t>场景</t>
        </is>
      </c>
      <c r="D55" s="37" t="inlineStr">
        <is>
          <t>biome_kit</t>
        </is>
      </c>
      <c r="E55" s="37" t="inlineStr">
        <is>
          <t>abyss_archive</t>
        </is>
      </c>
      <c r="F55" s="37" t="inlineStr">
        <is>
          <t>root</t>
        </is>
      </c>
      <c r="G55" s="37" t="str"/>
      <c r="H55" s="37" t="inlineStr">
        <is>
          <t>顶视</t>
        </is>
      </c>
      <c r="I55" s="37" t="inlineStr">
        <is>
          <t>default</t>
        </is>
      </c>
      <c r="J55" s="37" t="inlineStr">
        <is>
          <t>同主题房间共享</t>
        </is>
      </c>
      <c r="K55" s="37" t="inlineStr">
        <is>
          <t>程序占位</t>
        </is>
      </c>
      <c r="L55" s="37" t="inlineStr">
        <is>
          <t>P1</t>
        </is>
      </c>
      <c r="M55" s="37" t="inlineStr">
        <is>
          <t>v001</t>
        </is>
      </c>
      <c r="N55" s="37" t="inlineStr">
        <is>
          <t>64 px 网格；模块化 Tile/Prop</t>
        </is>
      </c>
      <c r="O55" s="37" t="str"/>
      <c r="P55" s="37" t="inlineStr">
        <is>
          <t>scenes/levels/AbyssArchive.tscn</t>
        </is>
      </c>
      <c r="Q55" s="37" t="str"/>
      <c r="R55" s="37">
        <f>LOWER(TRIM(C55)&amp;"|"&amp;TRIM(D55)&amp;"|"&amp;TRIM(E55)&amp;"|"&amp;TRIM(F55)&amp;"|"&amp;TRIM(H55)&amp;"|"&amp;TRIM(I55))</f>
        <v/>
      </c>
      <c r="S55" s="37">
        <f>IF(A55="","",IF(COUNTIF($R$6:$R$162,R55)&gt;1,"重复","唯一"))</f>
        <v/>
      </c>
      <c r="T55" s="37" t="str"/>
      <c r="U55" s="37" t="inlineStr">
        <is>
          <t>待分配</t>
        </is>
      </c>
      <c r="V55" s="128" t="n">
        <v>46224</v>
      </c>
      <c r="W55" s="37" t="inlineStr">
        <is>
          <t>原创/待确认</t>
        </is>
      </c>
      <c r="X55" s="37" t="inlineStr">
        <is>
          <t>先拆地面/墙/门/大中小道具，禁止整张场景烘焙</t>
        </is>
      </c>
    </row>
    <row r="56">
      <c r="A56" s="37" t="inlineStr">
        <is>
          <t>ENV-TRAINING-RANGE-KIT</t>
        </is>
      </c>
      <c r="B56" s="37" t="inlineStr">
        <is>
          <t>地下训练靶场</t>
        </is>
      </c>
      <c r="C56" s="37" t="inlineStr">
        <is>
          <t>场景</t>
        </is>
      </c>
      <c r="D56" s="37" t="inlineStr">
        <is>
          <t>biome_kit</t>
        </is>
      </c>
      <c r="E56" s="37" t="inlineStr">
        <is>
          <t>training_range</t>
        </is>
      </c>
      <c r="F56" s="37" t="inlineStr">
        <is>
          <t>root</t>
        </is>
      </c>
      <c r="G56" s="37" t="str"/>
      <c r="H56" s="37" t="inlineStr">
        <is>
          <t>顶视</t>
        </is>
      </c>
      <c r="I56" s="37" t="inlineStr">
        <is>
          <t>default</t>
        </is>
      </c>
      <c r="J56" s="37" t="inlineStr">
        <is>
          <t>同主题房间共享</t>
        </is>
      </c>
      <c r="K56" s="37" t="inlineStr">
        <is>
          <t>程序占位</t>
        </is>
      </c>
      <c r="L56" s="37" t="inlineStr">
        <is>
          <t>P0</t>
        </is>
      </c>
      <c r="M56" s="37" t="inlineStr">
        <is>
          <t>v001</t>
        </is>
      </c>
      <c r="N56" s="37" t="inlineStr">
        <is>
          <t>64 px 网格；模块化 Tile/Prop</t>
        </is>
      </c>
      <c r="O56" s="37" t="str"/>
      <c r="P56" s="37" t="inlineStr">
        <is>
          <t>scenes/TrainingRange.tscn</t>
        </is>
      </c>
      <c r="Q56" s="37" t="str"/>
      <c r="R56" s="37">
        <f>LOWER(TRIM(C56)&amp;"|"&amp;TRIM(D56)&amp;"|"&amp;TRIM(E56)&amp;"|"&amp;TRIM(F56)&amp;"|"&amp;TRIM(H56)&amp;"|"&amp;TRIM(I56))</f>
        <v/>
      </c>
      <c r="S56" s="37">
        <f>IF(A56="","",IF(COUNTIF($R$6:$R$162,R56)&gt;1,"重复","唯一"))</f>
        <v/>
      </c>
      <c r="T56" s="37" t="str"/>
      <c r="U56" s="37" t="inlineStr">
        <is>
          <t>待分配</t>
        </is>
      </c>
      <c r="V56" s="128" t="n">
        <v>46224</v>
      </c>
      <c r="W56" s="37" t="inlineStr">
        <is>
          <t>原创/待确认</t>
        </is>
      </c>
      <c r="X56" s="37" t="inlineStr">
        <is>
          <t>先拆地面/墙/门/大中小道具，禁止整张场景烘焙</t>
        </is>
      </c>
    </row>
    <row r="57">
      <c r="A57" s="37" t="inlineStr">
        <is>
          <t>ENV-ROOM-COMBAT-DRESSING</t>
        </is>
      </c>
      <c r="B57" s="37" t="inlineStr">
        <is>
          <t>combat 房间陈设包</t>
        </is>
      </c>
      <c r="C57" s="37" t="inlineStr">
        <is>
          <t>场景</t>
        </is>
      </c>
      <c r="D57" s="37" t="inlineStr">
        <is>
          <t>room_dressing</t>
        </is>
      </c>
      <c r="E57" s="37" t="inlineStr">
        <is>
          <t>room_combat</t>
        </is>
      </c>
      <c r="F57" s="37" t="inlineStr">
        <is>
          <t>root</t>
        </is>
      </c>
      <c r="G57" s="37" t="str"/>
      <c r="H57" s="37" t="inlineStr">
        <is>
          <t>顶视</t>
        </is>
      </c>
      <c r="I57" s="37" t="inlineStr">
        <is>
          <t>default</t>
        </is>
      </c>
      <c r="J57" s="37" t="inlineStr">
        <is>
          <t>跨楼层配色变体</t>
        </is>
      </c>
      <c r="K57" s="37" t="inlineStr">
        <is>
          <t>程序占位</t>
        </is>
      </c>
      <c r="L57" s="37" t="inlineStr">
        <is>
          <t>P1</t>
        </is>
      </c>
      <c r="M57" s="37" t="inlineStr">
        <is>
          <t>v001</t>
        </is>
      </c>
      <c r="N57" s="37" t="inlineStr">
        <is>
          <t>64 px 网格</t>
        </is>
      </c>
      <c r="O57" s="37" t="str"/>
      <c r="P57" s="37" t="inlineStr">
        <is>
          <t>scenes/RoomCombat.tscn</t>
        </is>
      </c>
      <c r="Q57" s="37" t="str"/>
      <c r="R57" s="37">
        <f>LOWER(TRIM(C57)&amp;"|"&amp;TRIM(D57)&amp;"|"&amp;TRIM(E57)&amp;"|"&amp;TRIM(F57)&amp;"|"&amp;TRIM(H57)&amp;"|"&amp;TRIM(I57))</f>
        <v/>
      </c>
      <c r="S57" s="37">
        <f>IF(A57="","",IF(COUNTIF($R$6:$R$162,R57)&gt;1,"重复","唯一"))</f>
        <v/>
      </c>
      <c r="T57" s="37" t="str"/>
      <c r="U57" s="37" t="inlineStr">
        <is>
          <t>待分配</t>
        </is>
      </c>
      <c r="V57" s="128" t="n">
        <v>46224</v>
      </c>
      <c r="W57" s="37" t="inlineStr">
        <is>
          <t>原创/待确认</t>
        </is>
      </c>
      <c r="X57" s="37" t="inlineStr">
        <is>
          <t>只登记房间独有件；地板墙体引用 biome kit</t>
        </is>
      </c>
    </row>
    <row r="58">
      <c r="A58" s="37" t="inlineStr">
        <is>
          <t>ENV-ROOM-ELITE-DRESSING</t>
        </is>
      </c>
      <c r="B58" s="37" t="inlineStr">
        <is>
          <t>elite 房间陈设包</t>
        </is>
      </c>
      <c r="C58" s="37" t="inlineStr">
        <is>
          <t>场景</t>
        </is>
      </c>
      <c r="D58" s="37" t="inlineStr">
        <is>
          <t>room_dressing</t>
        </is>
      </c>
      <c r="E58" s="37" t="inlineStr">
        <is>
          <t>room_elite</t>
        </is>
      </c>
      <c r="F58" s="37" t="inlineStr">
        <is>
          <t>root</t>
        </is>
      </c>
      <c r="G58" s="37" t="str"/>
      <c r="H58" s="37" t="inlineStr">
        <is>
          <t>顶视</t>
        </is>
      </c>
      <c r="I58" s="37" t="inlineStr">
        <is>
          <t>default</t>
        </is>
      </c>
      <c r="J58" s="37" t="inlineStr">
        <is>
          <t>跨楼层配色变体</t>
        </is>
      </c>
      <c r="K58" s="37" t="inlineStr">
        <is>
          <t>程序占位</t>
        </is>
      </c>
      <c r="L58" s="37" t="inlineStr">
        <is>
          <t>P2</t>
        </is>
      </c>
      <c r="M58" s="37" t="inlineStr">
        <is>
          <t>v001</t>
        </is>
      </c>
      <c r="N58" s="37" t="inlineStr">
        <is>
          <t>64 px 网格</t>
        </is>
      </c>
      <c r="O58" s="37" t="str"/>
      <c r="P58" s="37" t="inlineStr">
        <is>
          <t>scenes/RoomElite.tscn</t>
        </is>
      </c>
      <c r="Q58" s="37" t="str"/>
      <c r="R58" s="37">
        <f>LOWER(TRIM(C58)&amp;"|"&amp;TRIM(D58)&amp;"|"&amp;TRIM(E58)&amp;"|"&amp;TRIM(F58)&amp;"|"&amp;TRIM(H58)&amp;"|"&amp;TRIM(I58))</f>
        <v/>
      </c>
      <c r="S58" s="37">
        <f>IF(A58="","",IF(COUNTIF($R$6:$R$162,R58)&gt;1,"重复","唯一"))</f>
        <v/>
      </c>
      <c r="T58" s="37" t="str"/>
      <c r="U58" s="37" t="inlineStr">
        <is>
          <t>待分配</t>
        </is>
      </c>
      <c r="V58" s="128" t="n">
        <v>46224</v>
      </c>
      <c r="W58" s="37" t="inlineStr">
        <is>
          <t>原创/待确认</t>
        </is>
      </c>
      <c r="X58" s="37" t="inlineStr">
        <is>
          <t>只登记房间独有件；地板墙体引用 biome kit</t>
        </is>
      </c>
    </row>
    <row r="59">
      <c r="A59" s="37" t="inlineStr">
        <is>
          <t>ENV-ROOM-BOSS-DRESSING</t>
        </is>
      </c>
      <c r="B59" s="37" t="inlineStr">
        <is>
          <t>boss 房间陈设包</t>
        </is>
      </c>
      <c r="C59" s="37" t="inlineStr">
        <is>
          <t>场景</t>
        </is>
      </c>
      <c r="D59" s="37" t="inlineStr">
        <is>
          <t>room_dressing</t>
        </is>
      </c>
      <c r="E59" s="37" t="inlineStr">
        <is>
          <t>room_boss</t>
        </is>
      </c>
      <c r="F59" s="37" t="inlineStr">
        <is>
          <t>root</t>
        </is>
      </c>
      <c r="G59" s="37" t="str"/>
      <c r="H59" s="37" t="inlineStr">
        <is>
          <t>顶视</t>
        </is>
      </c>
      <c r="I59" s="37" t="inlineStr">
        <is>
          <t>default</t>
        </is>
      </c>
      <c r="J59" s="37" t="inlineStr">
        <is>
          <t>跨楼层配色变体</t>
        </is>
      </c>
      <c r="K59" s="37" t="inlineStr">
        <is>
          <t>程序占位</t>
        </is>
      </c>
      <c r="L59" s="37" t="inlineStr">
        <is>
          <t>P1</t>
        </is>
      </c>
      <c r="M59" s="37" t="inlineStr">
        <is>
          <t>v001</t>
        </is>
      </c>
      <c r="N59" s="37" t="inlineStr">
        <is>
          <t>64 px 网格</t>
        </is>
      </c>
      <c r="O59" s="37" t="str"/>
      <c r="P59" s="37" t="inlineStr">
        <is>
          <t>scenes/RoomBoss.tscn</t>
        </is>
      </c>
      <c r="Q59" s="37" t="str"/>
      <c r="R59" s="37">
        <f>LOWER(TRIM(C59)&amp;"|"&amp;TRIM(D59)&amp;"|"&amp;TRIM(E59)&amp;"|"&amp;TRIM(F59)&amp;"|"&amp;TRIM(H59)&amp;"|"&amp;TRIM(I59))</f>
        <v/>
      </c>
      <c r="S59" s="37">
        <f>IF(A59="","",IF(COUNTIF($R$6:$R$162,R59)&gt;1,"重复","唯一"))</f>
        <v/>
      </c>
      <c r="T59" s="37" t="str"/>
      <c r="U59" s="37" t="inlineStr">
        <is>
          <t>待分配</t>
        </is>
      </c>
      <c r="V59" s="128" t="n">
        <v>46224</v>
      </c>
      <c r="W59" s="37" t="inlineStr">
        <is>
          <t>原创/待确认</t>
        </is>
      </c>
      <c r="X59" s="37" t="inlineStr">
        <is>
          <t>只登记房间独有件；地板墙体引用 biome kit</t>
        </is>
      </c>
    </row>
    <row r="60">
      <c r="A60" s="37" t="inlineStr">
        <is>
          <t>ENV-ROOM-EVENT-DRESSING</t>
        </is>
      </c>
      <c r="B60" s="37" t="inlineStr">
        <is>
          <t>event 房间陈设包</t>
        </is>
      </c>
      <c r="C60" s="37" t="inlineStr">
        <is>
          <t>场景</t>
        </is>
      </c>
      <c r="D60" s="37" t="inlineStr">
        <is>
          <t>room_dressing</t>
        </is>
      </c>
      <c r="E60" s="37" t="inlineStr">
        <is>
          <t>room_event</t>
        </is>
      </c>
      <c r="F60" s="37" t="inlineStr">
        <is>
          <t>root</t>
        </is>
      </c>
      <c r="G60" s="37" t="str"/>
      <c r="H60" s="37" t="inlineStr">
        <is>
          <t>顶视</t>
        </is>
      </c>
      <c r="I60" s="37" t="inlineStr">
        <is>
          <t>default</t>
        </is>
      </c>
      <c r="J60" s="37" t="inlineStr">
        <is>
          <t>跨楼层配色变体</t>
        </is>
      </c>
      <c r="K60" s="37" t="inlineStr">
        <is>
          <t>程序占位</t>
        </is>
      </c>
      <c r="L60" s="37" t="inlineStr">
        <is>
          <t>P2</t>
        </is>
      </c>
      <c r="M60" s="37" t="inlineStr">
        <is>
          <t>v001</t>
        </is>
      </c>
      <c r="N60" s="37" t="inlineStr">
        <is>
          <t>64 px 网格</t>
        </is>
      </c>
      <c r="O60" s="37" t="str"/>
      <c r="P60" s="37" t="inlineStr">
        <is>
          <t>scenes/RoomEvent.tscn</t>
        </is>
      </c>
      <c r="Q60" s="37" t="str"/>
      <c r="R60" s="37">
        <f>LOWER(TRIM(C60)&amp;"|"&amp;TRIM(D60)&amp;"|"&amp;TRIM(E60)&amp;"|"&amp;TRIM(F60)&amp;"|"&amp;TRIM(H60)&amp;"|"&amp;TRIM(I60))</f>
        <v/>
      </c>
      <c r="S60" s="37">
        <f>IF(A60="","",IF(COUNTIF($R$6:$R$162,R60)&gt;1,"重复","唯一"))</f>
        <v/>
      </c>
      <c r="T60" s="37" t="str"/>
      <c r="U60" s="37" t="inlineStr">
        <is>
          <t>待分配</t>
        </is>
      </c>
      <c r="V60" s="128" t="n">
        <v>46224</v>
      </c>
      <c r="W60" s="37" t="inlineStr">
        <is>
          <t>原创/待确认</t>
        </is>
      </c>
      <c r="X60" s="37" t="inlineStr">
        <is>
          <t>只登记房间独有件；地板墙体引用 biome kit</t>
        </is>
      </c>
    </row>
    <row r="61">
      <c r="A61" s="37" t="inlineStr">
        <is>
          <t>ENV-ROOM-EXTRACTION-DRESSING</t>
        </is>
      </c>
      <c r="B61" s="37" t="inlineStr">
        <is>
          <t>extraction 房间陈设包</t>
        </is>
      </c>
      <c r="C61" s="37" t="inlineStr">
        <is>
          <t>场景</t>
        </is>
      </c>
      <c r="D61" s="37" t="inlineStr">
        <is>
          <t>room_dressing</t>
        </is>
      </c>
      <c r="E61" s="37" t="inlineStr">
        <is>
          <t>room_extraction</t>
        </is>
      </c>
      <c r="F61" s="37" t="inlineStr">
        <is>
          <t>root</t>
        </is>
      </c>
      <c r="G61" s="37" t="str"/>
      <c r="H61" s="37" t="inlineStr">
        <is>
          <t>顶视</t>
        </is>
      </c>
      <c r="I61" s="37" t="inlineStr">
        <is>
          <t>default</t>
        </is>
      </c>
      <c r="J61" s="37" t="inlineStr">
        <is>
          <t>跨楼层配色变体</t>
        </is>
      </c>
      <c r="K61" s="37" t="inlineStr">
        <is>
          <t>程序占位</t>
        </is>
      </c>
      <c r="L61" s="37" t="inlineStr">
        <is>
          <t>P1</t>
        </is>
      </c>
      <c r="M61" s="37" t="inlineStr">
        <is>
          <t>v001</t>
        </is>
      </c>
      <c r="N61" s="37" t="inlineStr">
        <is>
          <t>64 px 网格</t>
        </is>
      </c>
      <c r="O61" s="37" t="str"/>
      <c r="P61" s="37" t="inlineStr">
        <is>
          <t>scenes/RoomExtraction.tscn</t>
        </is>
      </c>
      <c r="Q61" s="37" t="str"/>
      <c r="R61" s="37">
        <f>LOWER(TRIM(C61)&amp;"|"&amp;TRIM(D61)&amp;"|"&amp;TRIM(E61)&amp;"|"&amp;TRIM(F61)&amp;"|"&amp;TRIM(H61)&amp;"|"&amp;TRIM(I61))</f>
        <v/>
      </c>
      <c r="S61" s="37">
        <f>IF(A61="","",IF(COUNTIF($R$6:$R$162,R61)&gt;1,"重复","唯一"))</f>
        <v/>
      </c>
      <c r="T61" s="37" t="str"/>
      <c r="U61" s="37" t="inlineStr">
        <is>
          <t>待分配</t>
        </is>
      </c>
      <c r="V61" s="128" t="n">
        <v>46224</v>
      </c>
      <c r="W61" s="37" t="inlineStr">
        <is>
          <t>原创/待确认</t>
        </is>
      </c>
      <c r="X61" s="37" t="inlineStr">
        <is>
          <t>只登记房间独有件；地板墙体引用 biome kit</t>
        </is>
      </c>
    </row>
    <row r="62">
      <c r="A62" s="37" t="inlineStr">
        <is>
          <t>ENV-ROOM-MERCHANT-DRESSING</t>
        </is>
      </c>
      <c r="B62" s="37" t="inlineStr">
        <is>
          <t>merchant 房间陈设包</t>
        </is>
      </c>
      <c r="C62" s="37" t="inlineStr">
        <is>
          <t>场景</t>
        </is>
      </c>
      <c r="D62" s="37" t="inlineStr">
        <is>
          <t>room_dressing</t>
        </is>
      </c>
      <c r="E62" s="37" t="inlineStr">
        <is>
          <t>room_merchant</t>
        </is>
      </c>
      <c r="F62" s="37" t="inlineStr">
        <is>
          <t>root</t>
        </is>
      </c>
      <c r="G62" s="37" t="str"/>
      <c r="H62" s="37" t="inlineStr">
        <is>
          <t>顶视</t>
        </is>
      </c>
      <c r="I62" s="37" t="inlineStr">
        <is>
          <t>default</t>
        </is>
      </c>
      <c r="J62" s="37" t="inlineStr">
        <is>
          <t>跨楼层配色变体</t>
        </is>
      </c>
      <c r="K62" s="37" t="inlineStr">
        <is>
          <t>程序占位</t>
        </is>
      </c>
      <c r="L62" s="37" t="inlineStr">
        <is>
          <t>P2</t>
        </is>
      </c>
      <c r="M62" s="37" t="inlineStr">
        <is>
          <t>v001</t>
        </is>
      </c>
      <c r="N62" s="37" t="inlineStr">
        <is>
          <t>64 px 网格</t>
        </is>
      </c>
      <c r="O62" s="37" t="str"/>
      <c r="P62" s="37" t="inlineStr">
        <is>
          <t>scenes/RoomMerchant.tscn</t>
        </is>
      </c>
      <c r="Q62" s="37" t="str"/>
      <c r="R62" s="37">
        <f>LOWER(TRIM(C62)&amp;"|"&amp;TRIM(D62)&amp;"|"&amp;TRIM(E62)&amp;"|"&amp;TRIM(F62)&amp;"|"&amp;TRIM(H62)&amp;"|"&amp;TRIM(I62))</f>
        <v/>
      </c>
      <c r="S62" s="37">
        <f>IF(A62="","",IF(COUNTIF($R$6:$R$162,R62)&gt;1,"重复","唯一"))</f>
        <v/>
      </c>
      <c r="T62" s="37" t="str"/>
      <c r="U62" s="37" t="inlineStr">
        <is>
          <t>待分配</t>
        </is>
      </c>
      <c r="V62" s="128" t="n">
        <v>46224</v>
      </c>
      <c r="W62" s="37" t="inlineStr">
        <is>
          <t>原创/待确认</t>
        </is>
      </c>
      <c r="X62" s="37" t="inlineStr">
        <is>
          <t>只登记房间独有件；地板墙体引用 biome kit</t>
        </is>
      </c>
    </row>
    <row r="63">
      <c r="A63" s="37" t="inlineStr">
        <is>
          <t>ENV-ROOM-SCAVENGE-DRESSING</t>
        </is>
      </c>
      <c r="B63" s="37" t="inlineStr">
        <is>
          <t>scavenge 房间陈设包</t>
        </is>
      </c>
      <c r="C63" s="37" t="inlineStr">
        <is>
          <t>场景</t>
        </is>
      </c>
      <c r="D63" s="37" t="inlineStr">
        <is>
          <t>room_dressing</t>
        </is>
      </c>
      <c r="E63" s="37" t="inlineStr">
        <is>
          <t>room_scavenge</t>
        </is>
      </c>
      <c r="F63" s="37" t="inlineStr">
        <is>
          <t>root</t>
        </is>
      </c>
      <c r="G63" s="37" t="str"/>
      <c r="H63" s="37" t="inlineStr">
        <is>
          <t>顶视</t>
        </is>
      </c>
      <c r="I63" s="37" t="inlineStr">
        <is>
          <t>default</t>
        </is>
      </c>
      <c r="J63" s="37" t="inlineStr">
        <is>
          <t>跨楼层配色变体</t>
        </is>
      </c>
      <c r="K63" s="37" t="inlineStr">
        <is>
          <t>程序占位</t>
        </is>
      </c>
      <c r="L63" s="37" t="inlineStr">
        <is>
          <t>P2</t>
        </is>
      </c>
      <c r="M63" s="37" t="inlineStr">
        <is>
          <t>v001</t>
        </is>
      </c>
      <c r="N63" s="37" t="inlineStr">
        <is>
          <t>64 px 网格</t>
        </is>
      </c>
      <c r="O63" s="37" t="str"/>
      <c r="P63" s="37" t="inlineStr">
        <is>
          <t>scenes/RoomScavenge.tscn</t>
        </is>
      </c>
      <c r="Q63" s="37" t="str"/>
      <c r="R63" s="37">
        <f>LOWER(TRIM(C63)&amp;"|"&amp;TRIM(D63)&amp;"|"&amp;TRIM(E63)&amp;"|"&amp;TRIM(F63)&amp;"|"&amp;TRIM(H63)&amp;"|"&amp;TRIM(I63))</f>
        <v/>
      </c>
      <c r="S63" s="37">
        <f>IF(A63="","",IF(COUNTIF($R$6:$R$162,R63)&gt;1,"重复","唯一"))</f>
        <v/>
      </c>
      <c r="T63" s="37" t="str"/>
      <c r="U63" s="37" t="inlineStr">
        <is>
          <t>待分配</t>
        </is>
      </c>
      <c r="V63" s="128" t="n">
        <v>46224</v>
      </c>
      <c r="W63" s="37" t="inlineStr">
        <is>
          <t>原创/待确认</t>
        </is>
      </c>
      <c r="X63" s="37" t="inlineStr">
        <is>
          <t>只登记房间独有件；地板墙体引用 biome kit</t>
        </is>
      </c>
    </row>
    <row r="64">
      <c r="A64" s="37" t="inlineStr">
        <is>
          <t>ENV-ROOM-STORAGE-DRESSING</t>
        </is>
      </c>
      <c r="B64" s="37" t="inlineStr">
        <is>
          <t>storage 房间陈设包</t>
        </is>
      </c>
      <c r="C64" s="37" t="inlineStr">
        <is>
          <t>场景</t>
        </is>
      </c>
      <c r="D64" s="37" t="inlineStr">
        <is>
          <t>room_dressing</t>
        </is>
      </c>
      <c r="E64" s="37" t="inlineStr">
        <is>
          <t>room_storage</t>
        </is>
      </c>
      <c r="F64" s="37" t="inlineStr">
        <is>
          <t>root</t>
        </is>
      </c>
      <c r="G64" s="37" t="str"/>
      <c r="H64" s="37" t="inlineStr">
        <is>
          <t>顶视</t>
        </is>
      </c>
      <c r="I64" s="37" t="inlineStr">
        <is>
          <t>default</t>
        </is>
      </c>
      <c r="J64" s="37" t="inlineStr">
        <is>
          <t>跨楼层配色变体</t>
        </is>
      </c>
      <c r="K64" s="37" t="inlineStr">
        <is>
          <t>程序占位</t>
        </is>
      </c>
      <c r="L64" s="37" t="inlineStr">
        <is>
          <t>P2</t>
        </is>
      </c>
      <c r="M64" s="37" t="inlineStr">
        <is>
          <t>v001</t>
        </is>
      </c>
      <c r="N64" s="37" t="inlineStr">
        <is>
          <t>64 px 网格</t>
        </is>
      </c>
      <c r="O64" s="37" t="str"/>
      <c r="P64" s="37" t="inlineStr">
        <is>
          <t>scenes/RoomStorage.tscn</t>
        </is>
      </c>
      <c r="Q64" s="37" t="str"/>
      <c r="R64" s="37">
        <f>LOWER(TRIM(C64)&amp;"|"&amp;TRIM(D64)&amp;"|"&amp;TRIM(E64)&amp;"|"&amp;TRIM(F64)&amp;"|"&amp;TRIM(H64)&amp;"|"&amp;TRIM(I64))</f>
        <v/>
      </c>
      <c r="S64" s="37">
        <f>IF(A64="","",IF(COUNTIF($R$6:$R$162,R64)&gt;1,"重复","唯一"))</f>
        <v/>
      </c>
      <c r="T64" s="37" t="str"/>
      <c r="U64" s="37" t="inlineStr">
        <is>
          <t>待分配</t>
        </is>
      </c>
      <c r="V64" s="128" t="n">
        <v>46224</v>
      </c>
      <c r="W64" s="37" t="inlineStr">
        <is>
          <t>原创/待确认</t>
        </is>
      </c>
      <c r="X64" s="37" t="inlineStr">
        <is>
          <t>只登记房间独有件；地板墙体引用 biome kit</t>
        </is>
      </c>
    </row>
    <row r="65">
      <c r="A65" s="37" t="inlineStr">
        <is>
          <t>ENV-ROOM-TRAP-DRESSING</t>
        </is>
      </c>
      <c r="B65" s="37" t="inlineStr">
        <is>
          <t>trap 房间陈设包</t>
        </is>
      </c>
      <c r="C65" s="37" t="inlineStr">
        <is>
          <t>场景</t>
        </is>
      </c>
      <c r="D65" s="37" t="inlineStr">
        <is>
          <t>room_dressing</t>
        </is>
      </c>
      <c r="E65" s="37" t="inlineStr">
        <is>
          <t>room_trap</t>
        </is>
      </c>
      <c r="F65" s="37" t="inlineStr">
        <is>
          <t>root</t>
        </is>
      </c>
      <c r="G65" s="37" t="str"/>
      <c r="H65" s="37" t="inlineStr">
        <is>
          <t>顶视</t>
        </is>
      </c>
      <c r="I65" s="37" t="inlineStr">
        <is>
          <t>default</t>
        </is>
      </c>
      <c r="J65" s="37" t="inlineStr">
        <is>
          <t>跨楼层配色变体</t>
        </is>
      </c>
      <c r="K65" s="37" t="inlineStr">
        <is>
          <t>程序占位</t>
        </is>
      </c>
      <c r="L65" s="37" t="inlineStr">
        <is>
          <t>P2</t>
        </is>
      </c>
      <c r="M65" s="37" t="inlineStr">
        <is>
          <t>v001</t>
        </is>
      </c>
      <c r="N65" s="37" t="inlineStr">
        <is>
          <t>64 px 网格</t>
        </is>
      </c>
      <c r="O65" s="37" t="str"/>
      <c r="P65" s="37" t="inlineStr">
        <is>
          <t>scenes/RoomTrap.tscn</t>
        </is>
      </c>
      <c r="Q65" s="37" t="str"/>
      <c r="R65" s="37">
        <f>LOWER(TRIM(C65)&amp;"|"&amp;TRIM(D65)&amp;"|"&amp;TRIM(E65)&amp;"|"&amp;TRIM(F65)&amp;"|"&amp;TRIM(H65)&amp;"|"&amp;TRIM(I65))</f>
        <v/>
      </c>
      <c r="S65" s="37">
        <f>IF(A65="","",IF(COUNTIF($R$6:$R$162,R65)&gt;1,"重复","唯一"))</f>
        <v/>
      </c>
      <c r="T65" s="37" t="str"/>
      <c r="U65" s="37" t="inlineStr">
        <is>
          <t>待分配</t>
        </is>
      </c>
      <c r="V65" s="128" t="n">
        <v>46224</v>
      </c>
      <c r="W65" s="37" t="inlineStr">
        <is>
          <t>原创/待确认</t>
        </is>
      </c>
      <c r="X65" s="37" t="inlineStr">
        <is>
          <t>只登记房间独有件；地板墙体引用 biome kit</t>
        </is>
      </c>
    </row>
    <row r="66">
      <c r="A66" s="37" t="inlineStr">
        <is>
          <t>ENV-ROOM-UPGRADE-DRESSING</t>
        </is>
      </c>
      <c r="B66" s="37" t="inlineStr">
        <is>
          <t>upgrade 房间陈设包</t>
        </is>
      </c>
      <c r="C66" s="37" t="inlineStr">
        <is>
          <t>场景</t>
        </is>
      </c>
      <c r="D66" s="37" t="inlineStr">
        <is>
          <t>room_dressing</t>
        </is>
      </c>
      <c r="E66" s="37" t="inlineStr">
        <is>
          <t>room_upgrade</t>
        </is>
      </c>
      <c r="F66" s="37" t="inlineStr">
        <is>
          <t>root</t>
        </is>
      </c>
      <c r="G66" s="37" t="str"/>
      <c r="H66" s="37" t="inlineStr">
        <is>
          <t>顶视</t>
        </is>
      </c>
      <c r="I66" s="37" t="inlineStr">
        <is>
          <t>default</t>
        </is>
      </c>
      <c r="J66" s="37" t="inlineStr">
        <is>
          <t>跨楼层配色变体</t>
        </is>
      </c>
      <c r="K66" s="37" t="inlineStr">
        <is>
          <t>程序占位</t>
        </is>
      </c>
      <c r="L66" s="37" t="inlineStr">
        <is>
          <t>P2</t>
        </is>
      </c>
      <c r="M66" s="37" t="inlineStr">
        <is>
          <t>v001</t>
        </is>
      </c>
      <c r="N66" s="37" t="inlineStr">
        <is>
          <t>64 px 网格</t>
        </is>
      </c>
      <c r="O66" s="37" t="str"/>
      <c r="P66" s="37" t="inlineStr">
        <is>
          <t>scenes/RoomUpgrade.tscn</t>
        </is>
      </c>
      <c r="Q66" s="37" t="str"/>
      <c r="R66" s="37">
        <f>LOWER(TRIM(C66)&amp;"|"&amp;TRIM(D66)&amp;"|"&amp;TRIM(E66)&amp;"|"&amp;TRIM(F66)&amp;"|"&amp;TRIM(H66)&amp;"|"&amp;TRIM(I66))</f>
        <v/>
      </c>
      <c r="S66" s="37">
        <f>IF(A66="","",IF(COUNTIF($R$6:$R$162,R66)&gt;1,"重复","唯一"))</f>
        <v/>
      </c>
      <c r="T66" s="37" t="str"/>
      <c r="U66" s="37" t="inlineStr">
        <is>
          <t>待分配</t>
        </is>
      </c>
      <c r="V66" s="128" t="n">
        <v>46224</v>
      </c>
      <c r="W66" s="37" t="inlineStr">
        <is>
          <t>原创/待确认</t>
        </is>
      </c>
      <c r="X66" s="37" t="inlineStr">
        <is>
          <t>只登记房间独有件；地板墙体引用 biome kit</t>
        </is>
      </c>
    </row>
    <row r="67">
      <c r="A67" s="37" t="inlineStr">
        <is>
          <t>ENV-ROOM-SPAWN-DRESSING</t>
        </is>
      </c>
      <c r="B67" s="37" t="inlineStr">
        <is>
          <t>spawn 房间陈设包</t>
        </is>
      </c>
      <c r="C67" s="37" t="inlineStr">
        <is>
          <t>场景</t>
        </is>
      </c>
      <c r="D67" s="37" t="inlineStr">
        <is>
          <t>room_dressing</t>
        </is>
      </c>
      <c r="E67" s="37" t="inlineStr">
        <is>
          <t>room_spawn</t>
        </is>
      </c>
      <c r="F67" s="37" t="inlineStr">
        <is>
          <t>root</t>
        </is>
      </c>
      <c r="G67" s="37" t="str"/>
      <c r="H67" s="37" t="inlineStr">
        <is>
          <t>顶视</t>
        </is>
      </c>
      <c r="I67" s="37" t="inlineStr">
        <is>
          <t>default</t>
        </is>
      </c>
      <c r="J67" s="37" t="inlineStr">
        <is>
          <t>跨楼层配色变体</t>
        </is>
      </c>
      <c r="K67" s="37" t="inlineStr">
        <is>
          <t>程序占位</t>
        </is>
      </c>
      <c r="L67" s="37" t="inlineStr">
        <is>
          <t>P2</t>
        </is>
      </c>
      <c r="M67" s="37" t="inlineStr">
        <is>
          <t>v001</t>
        </is>
      </c>
      <c r="N67" s="37" t="inlineStr">
        <is>
          <t>64 px 网格</t>
        </is>
      </c>
      <c r="O67" s="37" t="str"/>
      <c r="P67" s="37" t="inlineStr">
        <is>
          <t>scenes/RoomSpawn.tscn</t>
        </is>
      </c>
      <c r="Q67" s="37" t="str"/>
      <c r="R67" s="37">
        <f>LOWER(TRIM(C67)&amp;"|"&amp;TRIM(D67)&amp;"|"&amp;TRIM(E67)&amp;"|"&amp;TRIM(F67)&amp;"|"&amp;TRIM(H67)&amp;"|"&amp;TRIM(I67))</f>
        <v/>
      </c>
      <c r="S67" s="37">
        <f>IF(A67="","",IF(COUNTIF($R$6:$R$162,R67)&gt;1,"重复","唯一"))</f>
        <v/>
      </c>
      <c r="T67" s="37" t="str"/>
      <c r="U67" s="37" t="inlineStr">
        <is>
          <t>待分配</t>
        </is>
      </c>
      <c r="V67" s="128" t="n">
        <v>46224</v>
      </c>
      <c r="W67" s="37" t="inlineStr">
        <is>
          <t>原创/待确认</t>
        </is>
      </c>
      <c r="X67" s="37" t="inlineStr">
        <is>
          <t>只登记房间独有件；地板墙体引用 biome kit</t>
        </is>
      </c>
    </row>
    <row r="68">
      <c r="A68" s="37" t="inlineStr">
        <is>
          <t>ENV-ROOM-STAIRS-DRESSING</t>
        </is>
      </c>
      <c r="B68" s="37" t="inlineStr">
        <is>
          <t>stairs 房间陈设包</t>
        </is>
      </c>
      <c r="C68" s="37" t="inlineStr">
        <is>
          <t>场景</t>
        </is>
      </c>
      <c r="D68" s="37" t="inlineStr">
        <is>
          <t>room_dressing</t>
        </is>
      </c>
      <c r="E68" s="37" t="inlineStr">
        <is>
          <t>room_stairs</t>
        </is>
      </c>
      <c r="F68" s="37" t="inlineStr">
        <is>
          <t>root</t>
        </is>
      </c>
      <c r="G68" s="37" t="str"/>
      <c r="H68" s="37" t="inlineStr">
        <is>
          <t>顶视</t>
        </is>
      </c>
      <c r="I68" s="37" t="inlineStr">
        <is>
          <t>default</t>
        </is>
      </c>
      <c r="J68" s="37" t="inlineStr">
        <is>
          <t>跨楼层配色变体</t>
        </is>
      </c>
      <c r="K68" s="37" t="inlineStr">
        <is>
          <t>程序占位</t>
        </is>
      </c>
      <c r="L68" s="37" t="inlineStr">
        <is>
          <t>P2</t>
        </is>
      </c>
      <c r="M68" s="37" t="inlineStr">
        <is>
          <t>v001</t>
        </is>
      </c>
      <c r="N68" s="37" t="inlineStr">
        <is>
          <t>64 px 网格</t>
        </is>
      </c>
      <c r="O68" s="37" t="str"/>
      <c r="P68" s="37" t="inlineStr">
        <is>
          <t>scenes/RoomStairs.tscn</t>
        </is>
      </c>
      <c r="Q68" s="37" t="str"/>
      <c r="R68" s="37">
        <f>LOWER(TRIM(C68)&amp;"|"&amp;TRIM(D68)&amp;"|"&amp;TRIM(E68)&amp;"|"&amp;TRIM(F68)&amp;"|"&amp;TRIM(H68)&amp;"|"&amp;TRIM(I68))</f>
        <v/>
      </c>
      <c r="S68" s="37">
        <f>IF(A68="","",IF(COUNTIF($R$6:$R$162,R68)&gt;1,"重复","唯一"))</f>
        <v/>
      </c>
      <c r="T68" s="37" t="str"/>
      <c r="U68" s="37" t="inlineStr">
        <is>
          <t>待分配</t>
        </is>
      </c>
      <c r="V68" s="128" t="n">
        <v>46224</v>
      </c>
      <c r="W68" s="37" t="inlineStr">
        <is>
          <t>原创/待确认</t>
        </is>
      </c>
      <c r="X68" s="37" t="inlineStr">
        <is>
          <t>只登记房间独有件；地板墙体引用 biome kit</t>
        </is>
      </c>
    </row>
    <row r="69">
      <c r="A69" s="37" t="inlineStr">
        <is>
          <t>PRP-BASE-BRIEFING</t>
        </is>
      </c>
      <c r="B69" s="37" t="inlineStr">
        <is>
          <t>远征情报终端 / 战术情报指挥桌</t>
        </is>
      </c>
      <c r="C69" s="37" t="inlineStr">
        <is>
          <t>3D道具</t>
        </is>
      </c>
      <c r="D69" s="37" t="inlineStr">
        <is>
          <t>base_facility</t>
        </is>
      </c>
      <c r="E69" s="37" t="inlineStr">
        <is>
          <t>mission_operations</t>
        </is>
      </c>
      <c r="F69" s="37" t="inlineStr">
        <is>
          <t>root</t>
        </is>
      </c>
      <c r="G69" s="37" t="str"/>
      <c r="H69" s="37" t="inlineStr">
        <is>
          <t>Top3D / local -Z 正面</t>
        </is>
      </c>
      <c r="I69" s="37" t="inlineStr">
        <is>
          <t>default / 独立交互场景</t>
        </is>
      </c>
      <c r="J69" s="37" t="inlineStr">
        <is>
          <t>BaseWorld3D/TowerDescent99F</t>
        </is>
      </c>
      <c r="K69" s="37" t="inlineStr">
        <is>
          <t>正式美术已接入</t>
        </is>
      </c>
      <c r="L69" s="37" t="inlineStr">
        <is>
          <t>P1</t>
        </is>
      </c>
      <c r="M69" s="37" t="inlineStr">
        <is>
          <t>v003</t>
        </is>
      </c>
      <c r="N69" s="37" t="inlineStr">
        <is>
          <t>4材质；主体/自发光分离；独立GLB/PackedScene</t>
        </is>
      </c>
      <c r="O69" s="37" t="inlineStr">
        <is>
          <t>assets/art/props/base_world_3d/runtime/mission_operations/prp_base_mission_operations_root_top3d_v001.tscn</t>
        </is>
      </c>
      <c r="P69" s="37" t="inlineStr">
        <is>
          <t>assets/art/props/base_world_3d/source/mission_operations/prp_base_mission_operations_source_v003.blend; src/base3d/BaseFacility3D.gd; src/world3d/TowerDescent3D.gd</t>
        </is>
      </c>
      <c r="Q69" s="37" t="inlineStr">
        <is>
          <t>mission_operations; 战术情报指挥桌; 基地设施; 多巴胺配色; 自发光分离</t>
        </is>
      </c>
      <c r="R69" s="37">
        <f>LOWER(TRIM(C69)&amp;"|"&amp;TRIM(D69)&amp;"|"&amp;TRIM(E69)&amp;"|"&amp;TRIM(F69)&amp;"|"&amp;TRIM(H69)&amp;"|"&amp;TRIM(I69))</f>
        <v/>
      </c>
      <c r="S69" s="37" t="inlineStr">
        <is>
          <t>唯一</t>
        </is>
      </c>
      <c r="T69" s="37" t="inlineStr">
        <is>
          <t>6463ac9d2ebefa311f232a487760ff2eaa2e9cd456e6160d4092684dbf2eaaad</t>
        </is>
      </c>
      <c r="U69" s="37" t="inlineStr">
        <is>
          <t>Codex</t>
        </is>
      </c>
      <c r="V69" s="128" t="n">
        <v>46244</v>
      </c>
      <c r="W69" s="37" t="inlineStr">
        <is>
          <t>用户自制Blender资产</t>
        </is>
      </c>
      <c r="X69" s="37" t="inlineStr">
        <is>
          <t>正式模型替换程序占位；保留稳定facility_id和交互协议。</t>
        </is>
      </c>
    </row>
    <row r="70">
      <c r="A70" s="37" t="inlineStr">
        <is>
          <t>PRP-BASE-WORKSHOP</t>
        </is>
      </c>
      <c r="B70" s="37" t="inlineStr">
        <is>
          <t>枪械工坊 / 赛博维修工作台</t>
        </is>
      </c>
      <c r="C70" s="37" t="inlineStr">
        <is>
          <t>3D道具</t>
        </is>
      </c>
      <c r="D70" s="37" t="inlineStr">
        <is>
          <t>base_facility</t>
        </is>
      </c>
      <c r="E70" s="37" t="inlineStr">
        <is>
          <t>weapon_workshop</t>
        </is>
      </c>
      <c r="F70" s="37" t="inlineStr">
        <is>
          <t>root</t>
        </is>
      </c>
      <c r="G70" s="37" t="str"/>
      <c r="H70" s="37" t="inlineStr">
        <is>
          <t>Top3D / local -Z 正面</t>
        </is>
      </c>
      <c r="I70" s="37" t="inlineStr">
        <is>
          <t>default / 独立交互场景</t>
        </is>
      </c>
      <c r="J70" s="37" t="inlineStr">
        <is>
          <t>BaseWorld3D/TowerDescent99F</t>
        </is>
      </c>
      <c r="K70" s="37" t="inlineStr">
        <is>
          <t>正式美术已接入</t>
        </is>
      </c>
      <c r="L70" s="37" t="inlineStr">
        <is>
          <t>P1</t>
        </is>
      </c>
      <c r="M70" s="37" t="inlineStr">
        <is>
          <t>v003</t>
        </is>
      </c>
      <c r="N70" s="37" t="inlineStr">
        <is>
          <t>4材质；主体/自发光分离；独立GLB/PackedScene</t>
        </is>
      </c>
      <c r="O70" s="37" t="inlineStr">
        <is>
          <t>assets/art/props/base_world_3d/runtime/weapon_workshop/prp_base_weapon_workshop_root_top3d_v001.tscn</t>
        </is>
      </c>
      <c r="P70" s="37" t="inlineStr">
        <is>
          <t>assets/art/props/base_world_3d/source/weapon_workshop/prp_base_weapon_workshop_source_v003.blend; src/base3d/BaseFacility3D.gd; src/world3d/TowerDescent3D.gd</t>
        </is>
      </c>
      <c r="Q70" s="37" t="inlineStr">
        <is>
          <t>weapon_workshop; 赛博维修工作台; 基地设施; 多巴胺配色; 自发光分离</t>
        </is>
      </c>
      <c r="R70" s="37">
        <f>LOWER(TRIM(C70)&amp;"|"&amp;TRIM(D70)&amp;"|"&amp;TRIM(E70)&amp;"|"&amp;TRIM(F70)&amp;"|"&amp;TRIM(H70)&amp;"|"&amp;TRIM(I70))</f>
        <v/>
      </c>
      <c r="S70" s="37" t="inlineStr">
        <is>
          <t>唯一</t>
        </is>
      </c>
      <c r="T70" s="37" t="inlineStr">
        <is>
          <t>0bf7bd460082e8137587fe3b5dc8c2685fbbdf24a811c105d693601de73d4fd5</t>
        </is>
      </c>
      <c r="U70" s="37" t="inlineStr">
        <is>
          <t>Codex</t>
        </is>
      </c>
      <c r="V70" s="128" t="n">
        <v>46244</v>
      </c>
      <c r="W70" s="37" t="inlineStr">
        <is>
          <t>用户自制Blender资产</t>
        </is>
      </c>
      <c r="X70" s="37" t="inlineStr">
        <is>
          <t>正式模型替换程序占位；保留稳定facility_id和交互协议。</t>
        </is>
      </c>
    </row>
    <row r="71">
      <c r="A71" s="37" t="inlineStr">
        <is>
          <t>PRP-BASE-DIVINATION</t>
        </is>
      </c>
      <c r="B71" s="37" t="inlineStr">
        <is>
          <t>命运占卜屋</t>
        </is>
      </c>
      <c r="C71" s="37" t="inlineStr">
        <is>
          <t>场景道具</t>
        </is>
      </c>
      <c r="D71" s="37" t="inlineStr">
        <is>
          <t>facility</t>
        </is>
      </c>
      <c r="E71" s="37" t="inlineStr">
        <is>
          <t>base_divination</t>
        </is>
      </c>
      <c r="F71" s="37" t="inlineStr">
        <is>
          <t>root</t>
        </is>
      </c>
      <c r="G71" s="37" t="str"/>
      <c r="H71" s="37" t="inlineStr">
        <is>
          <t>顶视</t>
        </is>
      </c>
      <c r="I71" s="37" t="inlineStr">
        <is>
          <t>default</t>
        </is>
      </c>
      <c r="J71" s="37" t="inlineStr">
        <is>
          <t>基地/房间</t>
        </is>
      </c>
      <c r="K71" s="37" t="inlineStr">
        <is>
          <t>程序占位</t>
        </is>
      </c>
      <c r="L71" s="37" t="inlineStr">
        <is>
          <t>P1</t>
        </is>
      </c>
      <c r="M71" s="37" t="inlineStr">
        <is>
          <t>v001</t>
        </is>
      </c>
      <c r="N71" s="37" t="inlineStr">
        <is>
          <t>64 px 网格对齐</t>
        </is>
      </c>
      <c r="O71" s="37" t="str"/>
      <c r="P71" s="37" t="inlineStr">
        <is>
          <t>scenes/BaseWorld.tscn</t>
        </is>
      </c>
      <c r="Q71" s="37" t="str"/>
      <c r="R71" s="37">
        <f>LOWER(TRIM(C71)&amp;"|"&amp;TRIM(D71)&amp;"|"&amp;TRIM(E71)&amp;"|"&amp;TRIM(F71)&amp;"|"&amp;TRIM(H71)&amp;"|"&amp;TRIM(I71))</f>
        <v/>
      </c>
      <c r="S71" s="37">
        <f>IF(A71="","",IF(COUNTIF($R$6:$R$162,R71)&gt;1,"重复","唯一"))</f>
        <v/>
      </c>
      <c r="T71" s="37" t="str"/>
      <c r="U71" s="37" t="inlineStr">
        <is>
          <t>待分配</t>
        </is>
      </c>
      <c r="V71" s="128" t="n">
        <v>46224</v>
      </c>
      <c r="W71" s="37" t="inlineStr">
        <is>
          <t>原创/待确认</t>
        </is>
      </c>
      <c r="X71" s="37" t="inlineStr">
        <is>
          <t>状态变体使用同一 AssetID + state，不复制新命名根</t>
        </is>
      </c>
    </row>
    <row r="72">
      <c r="A72" s="37" t="inlineStr">
        <is>
          <t>PRP-BASE-VAULT</t>
        </is>
      </c>
      <c r="B72" s="37" t="inlineStr">
        <is>
          <t>保险柜</t>
        </is>
      </c>
      <c r="C72" s="37" t="inlineStr">
        <is>
          <t>场景道具</t>
        </is>
      </c>
      <c r="D72" s="37" t="inlineStr">
        <is>
          <t>facility</t>
        </is>
      </c>
      <c r="E72" s="37" t="inlineStr">
        <is>
          <t>base_vault</t>
        </is>
      </c>
      <c r="F72" s="37" t="inlineStr">
        <is>
          <t>root</t>
        </is>
      </c>
      <c r="G72" s="37" t="str"/>
      <c r="H72" s="37" t="inlineStr">
        <is>
          <t>顶视</t>
        </is>
      </c>
      <c r="I72" s="37" t="inlineStr">
        <is>
          <t>default</t>
        </is>
      </c>
      <c r="J72" s="37" t="inlineStr">
        <is>
          <t>基地/房间</t>
        </is>
      </c>
      <c r="K72" s="37" t="inlineStr">
        <is>
          <t>程序占位</t>
        </is>
      </c>
      <c r="L72" s="37" t="inlineStr">
        <is>
          <t>P1</t>
        </is>
      </c>
      <c r="M72" s="37" t="inlineStr">
        <is>
          <t>v001</t>
        </is>
      </c>
      <c r="N72" s="37" t="inlineStr">
        <is>
          <t>64 px 网格对齐</t>
        </is>
      </c>
      <c r="O72" s="37" t="str"/>
      <c r="P72" s="37" t="inlineStr">
        <is>
          <t>scenes/BaseWorld.tscn</t>
        </is>
      </c>
      <c r="Q72" s="37" t="str"/>
      <c r="R72" s="37">
        <f>LOWER(TRIM(C72)&amp;"|"&amp;TRIM(D72)&amp;"|"&amp;TRIM(E72)&amp;"|"&amp;TRIM(F72)&amp;"|"&amp;TRIM(H72)&amp;"|"&amp;TRIM(I72))</f>
        <v/>
      </c>
      <c r="S72" s="37">
        <f>IF(A72="","",IF(COUNTIF($R$6:$R$162,R72)&gt;1,"重复","唯一"))</f>
        <v/>
      </c>
      <c r="T72" s="37" t="str"/>
      <c r="U72" s="37" t="inlineStr">
        <is>
          <t>待分配</t>
        </is>
      </c>
      <c r="V72" s="128" t="n">
        <v>46224</v>
      </c>
      <c r="W72" s="37" t="inlineStr">
        <is>
          <t>原创/待确认</t>
        </is>
      </c>
      <c r="X72" s="37" t="inlineStr">
        <is>
          <t>状态变体使用同一 AssetID + state，不复制新命名根</t>
        </is>
      </c>
    </row>
    <row r="73">
      <c r="A73" s="37" t="inlineStr">
        <is>
          <t>PRP-BASE-MONSTER-ARCHIVE</t>
        </is>
      </c>
      <c r="B73" s="37" t="inlineStr">
        <is>
          <t>怪物档案室</t>
        </is>
      </c>
      <c r="C73" s="37" t="inlineStr">
        <is>
          <t>场景道具</t>
        </is>
      </c>
      <c r="D73" s="37" t="inlineStr">
        <is>
          <t>facility</t>
        </is>
      </c>
      <c r="E73" s="37" t="inlineStr">
        <is>
          <t>base_monster_archive</t>
        </is>
      </c>
      <c r="F73" s="37" t="inlineStr">
        <is>
          <t>root</t>
        </is>
      </c>
      <c r="G73" s="37" t="str"/>
      <c r="H73" s="37" t="inlineStr">
        <is>
          <t>顶视</t>
        </is>
      </c>
      <c r="I73" s="37" t="inlineStr">
        <is>
          <t>default</t>
        </is>
      </c>
      <c r="J73" s="37" t="inlineStr">
        <is>
          <t>基地/房间</t>
        </is>
      </c>
      <c r="K73" s="37" t="inlineStr">
        <is>
          <t>程序占位</t>
        </is>
      </c>
      <c r="L73" s="37" t="inlineStr">
        <is>
          <t>P1</t>
        </is>
      </c>
      <c r="M73" s="37" t="inlineStr">
        <is>
          <t>v001</t>
        </is>
      </c>
      <c r="N73" s="37" t="inlineStr">
        <is>
          <t>64 px 网格对齐</t>
        </is>
      </c>
      <c r="O73" s="37" t="str"/>
      <c r="P73" s="37" t="inlineStr">
        <is>
          <t>scenes/BaseWorld.tscn</t>
        </is>
      </c>
      <c r="Q73" s="37" t="str"/>
      <c r="R73" s="37">
        <f>LOWER(TRIM(C73)&amp;"|"&amp;TRIM(D73)&amp;"|"&amp;TRIM(E73)&amp;"|"&amp;TRIM(F73)&amp;"|"&amp;TRIM(H73)&amp;"|"&amp;TRIM(I73))</f>
        <v/>
      </c>
      <c r="S73" s="37">
        <f>IF(A73="","",IF(COUNTIF($R$6:$R$162,R73)&gt;1,"重复","唯一"))</f>
        <v/>
      </c>
      <c r="T73" s="37" t="str"/>
      <c r="U73" s="37" t="inlineStr">
        <is>
          <t>待分配</t>
        </is>
      </c>
      <c r="V73" s="128" t="n">
        <v>46224</v>
      </c>
      <c r="W73" s="37" t="inlineStr">
        <is>
          <t>原创/待确认</t>
        </is>
      </c>
      <c r="X73" s="37" t="inlineStr">
        <is>
          <t>状态变体使用同一 AssetID + state，不复制新命名根</t>
        </is>
      </c>
    </row>
    <row r="74">
      <c r="A74" s="37" t="inlineStr">
        <is>
          <t>PRP-BASE-CARD-COLLECTION</t>
        </is>
      </c>
      <c r="B74" s="37" t="inlineStr">
        <is>
          <t>命运卡牌收藏室</t>
        </is>
      </c>
      <c r="C74" s="37" t="inlineStr">
        <is>
          <t>场景道具</t>
        </is>
      </c>
      <c r="D74" s="37" t="inlineStr">
        <is>
          <t>facility</t>
        </is>
      </c>
      <c r="E74" s="37" t="inlineStr">
        <is>
          <t>base_card_collection</t>
        </is>
      </c>
      <c r="F74" s="37" t="inlineStr">
        <is>
          <t>root</t>
        </is>
      </c>
      <c r="G74" s="37" t="str"/>
      <c r="H74" s="37" t="inlineStr">
        <is>
          <t>顶视</t>
        </is>
      </c>
      <c r="I74" s="37" t="inlineStr">
        <is>
          <t>default</t>
        </is>
      </c>
      <c r="J74" s="37" t="inlineStr">
        <is>
          <t>基地/房间</t>
        </is>
      </c>
      <c r="K74" s="37" t="inlineStr">
        <is>
          <t>程序占位</t>
        </is>
      </c>
      <c r="L74" s="37" t="inlineStr">
        <is>
          <t>P1</t>
        </is>
      </c>
      <c r="M74" s="37" t="inlineStr">
        <is>
          <t>v001</t>
        </is>
      </c>
      <c r="N74" s="37" t="inlineStr">
        <is>
          <t>64 px 网格对齐</t>
        </is>
      </c>
      <c r="O74" s="37" t="str"/>
      <c r="P74" s="37" t="inlineStr">
        <is>
          <t>scenes/BaseWorld.tscn</t>
        </is>
      </c>
      <c r="Q74" s="37" t="str"/>
      <c r="R74" s="37">
        <f>LOWER(TRIM(C74)&amp;"|"&amp;TRIM(D74)&amp;"|"&amp;TRIM(E74)&amp;"|"&amp;TRIM(F74)&amp;"|"&amp;TRIM(H74)&amp;"|"&amp;TRIM(I74))</f>
        <v/>
      </c>
      <c r="S74" s="37">
        <f>IF(A74="","",IF(COUNTIF($R$6:$R$162,R74)&gt;1,"重复","唯一"))</f>
        <v/>
      </c>
      <c r="T74" s="37" t="str"/>
      <c r="U74" s="37" t="inlineStr">
        <is>
          <t>待分配</t>
        </is>
      </c>
      <c r="V74" s="128" t="n">
        <v>46224</v>
      </c>
      <c r="W74" s="37" t="inlineStr">
        <is>
          <t>原创/待确认</t>
        </is>
      </c>
      <c r="X74" s="37" t="inlineStr">
        <is>
          <t>状态变体使用同一 AssetID + state，不复制新命名根</t>
        </is>
      </c>
    </row>
    <row r="75">
      <c r="A75" s="37" t="inlineStr">
        <is>
          <t>PRP-BASE-TERMINAL</t>
        </is>
      </c>
      <c r="B75" s="37" t="inlineStr">
        <is>
          <t>基地管理终端</t>
        </is>
      </c>
      <c r="C75" s="37" t="inlineStr">
        <is>
          <t>场景道具</t>
        </is>
      </c>
      <c r="D75" s="37" t="inlineStr">
        <is>
          <t>facility</t>
        </is>
      </c>
      <c r="E75" s="37" t="inlineStr">
        <is>
          <t>base_terminal</t>
        </is>
      </c>
      <c r="F75" s="37" t="inlineStr">
        <is>
          <t>root</t>
        </is>
      </c>
      <c r="G75" s="37" t="str"/>
      <c r="H75" s="37" t="inlineStr">
        <is>
          <t>顶视</t>
        </is>
      </c>
      <c r="I75" s="37" t="inlineStr">
        <is>
          <t>default</t>
        </is>
      </c>
      <c r="J75" s="37" t="inlineStr">
        <is>
          <t>基地/房间</t>
        </is>
      </c>
      <c r="K75" s="37" t="inlineStr">
        <is>
          <t>程序占位</t>
        </is>
      </c>
      <c r="L75" s="37" t="inlineStr">
        <is>
          <t>P1</t>
        </is>
      </c>
      <c r="M75" s="37" t="inlineStr">
        <is>
          <t>v001</t>
        </is>
      </c>
      <c r="N75" s="37" t="inlineStr">
        <is>
          <t>64 px 网格对齐</t>
        </is>
      </c>
      <c r="O75" s="37" t="str"/>
      <c r="P75" s="37" t="inlineStr">
        <is>
          <t>scenes/BaseWorld.tscn</t>
        </is>
      </c>
      <c r="Q75" s="37" t="str"/>
      <c r="R75" s="37">
        <f>LOWER(TRIM(C75)&amp;"|"&amp;TRIM(D75)&amp;"|"&amp;TRIM(E75)&amp;"|"&amp;TRIM(F75)&amp;"|"&amp;TRIM(H75)&amp;"|"&amp;TRIM(I75))</f>
        <v/>
      </c>
      <c r="S75" s="37">
        <f>IF(A75="","",IF(COUNTIF($R$6:$R$162,R75)&gt;1,"重复","唯一"))</f>
        <v/>
      </c>
      <c r="T75" s="37" t="str"/>
      <c r="U75" s="37" t="inlineStr">
        <is>
          <t>待分配</t>
        </is>
      </c>
      <c r="V75" s="128" t="n">
        <v>46224</v>
      </c>
      <c r="W75" s="37" t="inlineStr">
        <is>
          <t>原创/待确认</t>
        </is>
      </c>
      <c r="X75" s="37" t="inlineStr">
        <is>
          <t>状态变体使用同一 AssetID + state，不复制新命名根</t>
        </is>
      </c>
    </row>
    <row r="76">
      <c r="A76" s="37" t="inlineStr">
        <is>
          <t>PRP-DUNGEON-GATE</t>
        </is>
      </c>
      <c r="B76" s="37" t="inlineStr">
        <is>
          <t>副本入口</t>
        </is>
      </c>
      <c r="C76" s="37" t="inlineStr">
        <is>
          <t>场景道具</t>
        </is>
      </c>
      <c r="D76" s="37" t="inlineStr">
        <is>
          <t>facility</t>
        </is>
      </c>
      <c r="E76" s="37" t="inlineStr">
        <is>
          <t>dungeon_gate</t>
        </is>
      </c>
      <c r="F76" s="37" t="inlineStr">
        <is>
          <t>root</t>
        </is>
      </c>
      <c r="G76" s="37" t="str"/>
      <c r="H76" s="37" t="inlineStr">
        <is>
          <t>顶视</t>
        </is>
      </c>
      <c r="I76" s="37" t="inlineStr">
        <is>
          <t>default</t>
        </is>
      </c>
      <c r="J76" s="37" t="inlineStr">
        <is>
          <t>基地/房间</t>
        </is>
      </c>
      <c r="K76" s="37" t="inlineStr">
        <is>
          <t>程序占位</t>
        </is>
      </c>
      <c r="L76" s="37" t="inlineStr">
        <is>
          <t>P1</t>
        </is>
      </c>
      <c r="M76" s="37" t="inlineStr">
        <is>
          <t>v001</t>
        </is>
      </c>
      <c r="N76" s="37" t="inlineStr">
        <is>
          <t>64 px 网格对齐</t>
        </is>
      </c>
      <c r="O76" s="37" t="str"/>
      <c r="P76" s="37" t="inlineStr">
        <is>
          <t>scenes/BaseWorld.tscn</t>
        </is>
      </c>
      <c r="Q76" s="37" t="str"/>
      <c r="R76" s="37">
        <f>LOWER(TRIM(C76)&amp;"|"&amp;TRIM(D76)&amp;"|"&amp;TRIM(E76)&amp;"|"&amp;TRIM(F76)&amp;"|"&amp;TRIM(H76)&amp;"|"&amp;TRIM(I76))</f>
        <v/>
      </c>
      <c r="S76" s="37">
        <f>IF(A76="","",IF(COUNTIF($R$6:$R$162,R76)&gt;1,"重复","唯一"))</f>
        <v/>
      </c>
      <c r="T76" s="37" t="str"/>
      <c r="U76" s="37" t="inlineStr">
        <is>
          <t>待分配</t>
        </is>
      </c>
      <c r="V76" s="128" t="n">
        <v>46224</v>
      </c>
      <c r="W76" s="37" t="inlineStr">
        <is>
          <t>原创/待确认</t>
        </is>
      </c>
      <c r="X76" s="37" t="inlineStr">
        <is>
          <t>状态变体使用同一 AssetID + state，不复制新命名根</t>
        </is>
      </c>
    </row>
    <row r="77">
      <c r="A77" s="37" t="inlineStr">
        <is>
          <t>PRP-WORKBENCH</t>
        </is>
      </c>
      <c r="B77" s="37" t="inlineStr">
        <is>
          <t>工作台</t>
        </is>
      </c>
      <c r="C77" s="37" t="inlineStr">
        <is>
          <t>场景道具</t>
        </is>
      </c>
      <c r="D77" s="37" t="inlineStr">
        <is>
          <t>facility</t>
        </is>
      </c>
      <c r="E77" s="37" t="inlineStr">
        <is>
          <t>workbench</t>
        </is>
      </c>
      <c r="F77" s="37" t="inlineStr">
        <is>
          <t>root</t>
        </is>
      </c>
      <c r="G77" s="37" t="str"/>
      <c r="H77" s="37" t="inlineStr">
        <is>
          <t>顶视</t>
        </is>
      </c>
      <c r="I77" s="37" t="inlineStr">
        <is>
          <t>default</t>
        </is>
      </c>
      <c r="J77" s="37" t="inlineStr">
        <is>
          <t>基地/房间</t>
        </is>
      </c>
      <c r="K77" s="37" t="inlineStr">
        <is>
          <t>程序占位</t>
        </is>
      </c>
      <c r="L77" s="37" t="inlineStr">
        <is>
          <t>P1</t>
        </is>
      </c>
      <c r="M77" s="37" t="inlineStr">
        <is>
          <t>v001</t>
        </is>
      </c>
      <c r="N77" s="37" t="inlineStr">
        <is>
          <t>64 px 网格对齐</t>
        </is>
      </c>
      <c r="O77" s="37" t="str"/>
      <c r="P77" s="37" t="inlineStr">
        <is>
          <t>scenes/BaseWorld.tscn</t>
        </is>
      </c>
      <c r="Q77" s="37" t="str"/>
      <c r="R77" s="37">
        <f>LOWER(TRIM(C77)&amp;"|"&amp;TRIM(D77)&amp;"|"&amp;TRIM(E77)&amp;"|"&amp;TRIM(F77)&amp;"|"&amp;TRIM(H77)&amp;"|"&amp;TRIM(I77))</f>
        <v/>
      </c>
      <c r="S77" s="37">
        <f>IF(A77="","",IF(COUNTIF($R$6:$R$162,R77)&gt;1,"重复","唯一"))</f>
        <v/>
      </c>
      <c r="T77" s="37" t="str"/>
      <c r="U77" s="37" t="inlineStr">
        <is>
          <t>待分配</t>
        </is>
      </c>
      <c r="V77" s="128" t="n">
        <v>46224</v>
      </c>
      <c r="W77" s="37" t="inlineStr">
        <is>
          <t>原创/待确认</t>
        </is>
      </c>
      <c r="X77" s="37" t="inlineStr">
        <is>
          <t>状态变体使用同一 AssetID + state，不复制新命名根</t>
        </is>
      </c>
    </row>
    <row r="78">
      <c r="A78" s="37" t="inlineStr">
        <is>
          <t>PRP-DOOR</t>
        </is>
      </c>
      <c r="B78" s="37" t="inlineStr">
        <is>
          <t>房门</t>
        </is>
      </c>
      <c r="C78" s="37" t="inlineStr">
        <is>
          <t>场景道具</t>
        </is>
      </c>
      <c r="D78" s="37" t="inlineStr">
        <is>
          <t>facility</t>
        </is>
      </c>
      <c r="E78" s="37" t="inlineStr">
        <is>
          <t>door</t>
        </is>
      </c>
      <c r="F78" s="37" t="inlineStr">
        <is>
          <t>root</t>
        </is>
      </c>
      <c r="G78" s="37" t="str"/>
      <c r="H78" s="37" t="inlineStr">
        <is>
          <t>顶视</t>
        </is>
      </c>
      <c r="I78" s="37" t="inlineStr">
        <is>
          <t>default</t>
        </is>
      </c>
      <c r="J78" s="37" t="inlineStr">
        <is>
          <t>基地/房间</t>
        </is>
      </c>
      <c r="K78" s="37" t="inlineStr">
        <is>
          <t>程序占位</t>
        </is>
      </c>
      <c r="L78" s="37" t="inlineStr">
        <is>
          <t>P1</t>
        </is>
      </c>
      <c r="M78" s="37" t="inlineStr">
        <is>
          <t>v001</t>
        </is>
      </c>
      <c r="N78" s="37" t="inlineStr">
        <is>
          <t>64 px 网格对齐</t>
        </is>
      </c>
      <c r="O78" s="37" t="str"/>
      <c r="P78" s="37" t="inlineStr">
        <is>
          <t>scenes/BaseWorld.tscn</t>
        </is>
      </c>
      <c r="Q78" s="37" t="str"/>
      <c r="R78" s="37">
        <f>LOWER(TRIM(C78)&amp;"|"&amp;TRIM(D78)&amp;"|"&amp;TRIM(E78)&amp;"|"&amp;TRIM(F78)&amp;"|"&amp;TRIM(H78)&amp;"|"&amp;TRIM(I78))</f>
        <v/>
      </c>
      <c r="S78" s="37">
        <f>IF(A78="","",IF(COUNTIF($R$6:$R$162,R78)&gt;1,"重复","唯一"))</f>
        <v/>
      </c>
      <c r="T78" s="37" t="str"/>
      <c r="U78" s="37" t="inlineStr">
        <is>
          <t>待分配</t>
        </is>
      </c>
      <c r="V78" s="128" t="n">
        <v>46224</v>
      </c>
      <c r="W78" s="37" t="inlineStr">
        <is>
          <t>原创/待确认</t>
        </is>
      </c>
      <c r="X78" s="37" t="inlineStr">
        <is>
          <t>状态变体使用同一 AssetID + state，不复制新命名根</t>
        </is>
      </c>
    </row>
    <row r="79" ht="155" customHeight="1">
      <c r="A79" s="101" t="inlineStr">
        <is>
          <t>UI-SCREEN-HUD</t>
        </is>
      </c>
      <c r="B79" s="101" t="inlineStr">
        <is>
          <t>战斗 HUD</t>
        </is>
      </c>
      <c r="C79" s="101" t="inlineStr">
        <is>
          <t>UI</t>
        </is>
      </c>
      <c r="D79" s="101" t="inlineStr">
        <is>
          <t>screen</t>
        </is>
      </c>
      <c r="E79" s="101" t="inlineStr">
        <is>
          <t>hud</t>
        </is>
      </c>
      <c r="F79" s="101" t="inlineStr">
        <is>
          <t>root</t>
        </is>
      </c>
      <c r="G79" s="101" t="str"/>
      <c r="H79" s="101" t="inlineStr">
        <is>
          <t>屏幕空间</t>
        </is>
      </c>
      <c r="I79" s="101" t="inlineStr">
        <is>
          <t>default</t>
        </is>
      </c>
      <c r="J79" s="101" t="inlineStr">
        <is>
          <t>跨分辨率</t>
        </is>
      </c>
      <c r="K79" s="101" t="inlineStr">
        <is>
          <t>原型已接入</t>
        </is>
      </c>
      <c r="L79" s="101" t="inlineStr">
        <is>
          <t>P0</t>
        </is>
      </c>
      <c r="M79" s="101" t="inlineStr">
        <is>
          <t>v002</t>
        </is>
      </c>
      <c r="N79" s="101" t="inlineStr">
        <is>
          <t>1280×720 基准；九宫格/矢量优先</t>
        </is>
      </c>
      <c r="O79" s="101" t="str"/>
      <c r="P79" s="101" t="inlineStr">
        <is>
          <t>src/ui/GameUIManager.gd</t>
        </is>
      </c>
      <c r="Q79" s="101" t="str"/>
      <c r="R79" s="101">
        <f>LOWER(TRIM(C79)&amp;"|"&amp;TRIM(D79)&amp;"|"&amp;TRIM(E79)&amp;"|"&amp;TRIM(F79)&amp;"|"&amp;TRIM(H79)&amp;"|"&amp;TRIM(I79))</f>
        <v/>
      </c>
      <c r="S79" s="101">
        <f>IF(A79="","",IF(COUNTIF($R$6:$R$162,R79)&gt;1,"重复","唯一"))</f>
        <v/>
      </c>
      <c r="T79" s="101" t="str"/>
      <c r="U79" s="101" t="inlineStr">
        <is>
          <t>待分配</t>
        </is>
      </c>
      <c r="V79" s="129" t="n">
        <v>46233</v>
      </c>
      <c r="W79" s="101" t="inlineStr">
        <is>
          <t>原创/待确认</t>
        </is>
      </c>
      <c r="X79" s="101" t="inlineStr">
        <is>
          <t>v0.1：主游戏HUD升级为深色半透明青色全息面板，危险/撤离信息使用琥珀与绿色分层；小地图以20Hz实时更新当前楼层，显示玩家位置与朝向、扫描扇区、脉冲环、透视网格、已发现房间/连线和楼层纵向索引。</t>
        </is>
      </c>
    </row>
    <row r="80">
      <c r="A80" s="37" t="inlineStr">
        <is>
          <t>UI-SCREEN-INVENTORY</t>
        </is>
      </c>
      <c r="B80" s="37" t="inlineStr">
        <is>
          <t>背包</t>
        </is>
      </c>
      <c r="C80" s="37" t="inlineStr">
        <is>
          <t>UI</t>
        </is>
      </c>
      <c r="D80" s="37" t="inlineStr">
        <is>
          <t>screen</t>
        </is>
      </c>
      <c r="E80" s="37" t="inlineStr">
        <is>
          <t>inventory</t>
        </is>
      </c>
      <c r="F80" s="37" t="inlineStr">
        <is>
          <t>root</t>
        </is>
      </c>
      <c r="G80" s="37" t="str"/>
      <c r="H80" s="37" t="inlineStr">
        <is>
          <t>屏幕空间</t>
        </is>
      </c>
      <c r="I80" s="37" t="inlineStr">
        <is>
          <t>default</t>
        </is>
      </c>
      <c r="J80" s="37" t="inlineStr">
        <is>
          <t>跨分辨率</t>
        </is>
      </c>
      <c r="K80" s="37" t="inlineStr">
        <is>
          <t>原型已接入</t>
        </is>
      </c>
      <c r="L80" s="37" t="inlineStr">
        <is>
          <t>P0</t>
        </is>
      </c>
      <c r="M80" s="37" t="inlineStr">
        <is>
          <t>v001</t>
        </is>
      </c>
      <c r="N80" s="37" t="inlineStr">
        <is>
          <t>1280×720 基准；九宫格/矢量优先</t>
        </is>
      </c>
      <c r="O80" s="37" t="str"/>
      <c r="P80" s="37" t="inlineStr">
        <is>
          <t>src/ui/InventoryUI.gd</t>
        </is>
      </c>
      <c r="Q80" s="37" t="str"/>
      <c r="R80" s="37">
        <f>LOWER(TRIM(C80)&amp;"|"&amp;TRIM(D80)&amp;"|"&amp;TRIM(E80)&amp;"|"&amp;TRIM(F80)&amp;"|"&amp;TRIM(H80)&amp;"|"&amp;TRIM(I80))</f>
        <v/>
      </c>
      <c r="S80" s="37">
        <f>IF(A80="","",IF(COUNTIF($R$6:$R$162,R80)&gt;1,"重复","唯一"))</f>
        <v/>
      </c>
      <c r="T80" s="37" t="str"/>
      <c r="U80" s="37" t="inlineStr">
        <is>
          <t>待分配</t>
        </is>
      </c>
      <c r="V80" s="128" t="n">
        <v>46225</v>
      </c>
      <c r="W80" s="37" t="inlineStr">
        <is>
          <t>原创/待确认</t>
        </is>
      </c>
      <c r="X80" s="37" t="inlineStr">
        <is>
          <t>背包共享逻辑根；3D表现登记为 UI-SCREEN-INVENTORY-3D；12+2槽与保险契约不变</t>
        </is>
      </c>
    </row>
    <row r="81">
      <c r="A81" s="37" t="inlineStr">
        <is>
          <t>UI-SCREEN-MERCHANT</t>
        </is>
      </c>
      <c r="B81" s="37" t="inlineStr">
        <is>
          <t>商人</t>
        </is>
      </c>
      <c r="C81" s="37" t="inlineStr">
        <is>
          <t>UI</t>
        </is>
      </c>
      <c r="D81" s="37" t="inlineStr">
        <is>
          <t>screen</t>
        </is>
      </c>
      <c r="E81" s="37" t="inlineStr">
        <is>
          <t>merchant</t>
        </is>
      </c>
      <c r="F81" s="37" t="inlineStr">
        <is>
          <t>root</t>
        </is>
      </c>
      <c r="G81" s="37" t="str"/>
      <c r="H81" s="37" t="inlineStr">
        <is>
          <t>屏幕空间</t>
        </is>
      </c>
      <c r="I81" s="37" t="inlineStr">
        <is>
          <t>default</t>
        </is>
      </c>
      <c r="J81" s="37" t="inlineStr">
        <is>
          <t>跨分辨率</t>
        </is>
      </c>
      <c r="K81" s="37" t="inlineStr">
        <is>
          <t>程序占位</t>
        </is>
      </c>
      <c r="L81" s="37" t="inlineStr">
        <is>
          <t>P2</t>
        </is>
      </c>
      <c r="M81" s="37" t="inlineStr">
        <is>
          <t>v001</t>
        </is>
      </c>
      <c r="N81" s="37" t="inlineStr">
        <is>
          <t>1280×720 基准；九宫格/矢量优先</t>
        </is>
      </c>
      <c r="O81" s="37" t="str"/>
      <c r="P81" s="37" t="inlineStr">
        <is>
          <t>src/ui/MerchantUI.gd</t>
        </is>
      </c>
      <c r="Q81" s="37" t="str"/>
      <c r="R81" s="37">
        <f>LOWER(TRIM(C81)&amp;"|"&amp;TRIM(D81)&amp;"|"&amp;TRIM(E81)&amp;"|"&amp;TRIM(F81)&amp;"|"&amp;TRIM(H81)&amp;"|"&amp;TRIM(I81))</f>
        <v/>
      </c>
      <c r="S81" s="37">
        <f>IF(A81="","",IF(COUNTIF($R$6:$R$162,R81)&gt;1,"重复","唯一"))</f>
        <v/>
      </c>
      <c r="T81" s="37" t="str"/>
      <c r="U81" s="37" t="inlineStr">
        <is>
          <t>待分配</t>
        </is>
      </c>
      <c r="V81" s="128" t="n">
        <v>46224</v>
      </c>
      <c r="W81" s="37" t="inlineStr">
        <is>
          <t>原创/待确认</t>
        </is>
      </c>
      <c r="X81" s="37" t="inlineStr">
        <is>
          <t>先建组件库，再做页面，避免每页重复画按钮/面板</t>
        </is>
      </c>
    </row>
    <row r="82">
      <c r="A82" s="37" t="inlineStr">
        <is>
          <t>UI-SCREEN-WORKSHOP</t>
        </is>
      </c>
      <c r="B82" s="37" t="inlineStr">
        <is>
          <t>枪械工坊</t>
        </is>
      </c>
      <c r="C82" s="37" t="inlineStr">
        <is>
          <t>UI</t>
        </is>
      </c>
      <c r="D82" s="37" t="inlineStr">
        <is>
          <t>screen</t>
        </is>
      </c>
      <c r="E82" s="37" t="inlineStr">
        <is>
          <t>workshop</t>
        </is>
      </c>
      <c r="F82" s="37" t="inlineStr">
        <is>
          <t>root</t>
        </is>
      </c>
      <c r="G82" s="37" t="str"/>
      <c r="H82" s="37" t="inlineStr">
        <is>
          <t>屏幕空间</t>
        </is>
      </c>
      <c r="I82" s="37" t="inlineStr">
        <is>
          <t>default</t>
        </is>
      </c>
      <c r="J82" s="37" t="inlineStr">
        <is>
          <t>跨分辨率</t>
        </is>
      </c>
      <c r="K82" s="37" t="inlineStr">
        <is>
          <t>程序占位</t>
        </is>
      </c>
      <c r="L82" s="37" t="inlineStr">
        <is>
          <t>P2</t>
        </is>
      </c>
      <c r="M82" s="37" t="inlineStr">
        <is>
          <t>v001</t>
        </is>
      </c>
      <c r="N82" s="37" t="inlineStr">
        <is>
          <t>1280×720 基准；九宫格/矢量优先</t>
        </is>
      </c>
      <c r="O82" s="37" t="str"/>
      <c r="P82" s="37" t="inlineStr">
        <is>
          <t>src/ui/WorkshopMenu.gd</t>
        </is>
      </c>
      <c r="Q82" s="37" t="str"/>
      <c r="R82" s="37">
        <f>LOWER(TRIM(C82)&amp;"|"&amp;TRIM(D82)&amp;"|"&amp;TRIM(E82)&amp;"|"&amp;TRIM(F82)&amp;"|"&amp;TRIM(H82)&amp;"|"&amp;TRIM(I82))</f>
        <v/>
      </c>
      <c r="S82" s="37">
        <f>IF(A82="","",IF(COUNTIF($R$6:$R$162,R82)&gt;1,"重复","唯一"))</f>
        <v/>
      </c>
      <c r="T82" s="37" t="str"/>
      <c r="U82" s="37" t="inlineStr">
        <is>
          <t>待分配</t>
        </is>
      </c>
      <c r="V82" s="128" t="n">
        <v>46224</v>
      </c>
      <c r="W82" s="37" t="inlineStr">
        <is>
          <t>原创/待确认</t>
        </is>
      </c>
      <c r="X82" s="37" t="inlineStr">
        <is>
          <t>先建组件库，再做页面，避免每页重复画按钮/面板</t>
        </is>
      </c>
    </row>
    <row r="83">
      <c r="A83" s="37" t="inlineStr">
        <is>
          <t>UI-SCREEN-WORKBENCH</t>
        </is>
      </c>
      <c r="B83" s="37" t="inlineStr">
        <is>
          <t>工作台</t>
        </is>
      </c>
      <c r="C83" s="37" t="inlineStr">
        <is>
          <t>UI</t>
        </is>
      </c>
      <c r="D83" s="37" t="inlineStr">
        <is>
          <t>screen</t>
        </is>
      </c>
      <c r="E83" s="37" t="inlineStr">
        <is>
          <t>workbench</t>
        </is>
      </c>
      <c r="F83" s="37" t="inlineStr">
        <is>
          <t>root</t>
        </is>
      </c>
      <c r="G83" s="37" t="str"/>
      <c r="H83" s="37" t="inlineStr">
        <is>
          <t>屏幕空间</t>
        </is>
      </c>
      <c r="I83" s="37" t="inlineStr">
        <is>
          <t>default</t>
        </is>
      </c>
      <c r="J83" s="37" t="inlineStr">
        <is>
          <t>跨分辨率</t>
        </is>
      </c>
      <c r="K83" s="37" t="inlineStr">
        <is>
          <t>程序占位</t>
        </is>
      </c>
      <c r="L83" s="37" t="inlineStr">
        <is>
          <t>P2</t>
        </is>
      </c>
      <c r="M83" s="37" t="inlineStr">
        <is>
          <t>v001</t>
        </is>
      </c>
      <c r="N83" s="37" t="inlineStr">
        <is>
          <t>1280×720 基准；九宫格/矢量优先</t>
        </is>
      </c>
      <c r="O83" s="37" t="str"/>
      <c r="P83" s="37" t="inlineStr">
        <is>
          <t>src/ui/WorkbenchPanel.gd</t>
        </is>
      </c>
      <c r="Q83" s="37" t="str"/>
      <c r="R83" s="37">
        <f>LOWER(TRIM(C83)&amp;"|"&amp;TRIM(D83)&amp;"|"&amp;TRIM(E83)&amp;"|"&amp;TRIM(F83)&amp;"|"&amp;TRIM(H83)&amp;"|"&amp;TRIM(I83))</f>
        <v/>
      </c>
      <c r="S83" s="37">
        <f>IF(A83="","",IF(COUNTIF($R$6:$R$162,R83)&gt;1,"重复","唯一"))</f>
        <v/>
      </c>
      <c r="T83" s="37" t="str"/>
      <c r="U83" s="37" t="inlineStr">
        <is>
          <t>待分配</t>
        </is>
      </c>
      <c r="V83" s="128" t="n">
        <v>46224</v>
      </c>
      <c r="W83" s="37" t="inlineStr">
        <is>
          <t>原创/待确认</t>
        </is>
      </c>
      <c r="X83" s="37" t="inlineStr">
        <is>
          <t>先建组件库，再做页面，避免每页重复画按钮/面板</t>
        </is>
      </c>
    </row>
    <row r="84">
      <c r="A84" s="37" t="inlineStr">
        <is>
          <t>UI-SCREEN-WEAPON-TREE</t>
        </is>
      </c>
      <c r="B84" s="37" t="inlineStr">
        <is>
          <t>武器装配树</t>
        </is>
      </c>
      <c r="C84" s="37" t="inlineStr">
        <is>
          <t>UI</t>
        </is>
      </c>
      <c r="D84" s="37" t="inlineStr">
        <is>
          <t>screen</t>
        </is>
      </c>
      <c r="E84" s="37" t="inlineStr">
        <is>
          <t>weapon_tree</t>
        </is>
      </c>
      <c r="F84" s="37" t="inlineStr">
        <is>
          <t>root</t>
        </is>
      </c>
      <c r="G84" s="37" t="str"/>
      <c r="H84" s="37" t="inlineStr">
        <is>
          <t>屏幕空间</t>
        </is>
      </c>
      <c r="I84" s="37" t="inlineStr">
        <is>
          <t>default</t>
        </is>
      </c>
      <c r="J84" s="37" t="inlineStr">
        <is>
          <t>跨分辨率</t>
        </is>
      </c>
      <c r="K84" s="37" t="inlineStr">
        <is>
          <t>程序占位</t>
        </is>
      </c>
      <c r="L84" s="37" t="inlineStr">
        <is>
          <t>P2</t>
        </is>
      </c>
      <c r="M84" s="37" t="inlineStr">
        <is>
          <t>v001</t>
        </is>
      </c>
      <c r="N84" s="37" t="inlineStr">
        <is>
          <t>1280×720 基准；九宫格/矢量优先</t>
        </is>
      </c>
      <c r="O84" s="37" t="str"/>
      <c r="P84" s="37" t="inlineStr">
        <is>
          <t>src/ui/WeaponAssemblyTreePanel.gd</t>
        </is>
      </c>
      <c r="Q84" s="37" t="str"/>
      <c r="R84" s="37">
        <f>LOWER(TRIM(C84)&amp;"|"&amp;TRIM(D84)&amp;"|"&amp;TRIM(E84)&amp;"|"&amp;TRIM(F84)&amp;"|"&amp;TRIM(H84)&amp;"|"&amp;TRIM(I84))</f>
        <v/>
      </c>
      <c r="S84" s="37">
        <f>IF(A84="","",IF(COUNTIF($R$6:$R$162,R84)&gt;1,"重复","唯一"))</f>
        <v/>
      </c>
      <c r="T84" s="37" t="str"/>
      <c r="U84" s="37" t="inlineStr">
        <is>
          <t>待分配</t>
        </is>
      </c>
      <c r="V84" s="128" t="n">
        <v>46224</v>
      </c>
      <c r="W84" s="37" t="inlineStr">
        <is>
          <t>原创/待确认</t>
        </is>
      </c>
      <c r="X84" s="37" t="inlineStr">
        <is>
          <t>先建组件库，再做页面，避免每页重复画按钮/面板</t>
        </is>
      </c>
    </row>
    <row r="85">
      <c r="A85" s="37" t="inlineStr">
        <is>
          <t>UI-SCREEN-FATE-SELECT</t>
        </is>
      </c>
      <c r="B85" s="37" t="inlineStr">
        <is>
          <t>命运卡选择</t>
        </is>
      </c>
      <c r="C85" s="37" t="inlineStr">
        <is>
          <t>UI</t>
        </is>
      </c>
      <c r="D85" s="37" t="inlineStr">
        <is>
          <t>screen</t>
        </is>
      </c>
      <c r="E85" s="37" t="inlineStr">
        <is>
          <t>fate_select</t>
        </is>
      </c>
      <c r="F85" s="37" t="inlineStr">
        <is>
          <t>root</t>
        </is>
      </c>
      <c r="G85" s="37" t="str"/>
      <c r="H85" s="37" t="inlineStr">
        <is>
          <t>屏幕空间</t>
        </is>
      </c>
      <c r="I85" s="37" t="inlineStr">
        <is>
          <t>default</t>
        </is>
      </c>
      <c r="J85" s="37" t="inlineStr">
        <is>
          <t>跨分辨率</t>
        </is>
      </c>
      <c r="K85" s="37" t="inlineStr">
        <is>
          <t>程序占位</t>
        </is>
      </c>
      <c r="L85" s="37" t="inlineStr">
        <is>
          <t>P2</t>
        </is>
      </c>
      <c r="M85" s="37" t="inlineStr">
        <is>
          <t>v001</t>
        </is>
      </c>
      <c r="N85" s="37" t="inlineStr">
        <is>
          <t>1280×720 基准；九宫格/矢量优先</t>
        </is>
      </c>
      <c r="O85" s="37" t="str"/>
      <c r="P85" s="37" t="inlineStr">
        <is>
          <t>src/ui/FateCardUIController.gd</t>
        </is>
      </c>
      <c r="Q85" s="37" t="str"/>
      <c r="R85" s="37">
        <f>LOWER(TRIM(C85)&amp;"|"&amp;TRIM(D85)&amp;"|"&amp;TRIM(E85)&amp;"|"&amp;TRIM(F85)&amp;"|"&amp;TRIM(H85)&amp;"|"&amp;TRIM(I85))</f>
        <v/>
      </c>
      <c r="S85" s="37">
        <f>IF(A85="","",IF(COUNTIF($R$6:$R$162,R85)&gt;1,"重复","唯一"))</f>
        <v/>
      </c>
      <c r="T85" s="37" t="str"/>
      <c r="U85" s="37" t="inlineStr">
        <is>
          <t>待分配</t>
        </is>
      </c>
      <c r="V85" s="128" t="n">
        <v>46224</v>
      </c>
      <c r="W85" s="37" t="inlineStr">
        <is>
          <t>原创/待确认</t>
        </is>
      </c>
      <c r="X85" s="37" t="inlineStr">
        <is>
          <t>先建组件库，再做页面，避免每页重复画按钮/面板</t>
        </is>
      </c>
    </row>
    <row r="86">
      <c r="A86" s="37" t="inlineStr">
        <is>
          <t>UI-SCREEN-FATE-COLLECTION</t>
        </is>
      </c>
      <c r="B86" s="37" t="inlineStr">
        <is>
          <t>命运卡收藏</t>
        </is>
      </c>
      <c r="C86" s="37" t="inlineStr">
        <is>
          <t>UI</t>
        </is>
      </c>
      <c r="D86" s="37" t="inlineStr">
        <is>
          <t>screen</t>
        </is>
      </c>
      <c r="E86" s="37" t="inlineStr">
        <is>
          <t>fate_collection</t>
        </is>
      </c>
      <c r="F86" s="37" t="inlineStr">
        <is>
          <t>root</t>
        </is>
      </c>
      <c r="G86" s="37" t="str"/>
      <c r="H86" s="37" t="inlineStr">
        <is>
          <t>屏幕空间</t>
        </is>
      </c>
      <c r="I86" s="37" t="inlineStr">
        <is>
          <t>default</t>
        </is>
      </c>
      <c r="J86" s="37" t="inlineStr">
        <is>
          <t>跨分辨率</t>
        </is>
      </c>
      <c r="K86" s="37" t="inlineStr">
        <is>
          <t>程序占位</t>
        </is>
      </c>
      <c r="L86" s="37" t="inlineStr">
        <is>
          <t>P2</t>
        </is>
      </c>
      <c r="M86" s="37" t="inlineStr">
        <is>
          <t>v001</t>
        </is>
      </c>
      <c r="N86" s="37" t="inlineStr">
        <is>
          <t>1280×720 基准；九宫格/矢量优先</t>
        </is>
      </c>
      <c r="O86" s="37" t="str"/>
      <c r="P86" s="37" t="inlineStr">
        <is>
          <t>src/ui/FateCardCollectionMenu.gd</t>
        </is>
      </c>
      <c r="Q86" s="37" t="str"/>
      <c r="R86" s="37">
        <f>LOWER(TRIM(C86)&amp;"|"&amp;TRIM(D86)&amp;"|"&amp;TRIM(E86)&amp;"|"&amp;TRIM(F86)&amp;"|"&amp;TRIM(H86)&amp;"|"&amp;TRIM(I86))</f>
        <v/>
      </c>
      <c r="S86" s="37">
        <f>IF(A86="","",IF(COUNTIF($R$6:$R$162,R86)&gt;1,"重复","唯一"))</f>
        <v/>
      </c>
      <c r="T86" s="37" t="str"/>
      <c r="U86" s="37" t="inlineStr">
        <is>
          <t>待分配</t>
        </is>
      </c>
      <c r="V86" s="128" t="n">
        <v>46224</v>
      </c>
      <c r="W86" s="37" t="inlineStr">
        <is>
          <t>原创/待确认</t>
        </is>
      </c>
      <c r="X86" s="37" t="inlineStr">
        <is>
          <t>先建组件库，再做页面，避免每页重复画按钮/面板</t>
        </is>
      </c>
    </row>
    <row r="87">
      <c r="A87" s="37" t="inlineStr">
        <is>
          <t>UI-SCREEN-LEVEL-SELECT</t>
        </is>
      </c>
      <c r="B87" s="37" t="inlineStr">
        <is>
          <t>关卡选择</t>
        </is>
      </c>
      <c r="C87" s="37" t="inlineStr">
        <is>
          <t>UI</t>
        </is>
      </c>
      <c r="D87" s="37" t="inlineStr">
        <is>
          <t>screen</t>
        </is>
      </c>
      <c r="E87" s="37" t="inlineStr">
        <is>
          <t>level_select</t>
        </is>
      </c>
      <c r="F87" s="37" t="inlineStr">
        <is>
          <t>root</t>
        </is>
      </c>
      <c r="G87" s="37" t="str"/>
      <c r="H87" s="37" t="inlineStr">
        <is>
          <t>屏幕空间</t>
        </is>
      </c>
      <c r="I87" s="37" t="inlineStr">
        <is>
          <t>default</t>
        </is>
      </c>
      <c r="J87" s="37" t="inlineStr">
        <is>
          <t>跨分辨率</t>
        </is>
      </c>
      <c r="K87" s="37" t="inlineStr">
        <is>
          <t>程序占位</t>
        </is>
      </c>
      <c r="L87" s="37" t="inlineStr">
        <is>
          <t>P2</t>
        </is>
      </c>
      <c r="M87" s="37" t="inlineStr">
        <is>
          <t>v001</t>
        </is>
      </c>
      <c r="N87" s="37" t="inlineStr">
        <is>
          <t>1280×720 基准；九宫格/矢量优先</t>
        </is>
      </c>
      <c r="O87" s="37" t="str"/>
      <c r="P87" s="37" t="inlineStr">
        <is>
          <t>src/ui/LevelSelectMenu.gd</t>
        </is>
      </c>
      <c r="Q87" s="37" t="str"/>
      <c r="R87" s="37">
        <f>LOWER(TRIM(C87)&amp;"|"&amp;TRIM(D87)&amp;"|"&amp;TRIM(E87)&amp;"|"&amp;TRIM(F87)&amp;"|"&amp;TRIM(H87)&amp;"|"&amp;TRIM(I87))</f>
        <v/>
      </c>
      <c r="S87" s="37">
        <f>IF(A87="","",IF(COUNTIF($R$6:$R$162,R87)&gt;1,"重复","唯一"))</f>
        <v/>
      </c>
      <c r="T87" s="37" t="str"/>
      <c r="U87" s="37" t="inlineStr">
        <is>
          <t>待分配</t>
        </is>
      </c>
      <c r="V87" s="128" t="n">
        <v>46224</v>
      </c>
      <c r="W87" s="37" t="inlineStr">
        <is>
          <t>原创/待确认</t>
        </is>
      </c>
      <c r="X87" s="37" t="inlineStr">
        <is>
          <t>先建组件库，再做页面，避免每页重复画按钮/面板</t>
        </is>
      </c>
    </row>
    <row r="88">
      <c r="A88" s="37" t="inlineStr">
        <is>
          <t>UI-SCREEN-VAULT</t>
        </is>
      </c>
      <c r="B88" s="37" t="inlineStr">
        <is>
          <t>保险柜</t>
        </is>
      </c>
      <c r="C88" s="37" t="inlineStr">
        <is>
          <t>UI</t>
        </is>
      </c>
      <c r="D88" s="37" t="inlineStr">
        <is>
          <t>screen</t>
        </is>
      </c>
      <c r="E88" s="37" t="inlineStr">
        <is>
          <t>vault</t>
        </is>
      </c>
      <c r="F88" s="37" t="inlineStr">
        <is>
          <t>root</t>
        </is>
      </c>
      <c r="G88" s="37" t="str"/>
      <c r="H88" s="37" t="inlineStr">
        <is>
          <t>屏幕空间</t>
        </is>
      </c>
      <c r="I88" s="37" t="inlineStr">
        <is>
          <t>default</t>
        </is>
      </c>
      <c r="J88" s="37" t="inlineStr">
        <is>
          <t>跨分辨率</t>
        </is>
      </c>
      <c r="K88" s="37" t="inlineStr">
        <is>
          <t>程序占位</t>
        </is>
      </c>
      <c r="L88" s="37" t="inlineStr">
        <is>
          <t>P2</t>
        </is>
      </c>
      <c r="M88" s="37" t="inlineStr">
        <is>
          <t>v001</t>
        </is>
      </c>
      <c r="N88" s="37" t="inlineStr">
        <is>
          <t>1280×720 基准；九宫格/矢量优先</t>
        </is>
      </c>
      <c r="O88" s="37" t="str"/>
      <c r="P88" s="37" t="inlineStr">
        <is>
          <t>src/ui/VaultMenu.gd</t>
        </is>
      </c>
      <c r="Q88" s="37" t="str"/>
      <c r="R88" s="37">
        <f>LOWER(TRIM(C88)&amp;"|"&amp;TRIM(D88)&amp;"|"&amp;TRIM(E88)&amp;"|"&amp;TRIM(F88)&amp;"|"&amp;TRIM(H88)&amp;"|"&amp;TRIM(I88))</f>
        <v/>
      </c>
      <c r="S88" s="37">
        <f>IF(A88="","",IF(COUNTIF($R$6:$R$162,R88)&gt;1,"重复","唯一"))</f>
        <v/>
      </c>
      <c r="T88" s="37" t="str"/>
      <c r="U88" s="37" t="inlineStr">
        <is>
          <t>待分配</t>
        </is>
      </c>
      <c r="V88" s="128" t="n">
        <v>46224</v>
      </c>
      <c r="W88" s="37" t="inlineStr">
        <is>
          <t>原创/待确认</t>
        </is>
      </c>
      <c r="X88" s="37" t="inlineStr">
        <is>
          <t>先建组件库，再做页面，避免每页重复画按钮/面板</t>
        </is>
      </c>
    </row>
    <row r="89">
      <c r="A89" s="37" t="inlineStr">
        <is>
          <t>UI-SCREEN-MONSTER-ARCHIVE</t>
        </is>
      </c>
      <c r="B89" s="37" t="inlineStr">
        <is>
          <t>怪物档案</t>
        </is>
      </c>
      <c r="C89" s="37" t="inlineStr">
        <is>
          <t>UI</t>
        </is>
      </c>
      <c r="D89" s="37" t="inlineStr">
        <is>
          <t>screen</t>
        </is>
      </c>
      <c r="E89" s="37" t="inlineStr">
        <is>
          <t>monster_archive</t>
        </is>
      </c>
      <c r="F89" s="37" t="inlineStr">
        <is>
          <t>root</t>
        </is>
      </c>
      <c r="G89" s="37" t="str"/>
      <c r="H89" s="37" t="inlineStr">
        <is>
          <t>屏幕空间</t>
        </is>
      </c>
      <c r="I89" s="37" t="inlineStr">
        <is>
          <t>default</t>
        </is>
      </c>
      <c r="J89" s="37" t="inlineStr">
        <is>
          <t>跨分辨率</t>
        </is>
      </c>
      <c r="K89" s="37" t="inlineStr">
        <is>
          <t>程序占位</t>
        </is>
      </c>
      <c r="L89" s="37" t="inlineStr">
        <is>
          <t>P2</t>
        </is>
      </c>
      <c r="M89" s="37" t="inlineStr">
        <is>
          <t>v001</t>
        </is>
      </c>
      <c r="N89" s="37" t="inlineStr">
        <is>
          <t>1280×720 基准；九宫格/矢量优先</t>
        </is>
      </c>
      <c r="O89" s="37" t="str"/>
      <c r="P89" s="37" t="inlineStr">
        <is>
          <t>src/ui/MonsterArchiveMenu.gd</t>
        </is>
      </c>
      <c r="Q89" s="37" t="str"/>
      <c r="R89" s="37">
        <f>LOWER(TRIM(C89)&amp;"|"&amp;TRIM(D89)&amp;"|"&amp;TRIM(E89)&amp;"|"&amp;TRIM(F89)&amp;"|"&amp;TRIM(H89)&amp;"|"&amp;TRIM(I89))</f>
        <v/>
      </c>
      <c r="S89" s="37">
        <f>IF(A89="","",IF(COUNTIF($R$6:$R$162,R89)&gt;1,"重复","唯一"))</f>
        <v/>
      </c>
      <c r="T89" s="37" t="str"/>
      <c r="U89" s="37" t="inlineStr">
        <is>
          <t>待分配</t>
        </is>
      </c>
      <c r="V89" s="128" t="n">
        <v>46224</v>
      </c>
      <c r="W89" s="37" t="inlineStr">
        <is>
          <t>原创/待确认</t>
        </is>
      </c>
      <c r="X89" s="37" t="inlineStr">
        <is>
          <t>先建组件库，再做页面，避免每页重复画按钮/面板</t>
        </is>
      </c>
    </row>
    <row r="90">
      <c r="A90" s="37" t="inlineStr">
        <is>
          <t>UI-SCREEN-BASE-MENU</t>
        </is>
      </c>
      <c r="B90" s="37" t="inlineStr">
        <is>
          <t>基地菜单</t>
        </is>
      </c>
      <c r="C90" s="37" t="inlineStr">
        <is>
          <t>UI</t>
        </is>
      </c>
      <c r="D90" s="37" t="inlineStr">
        <is>
          <t>screen</t>
        </is>
      </c>
      <c r="E90" s="37" t="inlineStr">
        <is>
          <t>base_menu</t>
        </is>
      </c>
      <c r="F90" s="37" t="inlineStr">
        <is>
          <t>root</t>
        </is>
      </c>
      <c r="G90" s="37" t="str"/>
      <c r="H90" s="37" t="inlineStr">
        <is>
          <t>屏幕空间</t>
        </is>
      </c>
      <c r="I90" s="37" t="inlineStr">
        <is>
          <t>default</t>
        </is>
      </c>
      <c r="J90" s="37" t="inlineStr">
        <is>
          <t>跨分辨率</t>
        </is>
      </c>
      <c r="K90" s="37" t="inlineStr">
        <is>
          <t>程序占位</t>
        </is>
      </c>
      <c r="L90" s="37" t="inlineStr">
        <is>
          <t>P2</t>
        </is>
      </c>
      <c r="M90" s="37" t="inlineStr">
        <is>
          <t>v001</t>
        </is>
      </c>
      <c r="N90" s="37" t="inlineStr">
        <is>
          <t>1280×720 基准；九宫格/矢量优先</t>
        </is>
      </c>
      <c r="O90" s="37" t="str"/>
      <c r="P90" s="37" t="inlineStr">
        <is>
          <t>src/ui/BaseMenu.gd</t>
        </is>
      </c>
      <c r="Q90" s="37" t="str"/>
      <c r="R90" s="37">
        <f>LOWER(TRIM(C90)&amp;"|"&amp;TRIM(D90)&amp;"|"&amp;TRIM(E90)&amp;"|"&amp;TRIM(F90)&amp;"|"&amp;TRIM(H90)&amp;"|"&amp;TRIM(I90))</f>
        <v/>
      </c>
      <c r="S90" s="37">
        <f>IF(A90="","",IF(COUNTIF($R$6:$R$162,R90)&gt;1,"重复","唯一"))</f>
        <v/>
      </c>
      <c r="T90" s="37" t="str"/>
      <c r="U90" s="37" t="inlineStr">
        <is>
          <t>待分配</t>
        </is>
      </c>
      <c r="V90" s="128" t="n">
        <v>46224</v>
      </c>
      <c r="W90" s="37" t="inlineStr">
        <is>
          <t>原创/待确认</t>
        </is>
      </c>
      <c r="X90" s="37" t="inlineStr">
        <is>
          <t>先建组件库，再做页面，避免每页重复画按钮/面板</t>
        </is>
      </c>
    </row>
    <row r="91">
      <c r="A91" s="37" t="inlineStr">
        <is>
          <t>UI-SCREEN-MOBILE-CONTROLS</t>
        </is>
      </c>
      <c r="B91" s="37" t="inlineStr">
        <is>
          <t>移动端控制</t>
        </is>
      </c>
      <c r="C91" s="37" t="inlineStr">
        <is>
          <t>UI</t>
        </is>
      </c>
      <c r="D91" s="37" t="inlineStr">
        <is>
          <t>screen</t>
        </is>
      </c>
      <c r="E91" s="37" t="inlineStr">
        <is>
          <t>mobile_controls</t>
        </is>
      </c>
      <c r="F91" s="37" t="inlineStr">
        <is>
          <t>root</t>
        </is>
      </c>
      <c r="G91" s="37" t="str"/>
      <c r="H91" s="37" t="inlineStr">
        <is>
          <t>屏幕空间</t>
        </is>
      </c>
      <c r="I91" s="37" t="inlineStr">
        <is>
          <t>default</t>
        </is>
      </c>
      <c r="J91" s="37" t="inlineStr">
        <is>
          <t>跨分辨率</t>
        </is>
      </c>
      <c r="K91" s="37" t="inlineStr">
        <is>
          <t>程序占位</t>
        </is>
      </c>
      <c r="L91" s="37" t="inlineStr">
        <is>
          <t>P2</t>
        </is>
      </c>
      <c r="M91" s="37" t="inlineStr">
        <is>
          <t>v001</t>
        </is>
      </c>
      <c r="N91" s="37" t="inlineStr">
        <is>
          <t>1280×720 基准；九宫格/矢量优先</t>
        </is>
      </c>
      <c r="O91" s="37" t="str"/>
      <c r="P91" s="37" t="inlineStr">
        <is>
          <t>src/ui/MobileControls.gd</t>
        </is>
      </c>
      <c r="Q91" s="37" t="str"/>
      <c r="R91" s="37">
        <f>LOWER(TRIM(C91)&amp;"|"&amp;TRIM(D91)&amp;"|"&amp;TRIM(E91)&amp;"|"&amp;TRIM(F91)&amp;"|"&amp;TRIM(H91)&amp;"|"&amp;TRIM(I91))</f>
        <v/>
      </c>
      <c r="S91" s="37">
        <f>IF(A91="","",IF(COUNTIF($R$6:$R$162,R91)&gt;1,"重复","唯一"))</f>
        <v/>
      </c>
      <c r="T91" s="37" t="str"/>
      <c r="U91" s="37" t="inlineStr">
        <is>
          <t>待分配</t>
        </is>
      </c>
      <c r="V91" s="128" t="n">
        <v>46224</v>
      </c>
      <c r="W91" s="37" t="inlineStr">
        <is>
          <t>原创/待确认</t>
        </is>
      </c>
      <c r="X91" s="37" t="inlineStr">
        <is>
          <t>先建组件库，再做页面，避免每页重复画按钮/面板</t>
        </is>
      </c>
    </row>
    <row r="92">
      <c r="A92" s="37" t="inlineStr">
        <is>
          <t>VFX-EXPLOSION</t>
        </is>
      </c>
      <c r="B92" s="37" t="inlineStr">
        <is>
          <t>爆炸</t>
        </is>
      </c>
      <c r="C92" s="37" t="inlineStr">
        <is>
          <t>特效</t>
        </is>
      </c>
      <c r="D92" s="37" t="inlineStr">
        <is>
          <t>gameplay_vfx</t>
        </is>
      </c>
      <c r="E92" s="37" t="inlineStr">
        <is>
          <t>explosion</t>
        </is>
      </c>
      <c r="F92" s="37" t="inlineStr">
        <is>
          <t>root</t>
        </is>
      </c>
      <c r="G92" s="37" t="str"/>
      <c r="H92" s="37" t="inlineStr">
        <is>
          <t>顶视/屏幕空间</t>
        </is>
      </c>
      <c r="I92" s="37" t="inlineStr">
        <is>
          <t>default</t>
        </is>
      </c>
      <c r="J92" s="37" t="inlineStr">
        <is>
          <t>跨武器/跨场景</t>
        </is>
      </c>
      <c r="K92" s="37" t="inlineStr">
        <is>
          <t>程序占位</t>
        </is>
      </c>
      <c r="L92" s="37" t="inlineStr">
        <is>
          <t>P1</t>
        </is>
      </c>
      <c r="M92" s="37" t="inlineStr">
        <is>
          <t>v001</t>
        </is>
      </c>
      <c r="N92" s="37" t="inlineStr">
        <is>
          <t>粒子或 8–16 帧序列</t>
        </is>
      </c>
      <c r="O92" s="37" t="str"/>
      <c r="P92" s="37" t="inlineStr">
        <is>
          <t>scenes/ExplosionEffect.tscn</t>
        </is>
      </c>
      <c r="Q92" s="37" t="str"/>
      <c r="R92" s="37">
        <f>LOWER(TRIM(C92)&amp;"|"&amp;TRIM(D92)&amp;"|"&amp;TRIM(E92)&amp;"|"&amp;TRIM(F92)&amp;"|"&amp;TRIM(H92)&amp;"|"&amp;TRIM(I92))</f>
        <v/>
      </c>
      <c r="S92" s="37">
        <f>IF(A92="","",IF(COUNTIF($R$6:$R$162,R92)&gt;1,"重复","唯一"))</f>
        <v/>
      </c>
      <c r="T92" s="37" t="str"/>
      <c r="U92" s="37" t="inlineStr">
        <is>
          <t>待分配</t>
        </is>
      </c>
      <c r="V92" s="128" t="n">
        <v>46224</v>
      </c>
      <c r="W92" s="37" t="inlineStr">
        <is>
          <t>原创/待确认</t>
        </is>
      </c>
      <c r="X92" s="37" t="inlineStr">
        <is>
          <t>颜色/尺寸作参数变体，禁止复制整套</t>
        </is>
      </c>
    </row>
    <row r="93">
      <c r="A93" s="37" t="inlineStr">
        <is>
          <t>VFX-MUZZLE-FLASH</t>
        </is>
      </c>
      <c r="B93" s="37" t="inlineStr">
        <is>
          <t>枪口火焰</t>
        </is>
      </c>
      <c r="C93" s="37" t="inlineStr">
        <is>
          <t>特效</t>
        </is>
      </c>
      <c r="D93" s="37" t="inlineStr">
        <is>
          <t>gameplay_vfx</t>
        </is>
      </c>
      <c r="E93" s="37" t="inlineStr">
        <is>
          <t>muzzle_flash</t>
        </is>
      </c>
      <c r="F93" s="37" t="inlineStr">
        <is>
          <t>root</t>
        </is>
      </c>
      <c r="G93" s="37" t="str"/>
      <c r="H93" s="37" t="inlineStr">
        <is>
          <t>顶视/屏幕空间</t>
        </is>
      </c>
      <c r="I93" s="37" t="inlineStr">
        <is>
          <t>default</t>
        </is>
      </c>
      <c r="J93" s="37" t="inlineStr">
        <is>
          <t>跨武器/跨场景</t>
        </is>
      </c>
      <c r="K93" s="37" t="inlineStr">
        <is>
          <t>程序占位</t>
        </is>
      </c>
      <c r="L93" s="37" t="inlineStr">
        <is>
          <t>P1</t>
        </is>
      </c>
      <c r="M93" s="37" t="inlineStr">
        <is>
          <t>v001</t>
        </is>
      </c>
      <c r="N93" s="37" t="inlineStr">
        <is>
          <t>粒子或 8–16 帧序列</t>
        </is>
      </c>
      <c r="O93" s="37" t="str"/>
      <c r="P93" s="37" t="inlineStr">
        <is>
          <t>src/weapon/WeaponDisplay.gd</t>
        </is>
      </c>
      <c r="Q93" s="37" t="str"/>
      <c r="R93" s="37">
        <f>LOWER(TRIM(C93)&amp;"|"&amp;TRIM(D93)&amp;"|"&amp;TRIM(E93)&amp;"|"&amp;TRIM(F93)&amp;"|"&amp;TRIM(H93)&amp;"|"&amp;TRIM(I93))</f>
        <v/>
      </c>
      <c r="S93" s="37">
        <f>IF(A93="","",IF(COUNTIF($R$6:$R$162,R93)&gt;1,"重复","唯一"))</f>
        <v/>
      </c>
      <c r="T93" s="37" t="str"/>
      <c r="U93" s="37" t="inlineStr">
        <is>
          <t>待分配</t>
        </is>
      </c>
      <c r="V93" s="128" t="n">
        <v>46224</v>
      </c>
      <c r="W93" s="37" t="inlineStr">
        <is>
          <t>原创/待确认</t>
        </is>
      </c>
      <c r="X93" s="37" t="inlineStr">
        <is>
          <t>颜色/尺寸作参数变体，禁止复制整套</t>
        </is>
      </c>
    </row>
    <row r="94">
      <c r="A94" s="37" t="inlineStr">
        <is>
          <t>VFX-DAMAGE-NUMBER</t>
        </is>
      </c>
      <c r="B94" s="37" t="inlineStr">
        <is>
          <t>伤害数字</t>
        </is>
      </c>
      <c r="C94" s="37" t="inlineStr">
        <is>
          <t>特效</t>
        </is>
      </c>
      <c r="D94" s="37" t="inlineStr">
        <is>
          <t>gameplay_vfx</t>
        </is>
      </c>
      <c r="E94" s="37" t="inlineStr">
        <is>
          <t>damage_number</t>
        </is>
      </c>
      <c r="F94" s="37" t="inlineStr">
        <is>
          <t>root</t>
        </is>
      </c>
      <c r="G94" s="37" t="str"/>
      <c r="H94" s="37" t="inlineStr">
        <is>
          <t>顶视/屏幕空间</t>
        </is>
      </c>
      <c r="I94" s="37" t="inlineStr">
        <is>
          <t>default</t>
        </is>
      </c>
      <c r="J94" s="37" t="inlineStr">
        <is>
          <t>跨武器/跨场景</t>
        </is>
      </c>
      <c r="K94" s="37" t="inlineStr">
        <is>
          <t>程序占位</t>
        </is>
      </c>
      <c r="L94" s="37" t="inlineStr">
        <is>
          <t>P2</t>
        </is>
      </c>
      <c r="M94" s="37" t="inlineStr">
        <is>
          <t>v001</t>
        </is>
      </c>
      <c r="N94" s="37" t="inlineStr">
        <is>
          <t>粒子或 8–16 帧序列</t>
        </is>
      </c>
      <c r="O94" s="37" t="str"/>
      <c r="P94" s="37" t="inlineStr">
        <is>
          <t>scenes/DamageNumber.tscn</t>
        </is>
      </c>
      <c r="Q94" s="37" t="str"/>
      <c r="R94" s="37">
        <f>LOWER(TRIM(C94)&amp;"|"&amp;TRIM(D94)&amp;"|"&amp;TRIM(E94)&amp;"|"&amp;TRIM(F94)&amp;"|"&amp;TRIM(H94)&amp;"|"&amp;TRIM(I94))</f>
        <v/>
      </c>
      <c r="S94" s="37">
        <f>IF(A94="","",IF(COUNTIF($R$6:$R$162,R94)&gt;1,"重复","唯一"))</f>
        <v/>
      </c>
      <c r="T94" s="37" t="str"/>
      <c r="U94" s="37" t="inlineStr">
        <is>
          <t>待分配</t>
        </is>
      </c>
      <c r="V94" s="128" t="n">
        <v>46224</v>
      </c>
      <c r="W94" s="37" t="inlineStr">
        <is>
          <t>原创/待确认</t>
        </is>
      </c>
      <c r="X94" s="37" t="inlineStr">
        <is>
          <t>颜色/尺寸作参数变体，禁止复制整套</t>
        </is>
      </c>
    </row>
    <row r="95">
      <c r="A95" s="37" t="inlineStr">
        <is>
          <t>VFX-SPARK</t>
        </is>
      </c>
      <c r="B95" s="37" t="inlineStr">
        <is>
          <t>火花</t>
        </is>
      </c>
      <c r="C95" s="37" t="inlineStr">
        <is>
          <t>特效</t>
        </is>
      </c>
      <c r="D95" s="37" t="inlineStr">
        <is>
          <t>gameplay_vfx</t>
        </is>
      </c>
      <c r="E95" s="37" t="inlineStr">
        <is>
          <t>spark</t>
        </is>
      </c>
      <c r="F95" s="37" t="inlineStr">
        <is>
          <t>root</t>
        </is>
      </c>
      <c r="G95" s="37" t="str"/>
      <c r="H95" s="37" t="inlineStr">
        <is>
          <t>顶视/屏幕空间</t>
        </is>
      </c>
      <c r="I95" s="37" t="inlineStr">
        <is>
          <t>default</t>
        </is>
      </c>
      <c r="J95" s="37" t="inlineStr">
        <is>
          <t>跨武器/跨场景</t>
        </is>
      </c>
      <c r="K95" s="37" t="inlineStr">
        <is>
          <t>程序占位</t>
        </is>
      </c>
      <c r="L95" s="37" t="inlineStr">
        <is>
          <t>P2</t>
        </is>
      </c>
      <c r="M95" s="37" t="inlineStr">
        <is>
          <t>v001</t>
        </is>
      </c>
      <c r="N95" s="37" t="inlineStr">
        <is>
          <t>粒子或 8–16 帧序列</t>
        </is>
      </c>
      <c r="O95" s="37" t="str"/>
      <c r="P95" s="37" t="inlineStr">
        <is>
          <t>src/fx/SparkParticles.gd</t>
        </is>
      </c>
      <c r="Q95" s="37" t="str"/>
      <c r="R95" s="37">
        <f>LOWER(TRIM(C95)&amp;"|"&amp;TRIM(D95)&amp;"|"&amp;TRIM(E95)&amp;"|"&amp;TRIM(F95)&amp;"|"&amp;TRIM(H95)&amp;"|"&amp;TRIM(I95))</f>
        <v/>
      </c>
      <c r="S95" s="37">
        <f>IF(A95="","",IF(COUNTIF($R$6:$R$162,R95)&gt;1,"重复","唯一"))</f>
        <v/>
      </c>
      <c r="T95" s="37" t="str"/>
      <c r="U95" s="37" t="inlineStr">
        <is>
          <t>待分配</t>
        </is>
      </c>
      <c r="V95" s="128" t="n">
        <v>46224</v>
      </c>
      <c r="W95" s="37" t="inlineStr">
        <is>
          <t>原创/待确认</t>
        </is>
      </c>
      <c r="X95" s="37" t="inlineStr">
        <is>
          <t>颜色/尺寸作参数变体，禁止复制整套</t>
        </is>
      </c>
    </row>
    <row r="96">
      <c r="A96" s="37" t="inlineStr">
        <is>
          <t>VFX-ROOM-TRANSITION</t>
        </is>
      </c>
      <c r="B96" s="37" t="inlineStr">
        <is>
          <t>房间转场</t>
        </is>
      </c>
      <c r="C96" s="37" t="inlineStr">
        <is>
          <t>特效</t>
        </is>
      </c>
      <c r="D96" s="37" t="inlineStr">
        <is>
          <t>gameplay_vfx</t>
        </is>
      </c>
      <c r="E96" s="37" t="inlineStr">
        <is>
          <t>room_transition</t>
        </is>
      </c>
      <c r="F96" s="37" t="inlineStr">
        <is>
          <t>root</t>
        </is>
      </c>
      <c r="G96" s="37" t="str"/>
      <c r="H96" s="37" t="inlineStr">
        <is>
          <t>顶视/屏幕空间</t>
        </is>
      </c>
      <c r="I96" s="37" t="inlineStr">
        <is>
          <t>default</t>
        </is>
      </c>
      <c r="J96" s="37" t="inlineStr">
        <is>
          <t>跨武器/跨场景</t>
        </is>
      </c>
      <c r="K96" s="37" t="inlineStr">
        <is>
          <t>程序占位</t>
        </is>
      </c>
      <c r="L96" s="37" t="inlineStr">
        <is>
          <t>P2</t>
        </is>
      </c>
      <c r="M96" s="37" t="inlineStr">
        <is>
          <t>v001</t>
        </is>
      </c>
      <c r="N96" s="37" t="inlineStr">
        <is>
          <t>粒子或 8–16 帧序列</t>
        </is>
      </c>
      <c r="O96" s="37" t="str"/>
      <c r="P96" s="37" t="inlineStr">
        <is>
          <t>src/fx/RoomTransitionFX.gd</t>
        </is>
      </c>
      <c r="Q96" s="37" t="str"/>
      <c r="R96" s="37">
        <f>LOWER(TRIM(C96)&amp;"|"&amp;TRIM(D96)&amp;"|"&amp;TRIM(E96)&amp;"|"&amp;TRIM(F96)&amp;"|"&amp;TRIM(H96)&amp;"|"&amp;TRIM(I96))</f>
        <v/>
      </c>
      <c r="S96" s="37">
        <f>IF(A96="","",IF(COUNTIF($R$6:$R$162,R96)&gt;1,"重复","唯一"))</f>
        <v/>
      </c>
      <c r="T96" s="37" t="str"/>
      <c r="U96" s="37" t="inlineStr">
        <is>
          <t>待分配</t>
        </is>
      </c>
      <c r="V96" s="128" t="n">
        <v>46224</v>
      </c>
      <c r="W96" s="37" t="inlineStr">
        <is>
          <t>原创/待确认</t>
        </is>
      </c>
      <c r="X96" s="37" t="inlineStr">
        <is>
          <t>颜色/尺寸作参数变体，禁止复制整套</t>
        </is>
      </c>
    </row>
    <row r="97">
      <c r="A97" s="37" t="inlineStr">
        <is>
          <t>VFX-HEALTH-VIGNETTE</t>
        </is>
      </c>
      <c r="B97" s="37" t="inlineStr">
        <is>
          <t>低血暗角</t>
        </is>
      </c>
      <c r="C97" s="37" t="inlineStr">
        <is>
          <t>特效</t>
        </is>
      </c>
      <c r="D97" s="37" t="inlineStr">
        <is>
          <t>gameplay_vfx</t>
        </is>
      </c>
      <c r="E97" s="37" t="inlineStr">
        <is>
          <t>health_vignette</t>
        </is>
      </c>
      <c r="F97" s="37" t="inlineStr">
        <is>
          <t>root</t>
        </is>
      </c>
      <c r="G97" s="37" t="str"/>
      <c r="H97" s="37" t="inlineStr">
        <is>
          <t>顶视/屏幕空间</t>
        </is>
      </c>
      <c r="I97" s="37" t="inlineStr">
        <is>
          <t>default</t>
        </is>
      </c>
      <c r="J97" s="37" t="inlineStr">
        <is>
          <t>跨武器/跨场景</t>
        </is>
      </c>
      <c r="K97" s="37" t="inlineStr">
        <is>
          <t>原型已接入</t>
        </is>
      </c>
      <c r="L97" s="37" t="inlineStr">
        <is>
          <t>P2</t>
        </is>
      </c>
      <c r="M97" s="37" t="inlineStr">
        <is>
          <t>v001</t>
        </is>
      </c>
      <c r="N97" s="37" t="inlineStr">
        <is>
          <t>粒子或 8–16 帧序列</t>
        </is>
      </c>
      <c r="O97" s="37" t="inlineStr">
        <is>
          <t>scenes/Dungeon3D.tscn</t>
        </is>
      </c>
      <c r="P97" s="37" t="inlineStr">
        <is>
          <t>src/world3d/Dungeon3D.gd</t>
        </is>
      </c>
      <c r="Q97" s="37" t="str"/>
      <c r="R97" s="37">
        <f>LOWER(TRIM(C97)&amp;"|"&amp;TRIM(D97)&amp;"|"&amp;TRIM(E97)&amp;"|"&amp;TRIM(F97)&amp;"|"&amp;TRIM(H97)&amp;"|"&amp;TRIM(I97))</f>
        <v/>
      </c>
      <c r="S97" s="37">
        <f>IF(A97="","",IF(COUNTIF($R$6:$R$162,R97)&gt;1,"重复","唯一"))</f>
        <v/>
      </c>
      <c r="T97" s="37" t="str"/>
      <c r="U97" s="37" t="inlineStr">
        <is>
          <t>待分配</t>
        </is>
      </c>
      <c r="V97" s="128" t="n">
        <v>46225</v>
      </c>
      <c r="W97" s="37" t="inlineStr">
        <is>
          <t>原创/待确认</t>
        </is>
      </c>
      <c r="X97" s="37" t="inlineStr">
        <is>
          <t>复用低血暗角身份；3D HUD低血时提高边缘强度，不复制第二套逻辑ID</t>
        </is>
      </c>
    </row>
    <row r="98">
      <c r="A98" s="37" t="inlineStr">
        <is>
          <t>VFX-VISIBILITY-LIGHT</t>
        </is>
      </c>
      <c r="B98" s="37" t="inlineStr">
        <is>
          <t>视野光锥</t>
        </is>
      </c>
      <c r="C98" s="37" t="inlineStr">
        <is>
          <t>特效</t>
        </is>
      </c>
      <c r="D98" s="37" t="inlineStr">
        <is>
          <t>gameplay_vfx</t>
        </is>
      </c>
      <c r="E98" s="37" t="inlineStr">
        <is>
          <t>visibility_light</t>
        </is>
      </c>
      <c r="F98" s="37" t="inlineStr">
        <is>
          <t>root</t>
        </is>
      </c>
      <c r="G98" s="37" t="str"/>
      <c r="H98" s="37" t="inlineStr">
        <is>
          <t>顶视/屏幕空间</t>
        </is>
      </c>
      <c r="I98" s="37" t="inlineStr">
        <is>
          <t>default</t>
        </is>
      </c>
      <c r="J98" s="37" t="inlineStr">
        <is>
          <t>跨武器/跨场景</t>
        </is>
      </c>
      <c r="K98" s="37" t="inlineStr">
        <is>
          <t>程序占位</t>
        </is>
      </c>
      <c r="L98" s="37" t="inlineStr">
        <is>
          <t>P2</t>
        </is>
      </c>
      <c r="M98" s="37" t="inlineStr">
        <is>
          <t>v001</t>
        </is>
      </c>
      <c r="N98" s="37" t="inlineStr">
        <is>
          <t>粒子或 8–16 帧序列</t>
        </is>
      </c>
      <c r="O98" s="37" t="str"/>
      <c r="P98" s="37" t="inlineStr">
        <is>
          <t>src/fx/VisibilityLight2D.gd</t>
        </is>
      </c>
      <c r="Q98" s="37" t="str"/>
      <c r="R98" s="37">
        <f>LOWER(TRIM(C98)&amp;"|"&amp;TRIM(D98)&amp;"|"&amp;TRIM(E98)&amp;"|"&amp;TRIM(F98)&amp;"|"&amp;TRIM(H98)&amp;"|"&amp;TRIM(I98))</f>
        <v/>
      </c>
      <c r="S98" s="37">
        <f>IF(A98="","",IF(COUNTIF($R$6:$R$162,R98)&gt;1,"重复","唯一"))</f>
        <v/>
      </c>
      <c r="T98" s="37" t="str"/>
      <c r="U98" s="37" t="inlineStr">
        <is>
          <t>待分配</t>
        </is>
      </c>
      <c r="V98" s="128" t="n">
        <v>46225</v>
      </c>
      <c r="W98" s="37" t="inlineStr">
        <is>
          <t>原创/待确认</t>
        </is>
      </c>
      <c r="X98" s="37" t="inlineStr">
        <is>
          <t>2D视野表现根；3D真实判定与地面网格登记为 VFX-VISIBILITY-FIELD-3D，禁止用灯光替代</t>
        </is>
      </c>
    </row>
    <row r="99">
      <c r="A99" s="37" t="inlineStr">
        <is>
          <t>VFX-EXTRACTION-BEACON</t>
        </is>
      </c>
      <c r="B99" s="37" t="inlineStr">
        <is>
          <t>撤离信标效果</t>
        </is>
      </c>
      <c r="C99" s="37" t="inlineStr">
        <is>
          <t>特效</t>
        </is>
      </c>
      <c r="D99" s="37" t="inlineStr">
        <is>
          <t>gameplay_vfx</t>
        </is>
      </c>
      <c r="E99" s="37" t="inlineStr">
        <is>
          <t>extraction_beacon</t>
        </is>
      </c>
      <c r="F99" s="37" t="inlineStr">
        <is>
          <t>root</t>
        </is>
      </c>
      <c r="G99" s="37" t="str"/>
      <c r="H99" s="37" t="inlineStr">
        <is>
          <t>顶视/屏幕空间</t>
        </is>
      </c>
      <c r="I99" s="37" t="inlineStr">
        <is>
          <t>default</t>
        </is>
      </c>
      <c r="J99" s="37" t="inlineStr">
        <is>
          <t>跨武器/跨场景</t>
        </is>
      </c>
      <c r="K99" s="37" t="inlineStr">
        <is>
          <t>程序占位</t>
        </is>
      </c>
      <c r="L99" s="37" t="inlineStr">
        <is>
          <t>P2</t>
        </is>
      </c>
      <c r="M99" s="37" t="inlineStr">
        <is>
          <t>v001</t>
        </is>
      </c>
      <c r="N99" s="37" t="inlineStr">
        <is>
          <t>粒子或 8–16 帧序列</t>
        </is>
      </c>
      <c r="O99" s="37" t="str"/>
      <c r="P99" s="37" t="inlineStr">
        <is>
          <t>src/map/ExtractionDirector.gd</t>
        </is>
      </c>
      <c r="Q99" s="37" t="str"/>
      <c r="R99" s="37">
        <f>LOWER(TRIM(C99)&amp;"|"&amp;TRIM(D99)&amp;"|"&amp;TRIM(E99)&amp;"|"&amp;TRIM(F99)&amp;"|"&amp;TRIM(H99)&amp;"|"&amp;TRIM(I99))</f>
        <v/>
      </c>
      <c r="S99" s="37">
        <f>IF(A99="","",IF(COUNTIF($R$6:$R$162,R99)&gt;1,"重复","唯一"))</f>
        <v/>
      </c>
      <c r="T99" s="37" t="str"/>
      <c r="U99" s="37" t="inlineStr">
        <is>
          <t>待分配</t>
        </is>
      </c>
      <c r="V99" s="128" t="n">
        <v>46224</v>
      </c>
      <c r="W99" s="37" t="inlineStr">
        <is>
          <t>原创/待确认</t>
        </is>
      </c>
      <c r="X99" s="37" t="inlineStr">
        <is>
          <t>颜色/尺寸作参数变体，禁止复制整套</t>
        </is>
      </c>
    </row>
    <row r="100">
      <c r="A100" s="37" t="inlineStr">
        <is>
          <t>AUD-BGM-WASTELAND</t>
        </is>
      </c>
      <c r="B100" s="37" t="inlineStr">
        <is>
          <t>末日荒野 BGM</t>
        </is>
      </c>
      <c r="C100" s="37" t="inlineStr">
        <is>
          <t>音频</t>
        </is>
      </c>
      <c r="D100" s="37" t="inlineStr">
        <is>
          <t>bgm</t>
        </is>
      </c>
      <c r="E100" s="37" t="inlineStr">
        <is>
          <t>bgm_wasteland</t>
        </is>
      </c>
      <c r="F100" s="37" t="inlineStr">
        <is>
          <t>root</t>
        </is>
      </c>
      <c r="G100" s="37" t="str"/>
      <c r="H100" s="37" t="inlineStr">
        <is>
          <t>不适用</t>
        </is>
      </c>
      <c r="I100" s="37" t="inlineStr">
        <is>
          <t>default</t>
        </is>
      </c>
      <c r="J100" s="37" t="inlineStr">
        <is>
          <t>按事件复用</t>
        </is>
      </c>
      <c r="K100" s="37" t="inlineStr">
        <is>
          <t>已完成</t>
        </is>
      </c>
      <c r="L100" s="37" t="inlineStr">
        <is>
          <t>P2</t>
        </is>
      </c>
      <c r="M100" s="37" t="inlineStr">
        <is>
          <t>v001</t>
        </is>
      </c>
      <c r="N100" s="37" t="inlineStr">
        <is>
          <t>循环 WAV/OGG</t>
        </is>
      </c>
      <c r="O100" s="37" t="str"/>
      <c r="P100" s="37" t="inlineStr">
        <is>
          <t>bgm_wasteland.wav</t>
        </is>
      </c>
      <c r="Q100" s="37" t="str"/>
      <c r="R100" s="37">
        <f>LOWER(TRIM(C100)&amp;"|"&amp;TRIM(D100)&amp;"|"&amp;TRIM(E100)&amp;"|"&amp;TRIM(F100)&amp;"|"&amp;TRIM(H100)&amp;"|"&amp;TRIM(I100))</f>
        <v/>
      </c>
      <c r="S100" s="37">
        <f>IF(A100="","",IF(COUNTIF($R$6:$R$162,R100)&gt;1,"重复","唯一"))</f>
        <v/>
      </c>
      <c r="T100" s="37" t="str"/>
      <c r="U100" s="37" t="inlineStr">
        <is>
          <t>待分配</t>
        </is>
      </c>
      <c r="V100" s="128" t="n">
        <v>46224</v>
      </c>
      <c r="W100" s="37" t="inlineStr">
        <is>
          <t>项目现有/待核对</t>
        </is>
      </c>
      <c r="X100" s="37" t="str"/>
    </row>
    <row r="101">
      <c r="A101" s="37" t="inlineStr">
        <is>
          <t>AUD-PISTOL-FIRE</t>
        </is>
      </c>
      <c r="B101" s="37" t="inlineStr">
        <is>
          <t>手枪射击</t>
        </is>
      </c>
      <c r="C101" s="37" t="inlineStr">
        <is>
          <t>音频</t>
        </is>
      </c>
      <c r="D101" s="37" t="inlineStr">
        <is>
          <t>sfx</t>
        </is>
      </c>
      <c r="E101" s="37" t="inlineStr">
        <is>
          <t>pistol_fire</t>
        </is>
      </c>
      <c r="F101" s="37" t="inlineStr">
        <is>
          <t>root</t>
        </is>
      </c>
      <c r="G101" s="37" t="str"/>
      <c r="H101" s="37" t="inlineStr">
        <is>
          <t>不适用</t>
        </is>
      </c>
      <c r="I101" s="37" t="inlineStr">
        <is>
          <t>default</t>
        </is>
      </c>
      <c r="J101" s="37" t="inlineStr">
        <is>
          <t>按事件复用</t>
        </is>
      </c>
      <c r="K101" s="37" t="inlineStr">
        <is>
          <t>待制作</t>
        </is>
      </c>
      <c r="L101" s="37" t="inlineStr">
        <is>
          <t>P2</t>
        </is>
      </c>
      <c r="M101" s="37" t="inlineStr">
        <is>
          <t>v001</t>
        </is>
      </c>
      <c r="N101" s="37" t="inlineStr">
        <is>
          <t>0.1–2.0s WAV/OGG</t>
        </is>
      </c>
      <c r="O101" s="37" t="str"/>
      <c r="P101" s="37" t="inlineStr">
        <is>
          <t>src/core/AudioManager.gd</t>
        </is>
      </c>
      <c r="Q101" s="37" t="str"/>
      <c r="R101" s="37">
        <f>LOWER(TRIM(C101)&amp;"|"&amp;TRIM(D101)&amp;"|"&amp;TRIM(E101)&amp;"|"&amp;TRIM(F101)&amp;"|"&amp;TRIM(H101)&amp;"|"&amp;TRIM(I101))</f>
        <v/>
      </c>
      <c r="S101" s="37">
        <f>IF(A101="","",IF(COUNTIF($R$6:$R$162,R101)&gt;1,"重复","唯一"))</f>
        <v/>
      </c>
      <c r="T101" s="37" t="str"/>
      <c r="U101" s="37" t="inlineStr">
        <is>
          <t>待分配</t>
        </is>
      </c>
      <c r="V101" s="128" t="n">
        <v>46224</v>
      </c>
      <c r="W101" s="37" t="inlineStr">
        <is>
          <t>原创/待确认</t>
        </is>
      </c>
      <c r="X101" s="37" t="str"/>
    </row>
    <row r="102">
      <c r="A102" s="37" t="inlineStr">
        <is>
          <t>AUD-RIFLE-FIRE</t>
        </is>
      </c>
      <c r="B102" s="37" t="inlineStr">
        <is>
          <t>步枪射击</t>
        </is>
      </c>
      <c r="C102" s="37" t="inlineStr">
        <is>
          <t>音频</t>
        </is>
      </c>
      <c r="D102" s="37" t="inlineStr">
        <is>
          <t>sfx</t>
        </is>
      </c>
      <c r="E102" s="37" t="inlineStr">
        <is>
          <t>rifle_fire</t>
        </is>
      </c>
      <c r="F102" s="37" t="inlineStr">
        <is>
          <t>root</t>
        </is>
      </c>
      <c r="G102" s="37" t="str"/>
      <c r="H102" s="37" t="inlineStr">
        <is>
          <t>不适用</t>
        </is>
      </c>
      <c r="I102" s="37" t="inlineStr">
        <is>
          <t>default</t>
        </is>
      </c>
      <c r="J102" s="37" t="inlineStr">
        <is>
          <t>按事件复用</t>
        </is>
      </c>
      <c r="K102" s="37" t="inlineStr">
        <is>
          <t>待制作</t>
        </is>
      </c>
      <c r="L102" s="37" t="inlineStr">
        <is>
          <t>P2</t>
        </is>
      </c>
      <c r="M102" s="37" t="inlineStr">
        <is>
          <t>v001</t>
        </is>
      </c>
      <c r="N102" s="37" t="inlineStr">
        <is>
          <t>0.1–2.0s WAV/OGG</t>
        </is>
      </c>
      <c r="O102" s="37" t="str"/>
      <c r="P102" s="37" t="inlineStr">
        <is>
          <t>src/core/AudioManager.gd</t>
        </is>
      </c>
      <c r="Q102" s="37" t="str"/>
      <c r="R102" s="37">
        <f>LOWER(TRIM(C102)&amp;"|"&amp;TRIM(D102)&amp;"|"&amp;TRIM(E102)&amp;"|"&amp;TRIM(F102)&amp;"|"&amp;TRIM(H102)&amp;"|"&amp;TRIM(I102))</f>
        <v/>
      </c>
      <c r="S102" s="37">
        <f>IF(A102="","",IF(COUNTIF($R$6:$R$162,R102)&gt;1,"重复","唯一"))</f>
        <v/>
      </c>
      <c r="T102" s="37" t="str"/>
      <c r="U102" s="37" t="inlineStr">
        <is>
          <t>待分配</t>
        </is>
      </c>
      <c r="V102" s="128" t="n">
        <v>46224</v>
      </c>
      <c r="W102" s="37" t="inlineStr">
        <is>
          <t>原创/待确认</t>
        </is>
      </c>
      <c r="X102" s="37" t="str"/>
    </row>
    <row r="103">
      <c r="A103" s="37" t="inlineStr">
        <is>
          <t>AUD-SHOTGUN-FIRE</t>
        </is>
      </c>
      <c r="B103" s="37" t="inlineStr">
        <is>
          <t>霰弹枪射击</t>
        </is>
      </c>
      <c r="C103" s="37" t="inlineStr">
        <is>
          <t>音频</t>
        </is>
      </c>
      <c r="D103" s="37" t="inlineStr">
        <is>
          <t>sfx</t>
        </is>
      </c>
      <c r="E103" s="37" t="inlineStr">
        <is>
          <t>shotgun_fire</t>
        </is>
      </c>
      <c r="F103" s="37" t="inlineStr">
        <is>
          <t>root</t>
        </is>
      </c>
      <c r="G103" s="37" t="str"/>
      <c r="H103" s="37" t="inlineStr">
        <is>
          <t>不适用</t>
        </is>
      </c>
      <c r="I103" s="37" t="inlineStr">
        <is>
          <t>default</t>
        </is>
      </c>
      <c r="J103" s="37" t="inlineStr">
        <is>
          <t>按事件复用</t>
        </is>
      </c>
      <c r="K103" s="37" t="inlineStr">
        <is>
          <t>待制作</t>
        </is>
      </c>
      <c r="L103" s="37" t="inlineStr">
        <is>
          <t>P2</t>
        </is>
      </c>
      <c r="M103" s="37" t="inlineStr">
        <is>
          <t>v001</t>
        </is>
      </c>
      <c r="N103" s="37" t="inlineStr">
        <is>
          <t>0.1–2.0s WAV/OGG</t>
        </is>
      </c>
      <c r="O103" s="37" t="str"/>
      <c r="P103" s="37" t="inlineStr">
        <is>
          <t>src/core/AudioManager.gd</t>
        </is>
      </c>
      <c r="Q103" s="37" t="str"/>
      <c r="R103" s="37">
        <f>LOWER(TRIM(C103)&amp;"|"&amp;TRIM(D103)&amp;"|"&amp;TRIM(E103)&amp;"|"&amp;TRIM(F103)&amp;"|"&amp;TRIM(H103)&amp;"|"&amp;TRIM(I103))</f>
        <v/>
      </c>
      <c r="S103" s="37">
        <f>IF(A103="","",IF(COUNTIF($R$6:$R$162,R103)&gt;1,"重复","唯一"))</f>
        <v/>
      </c>
      <c r="T103" s="37" t="str"/>
      <c r="U103" s="37" t="inlineStr">
        <is>
          <t>待分配</t>
        </is>
      </c>
      <c r="V103" s="128" t="n">
        <v>46224</v>
      </c>
      <c r="W103" s="37" t="inlineStr">
        <is>
          <t>原创/待确认</t>
        </is>
      </c>
      <c r="X103" s="37" t="str"/>
    </row>
    <row r="104">
      <c r="A104" s="37" t="inlineStr">
        <is>
          <t>AUD-SMG-FIRE</t>
        </is>
      </c>
      <c r="B104" s="37" t="inlineStr">
        <is>
          <t>机枪射击</t>
        </is>
      </c>
      <c r="C104" s="37" t="inlineStr">
        <is>
          <t>音频</t>
        </is>
      </c>
      <c r="D104" s="37" t="inlineStr">
        <is>
          <t>sfx</t>
        </is>
      </c>
      <c r="E104" s="37" t="inlineStr">
        <is>
          <t>smg_fire</t>
        </is>
      </c>
      <c r="F104" s="37" t="inlineStr">
        <is>
          <t>root</t>
        </is>
      </c>
      <c r="G104" s="37" t="str"/>
      <c r="H104" s="37" t="inlineStr">
        <is>
          <t>不适用</t>
        </is>
      </c>
      <c r="I104" s="37" t="inlineStr">
        <is>
          <t>default</t>
        </is>
      </c>
      <c r="J104" s="37" t="inlineStr">
        <is>
          <t>按事件复用</t>
        </is>
      </c>
      <c r="K104" s="37" t="inlineStr">
        <is>
          <t>待制作</t>
        </is>
      </c>
      <c r="L104" s="37" t="inlineStr">
        <is>
          <t>P2</t>
        </is>
      </c>
      <c r="M104" s="37" t="inlineStr">
        <is>
          <t>v001</t>
        </is>
      </c>
      <c r="N104" s="37" t="inlineStr">
        <is>
          <t>0.1–2.0s WAV/OGG</t>
        </is>
      </c>
      <c r="O104" s="37" t="str"/>
      <c r="P104" s="37" t="inlineStr">
        <is>
          <t>src/core/AudioManager.gd</t>
        </is>
      </c>
      <c r="Q104" s="37" t="str"/>
      <c r="R104" s="37">
        <f>LOWER(TRIM(C104)&amp;"|"&amp;TRIM(D104)&amp;"|"&amp;TRIM(E104)&amp;"|"&amp;TRIM(F104)&amp;"|"&amp;TRIM(H104)&amp;"|"&amp;TRIM(I104))</f>
        <v/>
      </c>
      <c r="S104" s="37">
        <f>IF(A104="","",IF(COUNTIF($R$6:$R$162,R104)&gt;1,"重复","唯一"))</f>
        <v/>
      </c>
      <c r="T104" s="37" t="str"/>
      <c r="U104" s="37" t="inlineStr">
        <is>
          <t>待分配</t>
        </is>
      </c>
      <c r="V104" s="128" t="n">
        <v>46224</v>
      </c>
      <c r="W104" s="37" t="inlineStr">
        <is>
          <t>原创/待确认</t>
        </is>
      </c>
      <c r="X104" s="37" t="str"/>
    </row>
    <row r="105">
      <c r="A105" s="37" t="inlineStr">
        <is>
          <t>AUD-SNIPER-FIRE</t>
        </is>
      </c>
      <c r="B105" s="37" t="inlineStr">
        <is>
          <t>狙击射击</t>
        </is>
      </c>
      <c r="C105" s="37" t="inlineStr">
        <is>
          <t>音频</t>
        </is>
      </c>
      <c r="D105" s="37" t="inlineStr">
        <is>
          <t>sfx</t>
        </is>
      </c>
      <c r="E105" s="37" t="inlineStr">
        <is>
          <t>sniper_fire</t>
        </is>
      </c>
      <c r="F105" s="37" t="inlineStr">
        <is>
          <t>root</t>
        </is>
      </c>
      <c r="G105" s="37" t="str"/>
      <c r="H105" s="37" t="inlineStr">
        <is>
          <t>不适用</t>
        </is>
      </c>
      <c r="I105" s="37" t="inlineStr">
        <is>
          <t>default</t>
        </is>
      </c>
      <c r="J105" s="37" t="inlineStr">
        <is>
          <t>按事件复用</t>
        </is>
      </c>
      <c r="K105" s="37" t="inlineStr">
        <is>
          <t>待制作</t>
        </is>
      </c>
      <c r="L105" s="37" t="inlineStr">
        <is>
          <t>P2</t>
        </is>
      </c>
      <c r="M105" s="37" t="inlineStr">
        <is>
          <t>v001</t>
        </is>
      </c>
      <c r="N105" s="37" t="inlineStr">
        <is>
          <t>0.1–2.0s WAV/OGG</t>
        </is>
      </c>
      <c r="O105" s="37" t="str"/>
      <c r="P105" s="37" t="inlineStr">
        <is>
          <t>src/core/AudioManager.gd</t>
        </is>
      </c>
      <c r="Q105" s="37" t="str"/>
      <c r="R105" s="37">
        <f>LOWER(TRIM(C105)&amp;"|"&amp;TRIM(D105)&amp;"|"&amp;TRIM(E105)&amp;"|"&amp;TRIM(F105)&amp;"|"&amp;TRIM(H105)&amp;"|"&amp;TRIM(I105))</f>
        <v/>
      </c>
      <c r="S105" s="37">
        <f>IF(A105="","",IF(COUNTIF($R$6:$R$162,R105)&gt;1,"重复","唯一"))</f>
        <v/>
      </c>
      <c r="T105" s="37" t="str"/>
      <c r="U105" s="37" t="inlineStr">
        <is>
          <t>待分配</t>
        </is>
      </c>
      <c r="V105" s="128" t="n">
        <v>46224</v>
      </c>
      <c r="W105" s="37" t="inlineStr">
        <is>
          <t>原创/待确认</t>
        </is>
      </c>
      <c r="X105" s="37" t="str"/>
    </row>
    <row r="106">
      <c r="A106" s="37" t="inlineStr">
        <is>
          <t>AUD-PLAYER-HIT</t>
        </is>
      </c>
      <c r="B106" s="37" t="inlineStr">
        <is>
          <t>玩家受击</t>
        </is>
      </c>
      <c r="C106" s="37" t="inlineStr">
        <is>
          <t>音频</t>
        </is>
      </c>
      <c r="D106" s="37" t="inlineStr">
        <is>
          <t>sfx</t>
        </is>
      </c>
      <c r="E106" s="37" t="inlineStr">
        <is>
          <t>player_hit</t>
        </is>
      </c>
      <c r="F106" s="37" t="inlineStr">
        <is>
          <t>root</t>
        </is>
      </c>
      <c r="G106" s="37" t="str"/>
      <c r="H106" s="37" t="inlineStr">
        <is>
          <t>不适用</t>
        </is>
      </c>
      <c r="I106" s="37" t="inlineStr">
        <is>
          <t>default</t>
        </is>
      </c>
      <c r="J106" s="37" t="inlineStr">
        <is>
          <t>按事件复用</t>
        </is>
      </c>
      <c r="K106" s="37" t="inlineStr">
        <is>
          <t>待制作</t>
        </is>
      </c>
      <c r="L106" s="37" t="inlineStr">
        <is>
          <t>P2</t>
        </is>
      </c>
      <c r="M106" s="37" t="inlineStr">
        <is>
          <t>v001</t>
        </is>
      </c>
      <c r="N106" s="37" t="inlineStr">
        <is>
          <t>0.1–2.0s WAV/OGG</t>
        </is>
      </c>
      <c r="O106" s="37" t="str"/>
      <c r="P106" s="37" t="inlineStr">
        <is>
          <t>src/core/AudioManager.gd</t>
        </is>
      </c>
      <c r="Q106" s="37" t="str"/>
      <c r="R106" s="37">
        <f>LOWER(TRIM(C106)&amp;"|"&amp;TRIM(D106)&amp;"|"&amp;TRIM(E106)&amp;"|"&amp;TRIM(F106)&amp;"|"&amp;TRIM(H106)&amp;"|"&amp;TRIM(I106))</f>
        <v/>
      </c>
      <c r="S106" s="37">
        <f>IF(A106="","",IF(COUNTIF($R$6:$R$162,R106)&gt;1,"重复","唯一"))</f>
        <v/>
      </c>
      <c r="T106" s="37" t="str"/>
      <c r="U106" s="37" t="inlineStr">
        <is>
          <t>待分配</t>
        </is>
      </c>
      <c r="V106" s="128" t="n">
        <v>46224</v>
      </c>
      <c r="W106" s="37" t="inlineStr">
        <is>
          <t>原创/待确认</t>
        </is>
      </c>
      <c r="X106" s="37" t="str"/>
    </row>
    <row r="107">
      <c r="A107" s="37" t="inlineStr">
        <is>
          <t>AUD-PLAYER-DASH</t>
        </is>
      </c>
      <c r="B107" s="37" t="inlineStr">
        <is>
          <t>玩家冲刺</t>
        </is>
      </c>
      <c r="C107" s="37" t="inlineStr">
        <is>
          <t>音频</t>
        </is>
      </c>
      <c r="D107" s="37" t="inlineStr">
        <is>
          <t>sfx</t>
        </is>
      </c>
      <c r="E107" s="37" t="inlineStr">
        <is>
          <t>player_dash</t>
        </is>
      </c>
      <c r="F107" s="37" t="inlineStr">
        <is>
          <t>root</t>
        </is>
      </c>
      <c r="G107" s="37" t="str"/>
      <c r="H107" s="37" t="inlineStr">
        <is>
          <t>不适用</t>
        </is>
      </c>
      <c r="I107" s="37" t="inlineStr">
        <is>
          <t>default</t>
        </is>
      </c>
      <c r="J107" s="37" t="inlineStr">
        <is>
          <t>按事件复用</t>
        </is>
      </c>
      <c r="K107" s="37" t="inlineStr">
        <is>
          <t>待制作</t>
        </is>
      </c>
      <c r="L107" s="37" t="inlineStr">
        <is>
          <t>P2</t>
        </is>
      </c>
      <c r="M107" s="37" t="inlineStr">
        <is>
          <t>v001</t>
        </is>
      </c>
      <c r="N107" s="37" t="inlineStr">
        <is>
          <t>0.1–2.0s WAV/OGG</t>
        </is>
      </c>
      <c r="O107" s="37" t="str"/>
      <c r="P107" s="37" t="inlineStr">
        <is>
          <t>src/core/AudioManager.gd</t>
        </is>
      </c>
      <c r="Q107" s="37" t="str"/>
      <c r="R107" s="37">
        <f>LOWER(TRIM(C107)&amp;"|"&amp;TRIM(D107)&amp;"|"&amp;TRIM(E107)&amp;"|"&amp;TRIM(F107)&amp;"|"&amp;TRIM(H107)&amp;"|"&amp;TRIM(I107))</f>
        <v/>
      </c>
      <c r="S107" s="37">
        <f>IF(A107="","",IF(COUNTIF($R$6:$R$162,R107)&gt;1,"重复","唯一"))</f>
        <v/>
      </c>
      <c r="T107" s="37" t="str"/>
      <c r="U107" s="37" t="inlineStr">
        <is>
          <t>待分配</t>
        </is>
      </c>
      <c r="V107" s="128" t="n">
        <v>46224</v>
      </c>
      <c r="W107" s="37" t="inlineStr">
        <is>
          <t>原创/待确认</t>
        </is>
      </c>
      <c r="X107" s="37" t="str"/>
    </row>
    <row r="108">
      <c r="A108" s="37" t="inlineStr">
        <is>
          <t>AUD-ENEMY-HIT</t>
        </is>
      </c>
      <c r="B108" s="37" t="inlineStr">
        <is>
          <t>敌人受击</t>
        </is>
      </c>
      <c r="C108" s="37" t="inlineStr">
        <is>
          <t>音频</t>
        </is>
      </c>
      <c r="D108" s="37" t="inlineStr">
        <is>
          <t>sfx</t>
        </is>
      </c>
      <c r="E108" s="37" t="inlineStr">
        <is>
          <t>enemy_hit</t>
        </is>
      </c>
      <c r="F108" s="37" t="inlineStr">
        <is>
          <t>root</t>
        </is>
      </c>
      <c r="G108" s="37" t="str"/>
      <c r="H108" s="37" t="inlineStr">
        <is>
          <t>不适用</t>
        </is>
      </c>
      <c r="I108" s="37" t="inlineStr">
        <is>
          <t>default</t>
        </is>
      </c>
      <c r="J108" s="37" t="inlineStr">
        <is>
          <t>按事件复用</t>
        </is>
      </c>
      <c r="K108" s="37" t="inlineStr">
        <is>
          <t>待制作</t>
        </is>
      </c>
      <c r="L108" s="37" t="inlineStr">
        <is>
          <t>P2</t>
        </is>
      </c>
      <c r="M108" s="37" t="inlineStr">
        <is>
          <t>v001</t>
        </is>
      </c>
      <c r="N108" s="37" t="inlineStr">
        <is>
          <t>0.1–2.0s WAV/OGG</t>
        </is>
      </c>
      <c r="O108" s="37" t="str"/>
      <c r="P108" s="37" t="inlineStr">
        <is>
          <t>src/core/AudioManager.gd</t>
        </is>
      </c>
      <c r="Q108" s="37" t="str"/>
      <c r="R108" s="37">
        <f>LOWER(TRIM(C108)&amp;"|"&amp;TRIM(D108)&amp;"|"&amp;TRIM(E108)&amp;"|"&amp;TRIM(F108)&amp;"|"&amp;TRIM(H108)&amp;"|"&amp;TRIM(I108))</f>
        <v/>
      </c>
      <c r="S108" s="37">
        <f>IF(A108="","",IF(COUNTIF($R$6:$R$162,R108)&gt;1,"重复","唯一"))</f>
        <v/>
      </c>
      <c r="T108" s="37" t="str"/>
      <c r="U108" s="37" t="inlineStr">
        <is>
          <t>待分配</t>
        </is>
      </c>
      <c r="V108" s="128" t="n">
        <v>46224</v>
      </c>
      <c r="W108" s="37" t="inlineStr">
        <is>
          <t>原创/待确认</t>
        </is>
      </c>
      <c r="X108" s="37" t="str"/>
    </row>
    <row r="109">
      <c r="A109" s="37" t="inlineStr">
        <is>
          <t>AUD-ENEMY-DIE</t>
        </is>
      </c>
      <c r="B109" s="37" t="inlineStr">
        <is>
          <t>敌人死亡</t>
        </is>
      </c>
      <c r="C109" s="37" t="inlineStr">
        <is>
          <t>音频</t>
        </is>
      </c>
      <c r="D109" s="37" t="inlineStr">
        <is>
          <t>sfx</t>
        </is>
      </c>
      <c r="E109" s="37" t="inlineStr">
        <is>
          <t>enemy_die</t>
        </is>
      </c>
      <c r="F109" s="37" t="inlineStr">
        <is>
          <t>root</t>
        </is>
      </c>
      <c r="G109" s="37" t="str"/>
      <c r="H109" s="37" t="inlineStr">
        <is>
          <t>不适用</t>
        </is>
      </c>
      <c r="I109" s="37" t="inlineStr">
        <is>
          <t>default</t>
        </is>
      </c>
      <c r="J109" s="37" t="inlineStr">
        <is>
          <t>按事件复用</t>
        </is>
      </c>
      <c r="K109" s="37" t="inlineStr">
        <is>
          <t>待制作</t>
        </is>
      </c>
      <c r="L109" s="37" t="inlineStr">
        <is>
          <t>P2</t>
        </is>
      </c>
      <c r="M109" s="37" t="inlineStr">
        <is>
          <t>v001</t>
        </is>
      </c>
      <c r="N109" s="37" t="inlineStr">
        <is>
          <t>0.1–2.0s WAV/OGG</t>
        </is>
      </c>
      <c r="O109" s="37" t="str"/>
      <c r="P109" s="37" t="inlineStr">
        <is>
          <t>src/core/AudioManager.gd</t>
        </is>
      </c>
      <c r="Q109" s="37" t="str"/>
      <c r="R109" s="37">
        <f>LOWER(TRIM(C109)&amp;"|"&amp;TRIM(D109)&amp;"|"&amp;TRIM(E109)&amp;"|"&amp;TRIM(F109)&amp;"|"&amp;TRIM(H109)&amp;"|"&amp;TRIM(I109))</f>
        <v/>
      </c>
      <c r="S109" s="37">
        <f>IF(A109="","",IF(COUNTIF($R$6:$R$162,R109)&gt;1,"重复","唯一"))</f>
        <v/>
      </c>
      <c r="T109" s="37" t="str"/>
      <c r="U109" s="37" t="inlineStr">
        <is>
          <t>待分配</t>
        </is>
      </c>
      <c r="V109" s="128" t="n">
        <v>46224</v>
      </c>
      <c r="W109" s="37" t="inlineStr">
        <is>
          <t>原创/待确认</t>
        </is>
      </c>
      <c r="X109" s="37" t="str"/>
    </row>
    <row r="110">
      <c r="A110" s="37" t="inlineStr">
        <is>
          <t>AUD-RELOAD</t>
        </is>
      </c>
      <c r="B110" s="37" t="inlineStr">
        <is>
          <t>换弹</t>
        </is>
      </c>
      <c r="C110" s="37" t="inlineStr">
        <is>
          <t>音频</t>
        </is>
      </c>
      <c r="D110" s="37" t="inlineStr">
        <is>
          <t>sfx</t>
        </is>
      </c>
      <c r="E110" s="37" t="inlineStr">
        <is>
          <t>reload</t>
        </is>
      </c>
      <c r="F110" s="37" t="inlineStr">
        <is>
          <t>root</t>
        </is>
      </c>
      <c r="G110" s="37" t="str"/>
      <c r="H110" s="37" t="inlineStr">
        <is>
          <t>不适用</t>
        </is>
      </c>
      <c r="I110" s="37" t="inlineStr">
        <is>
          <t>default</t>
        </is>
      </c>
      <c r="J110" s="37" t="inlineStr">
        <is>
          <t>按事件复用</t>
        </is>
      </c>
      <c r="K110" s="37" t="inlineStr">
        <is>
          <t>待制作</t>
        </is>
      </c>
      <c r="L110" s="37" t="inlineStr">
        <is>
          <t>P2</t>
        </is>
      </c>
      <c r="M110" s="37" t="inlineStr">
        <is>
          <t>v001</t>
        </is>
      </c>
      <c r="N110" s="37" t="inlineStr">
        <is>
          <t>0.1–2.0s WAV/OGG</t>
        </is>
      </c>
      <c r="O110" s="37" t="str"/>
      <c r="P110" s="37" t="inlineStr">
        <is>
          <t>src/core/AudioManager.gd</t>
        </is>
      </c>
      <c r="Q110" s="37" t="str"/>
      <c r="R110" s="37">
        <f>LOWER(TRIM(C110)&amp;"|"&amp;TRIM(D110)&amp;"|"&amp;TRIM(E110)&amp;"|"&amp;TRIM(F110)&amp;"|"&amp;TRIM(H110)&amp;"|"&amp;TRIM(I110))</f>
        <v/>
      </c>
      <c r="S110" s="37">
        <f>IF(A110="","",IF(COUNTIF($R$6:$R$162,R110)&gt;1,"重复","唯一"))</f>
        <v/>
      </c>
      <c r="T110" s="37" t="str"/>
      <c r="U110" s="37" t="inlineStr">
        <is>
          <t>待分配</t>
        </is>
      </c>
      <c r="V110" s="128" t="n">
        <v>46224</v>
      </c>
      <c r="W110" s="37" t="inlineStr">
        <is>
          <t>原创/待确认</t>
        </is>
      </c>
      <c r="X110" s="37" t="str"/>
    </row>
    <row r="111">
      <c r="A111" s="37" t="inlineStr">
        <is>
          <t>AUD-EXTRACTION-START</t>
        </is>
      </c>
      <c r="B111" s="37" t="inlineStr">
        <is>
          <t>撤离启动</t>
        </is>
      </c>
      <c r="C111" s="37" t="inlineStr">
        <is>
          <t>音频</t>
        </is>
      </c>
      <c r="D111" s="37" t="inlineStr">
        <is>
          <t>sfx</t>
        </is>
      </c>
      <c r="E111" s="37" t="inlineStr">
        <is>
          <t>extraction_start</t>
        </is>
      </c>
      <c r="F111" s="37" t="inlineStr">
        <is>
          <t>root</t>
        </is>
      </c>
      <c r="G111" s="37" t="str"/>
      <c r="H111" s="37" t="inlineStr">
        <is>
          <t>不适用</t>
        </is>
      </c>
      <c r="I111" s="37" t="inlineStr">
        <is>
          <t>default</t>
        </is>
      </c>
      <c r="J111" s="37" t="inlineStr">
        <is>
          <t>按事件复用</t>
        </is>
      </c>
      <c r="K111" s="37" t="inlineStr">
        <is>
          <t>待制作</t>
        </is>
      </c>
      <c r="L111" s="37" t="inlineStr">
        <is>
          <t>P2</t>
        </is>
      </c>
      <c r="M111" s="37" t="inlineStr">
        <is>
          <t>v001</t>
        </is>
      </c>
      <c r="N111" s="37" t="inlineStr">
        <is>
          <t>0.1–2.0s WAV/OGG</t>
        </is>
      </c>
      <c r="O111" s="37" t="str"/>
      <c r="P111" s="37" t="inlineStr">
        <is>
          <t>src/core/AudioManager.gd</t>
        </is>
      </c>
      <c r="Q111" s="37" t="str"/>
      <c r="R111" s="37">
        <f>LOWER(TRIM(C111)&amp;"|"&amp;TRIM(D111)&amp;"|"&amp;TRIM(E111)&amp;"|"&amp;TRIM(F111)&amp;"|"&amp;TRIM(H111)&amp;"|"&amp;TRIM(I111))</f>
        <v/>
      </c>
      <c r="S111" s="37">
        <f>IF(A111="","",IF(COUNTIF($R$6:$R$162,R111)&gt;1,"重复","唯一"))</f>
        <v/>
      </c>
      <c r="T111" s="37" t="str"/>
      <c r="U111" s="37" t="inlineStr">
        <is>
          <t>待分配</t>
        </is>
      </c>
      <c r="V111" s="128" t="n">
        <v>46224</v>
      </c>
      <c r="W111" s="37" t="inlineStr">
        <is>
          <t>原创/待确认</t>
        </is>
      </c>
      <c r="X111" s="37" t="str"/>
    </row>
    <row r="112">
      <c r="A112" s="37" t="inlineStr">
        <is>
          <t>AUD-EXTRACTION-DONE</t>
        </is>
      </c>
      <c r="B112" s="37" t="inlineStr">
        <is>
          <t>撤离完成</t>
        </is>
      </c>
      <c r="C112" s="37" t="inlineStr">
        <is>
          <t>音频</t>
        </is>
      </c>
      <c r="D112" s="37" t="inlineStr">
        <is>
          <t>sfx</t>
        </is>
      </c>
      <c r="E112" s="37" t="inlineStr">
        <is>
          <t>extraction_done</t>
        </is>
      </c>
      <c r="F112" s="37" t="inlineStr">
        <is>
          <t>root</t>
        </is>
      </c>
      <c r="G112" s="37" t="str"/>
      <c r="H112" s="37" t="inlineStr">
        <is>
          <t>不适用</t>
        </is>
      </c>
      <c r="I112" s="37" t="inlineStr">
        <is>
          <t>default</t>
        </is>
      </c>
      <c r="J112" s="37" t="inlineStr">
        <is>
          <t>按事件复用</t>
        </is>
      </c>
      <c r="K112" s="37" t="inlineStr">
        <is>
          <t>待制作</t>
        </is>
      </c>
      <c r="L112" s="37" t="inlineStr">
        <is>
          <t>P2</t>
        </is>
      </c>
      <c r="M112" s="37" t="inlineStr">
        <is>
          <t>v001</t>
        </is>
      </c>
      <c r="N112" s="37" t="inlineStr">
        <is>
          <t>0.1–2.0s WAV/OGG</t>
        </is>
      </c>
      <c r="O112" s="37" t="str"/>
      <c r="P112" s="37" t="inlineStr">
        <is>
          <t>src/core/AudioManager.gd</t>
        </is>
      </c>
      <c r="Q112" s="37" t="str"/>
      <c r="R112" s="37">
        <f>LOWER(TRIM(C112)&amp;"|"&amp;TRIM(D112)&amp;"|"&amp;TRIM(E112)&amp;"|"&amp;TRIM(F112)&amp;"|"&amp;TRIM(H112)&amp;"|"&amp;TRIM(I112))</f>
        <v/>
      </c>
      <c r="S112" s="37">
        <f>IF(A112="","",IF(COUNTIF($R$6:$R$162,R112)&gt;1,"重复","唯一"))</f>
        <v/>
      </c>
      <c r="T112" s="37" t="str"/>
      <c r="U112" s="37" t="inlineStr">
        <is>
          <t>待分配</t>
        </is>
      </c>
      <c r="V112" s="128" t="n">
        <v>46224</v>
      </c>
      <c r="W112" s="37" t="inlineStr">
        <is>
          <t>原创/待确认</t>
        </is>
      </c>
      <c r="X112" s="37" t="str"/>
    </row>
    <row r="113" ht="155" customHeight="1">
      <c r="A113" s="70" t="inlineStr">
        <is>
          <t>CHR-PLY-CAPSULE01-3D</t>
        </is>
      </c>
      <c r="B113" s="70" t="inlineStr">
        <is>
          <t>方形猫角色3D根组件</t>
        </is>
      </c>
      <c r="C113" s="70" t="inlineStr">
        <is>
          <t>角色</t>
        </is>
      </c>
      <c r="D113" s="70" t="inlineStr">
        <is>
          <t>player</t>
        </is>
      </c>
      <c r="E113" s="70" t="inlineStr">
        <is>
          <t>player_capsule01</t>
        </is>
      </c>
      <c r="F113" s="70" t="inlineStr">
        <is>
          <t>root_3d</t>
        </is>
      </c>
      <c r="G113" s="70" t="inlineStr">
        <is>
          <t>CHR-PLY-CAPSULE01</t>
        </is>
      </c>
      <c r="H113" s="70" t="inlineStr">
        <is>
          <t>俯视3D</t>
        </is>
      </c>
      <c r="I113" s="70" t="inlineStr">
        <is>
          <t>default</t>
        </is>
      </c>
      <c r="J113" s="70" t="inlineStr">
        <is>
          <t>3D玩家场景</t>
        </is>
      </c>
      <c r="K113" s="70" t="inlineStr">
        <is>
          <t>原型已接入</t>
        </is>
      </c>
      <c r="L113" s="70" t="inlineStr">
        <is>
          <t>P0</t>
        </is>
      </c>
      <c r="M113" s="70" t="inlineStr">
        <is>
          <t>v001</t>
        </is>
      </c>
      <c r="N113" s="70" t="inlineStr">
        <is>
          <t>PackedScene/程序材质</t>
        </is>
      </c>
      <c r="O113" s="70" t="inlineStr">
        <is>
          <t>assets/art/characters/player/chr_player_capsule01_3d/chr_player_capsule01_root_top3d_v001.tscn</t>
        </is>
      </c>
      <c r="P113" s="70" t="inlineStr">
        <is>
          <t>scenes/Player3D.tscn</t>
        </is>
      </c>
      <c r="Q113" s="70" t="inlineStr">
        <is>
          <t>胶囊;防护服;3D;模块角色</t>
        </is>
      </c>
      <c r="R113" s="70">
        <f>LOWER(TRIM(C113)&amp;"|"&amp;TRIM(D113)&amp;"|"&amp;TRIM(E113)&amp;"|"&amp;TRIM(F113)&amp;"|"&amp;TRIM(H113)&amp;"|"&amp;TRIM(I113))</f>
        <v/>
      </c>
      <c r="S113" s="70">
        <f>IF(A113="","",IF(COUNTIF($R$6:$R$162,R113)&gt;1,"重复","唯一"))</f>
        <v/>
      </c>
      <c r="T113" s="70" t="inlineStr">
        <is>
          <t>cf0b3b648d56590f1e024553d224df35007358452ea16ad1651ae9af4a7dde49</t>
        </is>
      </c>
      <c r="U113" s="70" t="inlineStr">
        <is>
          <t>Codex</t>
        </is>
      </c>
      <c r="V113" s="130" t="n">
        <v>46236</v>
      </c>
      <c r="W113" s="70" t="inlineStr">
        <is>
          <t>原创程序几何</t>
        </is>
      </c>
      <c r="X113" s="70" t="inlineStr">
        <is>
          <t>玩家随身三灯通过 layer 1/2 隔离避免自身投影；角色网格恢复外部太阳光/室内灯投影，GI保持关闭；tests/verification/verify_tower_lighting_wall_combat_regressions.tscn</t>
        </is>
      </c>
    </row>
    <row r="114">
      <c r="A114" t="inlineStr">
        <is>
          <t>CHR-PLY-CAPSULE01-BODY-3D</t>
        </is>
      </c>
      <c r="B114" t="inlineStr">
        <is>
          <t>方形猫角色3D身躯</t>
        </is>
      </c>
      <c r="C114" t="inlineStr">
        <is>
          <t>角色</t>
        </is>
      </c>
      <c r="D114" t="inlineStr">
        <is>
          <t>player</t>
        </is>
      </c>
      <c r="E114" t="inlineStr">
        <is>
          <t>player_capsule01</t>
        </is>
      </c>
      <c r="F114" t="inlineStr">
        <is>
          <t>body_3d</t>
        </is>
      </c>
      <c r="G114" t="inlineStr">
        <is>
          <t>CHR-PLY-CAPSULE01-3D</t>
        </is>
      </c>
      <c r="H114" t="inlineStr">
        <is>
          <t>俯视3D</t>
        </is>
      </c>
      <c r="I114" t="inlineStr">
        <is>
          <t>default</t>
        </is>
      </c>
      <c r="J114" t="inlineStr">
        <is>
          <t>3D玩家场景</t>
        </is>
      </c>
      <c r="K114" t="inlineStr">
        <is>
          <t>原型已接入</t>
        </is>
      </c>
      <c r="L114" t="inlineStr">
        <is>
          <t>P0</t>
        </is>
      </c>
      <c r="M114" t="inlineStr">
        <is>
          <t>v001</t>
        </is>
      </c>
      <c r="N114" t="inlineStr">
        <is>
          <t>CapsuleMesh节点</t>
        </is>
      </c>
      <c r="O114" t="inlineStr">
        <is>
          <t>assets/art/characters/player/chr_player_capsule01_3d/chr_player_capsule01_root_top3d_v001.tscn</t>
        </is>
      </c>
      <c r="P114" t="inlineStr">
        <is>
          <t>VisualRoot/Body</t>
        </is>
      </c>
      <c r="Q114" t="inlineStr">
        <is>
          <t>身躯;防护服;无腿;3D</t>
        </is>
      </c>
      <c r="R114">
        <f>LOWER(TRIM(C114)&amp;"|"&amp;TRIM(D114)&amp;"|"&amp;TRIM(E114)&amp;"|"&amp;TRIM(F114)&amp;"|"&amp;TRIM(H114)&amp;"|"&amp;TRIM(I114))</f>
        <v/>
      </c>
      <c r="S114">
        <f>IF(A114="","",IF(COUNTIF($R$6:$R$162,R114)&gt;1,"重复","唯一"))</f>
        <v/>
      </c>
      <c r="T114" t="inlineStr">
        <is>
          <t>cf0b3b648d56590f1e024553d224df35007358452ea16ad1651ae9af4a7dde49</t>
        </is>
      </c>
      <c r="U114" t="inlineStr">
        <is>
          <t>Codex</t>
        </is>
      </c>
      <c r="V114" s="131" t="inlineStr">
        <is>
          <t>2026-07-25</t>
        </is>
      </c>
      <c r="W114" t="inlineStr">
        <is>
          <t>原创程序几何</t>
        </is>
      </c>
      <c r="X114" t="inlineStr">
        <is>
          <t>VisualRoot/Body：BoxMesh身躯、BellyPatch、圆形TailStub；v0.1方形猫原型；tests/verification/verify_player3d_diy_flow / gallery flow / visual PASS</t>
        </is>
      </c>
    </row>
    <row r="115">
      <c r="A115" t="inlineStr">
        <is>
          <t>CHR-PLY-CAPSULE01-HEAD-3D</t>
        </is>
      </c>
      <c r="B115" t="inlineStr">
        <is>
          <t>方形猫角色3D头部</t>
        </is>
      </c>
      <c r="C115" t="inlineStr">
        <is>
          <t>角色</t>
        </is>
      </c>
      <c r="D115" t="inlineStr">
        <is>
          <t>player</t>
        </is>
      </c>
      <c r="E115" t="inlineStr">
        <is>
          <t>player_capsule01</t>
        </is>
      </c>
      <c r="F115" t="inlineStr">
        <is>
          <t>head_3d</t>
        </is>
      </c>
      <c r="G115" t="inlineStr">
        <is>
          <t>CHR-PLY-CAPSULE01-3D</t>
        </is>
      </c>
      <c r="H115" t="inlineStr">
        <is>
          <t>俯视3D</t>
        </is>
      </c>
      <c r="I115" t="inlineStr">
        <is>
          <t>default</t>
        </is>
      </c>
      <c r="J115" t="inlineStr">
        <is>
          <t>3D玩家场景</t>
        </is>
      </c>
      <c r="K115" t="inlineStr">
        <is>
          <t>原型已接入</t>
        </is>
      </c>
      <c r="L115" t="inlineStr">
        <is>
          <t>P0</t>
        </is>
      </c>
      <c r="M115" t="inlineStr">
        <is>
          <t>v001</t>
        </is>
      </c>
      <c r="N115" t="inlineStr">
        <is>
          <t>SphereMesh节点</t>
        </is>
      </c>
      <c r="O115" t="inlineStr">
        <is>
          <t>assets/art/characters/player/chr_player_capsule01_3d/chr_player_capsule01_root_top3d_v001.tscn</t>
        </is>
      </c>
      <c r="P115" t="inlineStr">
        <is>
          <t>VisualRoot/Head</t>
        </is>
      </c>
      <c r="Q115" t="inlineStr">
        <is>
          <t>头壳;单传感器;3D</t>
        </is>
      </c>
      <c r="R115">
        <f>LOWER(TRIM(C115)&amp;"|"&amp;TRIM(D115)&amp;"|"&amp;TRIM(E115)&amp;"|"&amp;TRIM(F115)&amp;"|"&amp;TRIM(H115)&amp;"|"&amp;TRIM(I115))</f>
        <v/>
      </c>
      <c r="S115">
        <f>IF(A115="","",IF(COUNTIF($R$6:$R$162,R115)&gt;1,"重复","唯一"))</f>
        <v/>
      </c>
      <c r="T115" t="inlineStr">
        <is>
          <t>cf0b3b648d56590f1e024553d224df35007358452ea16ad1651ae9af4a7dde49</t>
        </is>
      </c>
      <c r="U115" t="inlineStr">
        <is>
          <t>Codex</t>
        </is>
      </c>
      <c r="V115" s="131" t="inlineStr">
        <is>
          <t>2026-07-25</t>
        </is>
      </c>
      <c r="W115" t="inlineStr">
        <is>
          <t>原创程序几何</t>
        </is>
      </c>
      <c r="X115" t="inlineStr">
        <is>
          <t>VisualRoot/Head：BoxMesh方头；Eyes双矩形眼；Ears双三角耳；v0.1方形猫原型；tests/verification/verify_player3d_diy_flow / gallery flow / visual PASS</t>
        </is>
      </c>
    </row>
    <row r="116">
      <c r="A116" t="inlineStr">
        <is>
          <t>CHR-PLY-CAPSULE01-HAND-3D</t>
        </is>
      </c>
      <c r="B116" t="inlineStr">
        <is>
          <t>方形猫角色3D唯一手部</t>
        </is>
      </c>
      <c r="C116" t="inlineStr">
        <is>
          <t>角色</t>
        </is>
      </c>
      <c r="D116" t="inlineStr">
        <is>
          <t>player</t>
        </is>
      </c>
      <c r="E116" t="inlineStr">
        <is>
          <t>player_capsule01</t>
        </is>
      </c>
      <c r="F116" t="inlineStr">
        <is>
          <t>hand_3d</t>
        </is>
      </c>
      <c r="G116" t="inlineStr">
        <is>
          <t>CHR-PLY-CAPSULE01-3D</t>
        </is>
      </c>
      <c r="H116" t="inlineStr">
        <is>
          <t>俯视3D</t>
        </is>
      </c>
      <c r="I116" t="inlineStr">
        <is>
          <t>default</t>
        </is>
      </c>
      <c r="J116" t="inlineStr">
        <is>
          <t>3D玩家场景</t>
        </is>
      </c>
      <c r="K116" t="inlineStr">
        <is>
          <t>原型已接入</t>
        </is>
      </c>
      <c r="L116" t="inlineStr">
        <is>
          <t>P0</t>
        </is>
      </c>
      <c r="M116" t="inlineStr">
        <is>
          <t>v001</t>
        </is>
      </c>
      <c r="N116" t="inlineStr">
        <is>
          <t>SphereMesh节点</t>
        </is>
      </c>
      <c r="O116" t="inlineStr">
        <is>
          <t>assets/art/characters/player/chr_player_capsule01_3d/chr_player_capsule01_root_top3d_v001.tscn</t>
        </is>
      </c>
      <c r="P116" t="inlineStr">
        <is>
          <t>VisualRoot/Hand</t>
        </is>
      </c>
      <c r="Q116" t="inlineStr">
        <is>
          <t>单手;悬浮手;握持;3D</t>
        </is>
      </c>
      <c r="R116">
        <f>LOWER(TRIM(C116)&amp;"|"&amp;TRIM(D116)&amp;"|"&amp;TRIM(E116)&amp;"|"&amp;TRIM(F116)&amp;"|"&amp;TRIM(H116)&amp;"|"&amp;TRIM(I116))</f>
        <v/>
      </c>
      <c r="S116">
        <f>IF(A116="","",IF(COUNTIF($R$6:$R$162,R116)&gt;1,"重复","唯一"))</f>
        <v/>
      </c>
      <c r="T116" t="inlineStr">
        <is>
          <t>cf0b3b648d56590f1e024553d224df35007358452ea16ad1651ae9af4a7dde49</t>
        </is>
      </c>
      <c r="U116" t="inlineStr">
        <is>
          <t>Codex</t>
        </is>
      </c>
      <c r="V116" s="131" t="inlineStr">
        <is>
          <t>2026-07-25</t>
        </is>
      </c>
      <c r="W116" t="inlineStr">
        <is>
          <t>原创程序几何</t>
        </is>
      </c>
      <c r="X116" t="inlineStr">
        <is>
          <t>VisualRoot/Hand：单个BoxMesh悬浮握持手；全动作与weapon_socket同相；v0.1方形猫原型；tests/verification/verify_player3d_diy_flow / gallery flow / visual PASS</t>
        </is>
      </c>
    </row>
    <row r="117">
      <c r="A117" t="inlineStr">
        <is>
          <t>CHR-PLY-CAPSULE01-SCARF-3D</t>
        </is>
      </c>
      <c r="B117" t="inlineStr">
        <is>
          <t>旧3D红围巾兼容节点</t>
        </is>
      </c>
      <c r="C117" t="inlineStr">
        <is>
          <t>角色</t>
        </is>
      </c>
      <c r="D117" t="inlineStr">
        <is>
          <t>player</t>
        </is>
      </c>
      <c r="E117" t="inlineStr">
        <is>
          <t>player_capsule01</t>
        </is>
      </c>
      <c r="F117" t="inlineStr">
        <is>
          <t>scarf_3d</t>
        </is>
      </c>
      <c r="G117" t="inlineStr">
        <is>
          <t>CHR-PLY-CAPSULE01-3D</t>
        </is>
      </c>
      <c r="H117" t="inlineStr">
        <is>
          <t>俯视3D</t>
        </is>
      </c>
      <c r="I117" t="inlineStr">
        <is>
          <t>default</t>
        </is>
      </c>
      <c r="J117" t="inlineStr">
        <is>
          <t>3D玩家场景</t>
        </is>
      </c>
      <c r="K117" t="inlineStr">
        <is>
          <t>原型已接入</t>
        </is>
      </c>
      <c r="L117" t="inlineStr">
        <is>
          <t>P0</t>
        </is>
      </c>
      <c r="M117" t="inlineStr">
        <is>
          <t>v001</t>
        </is>
      </c>
      <c r="N117" t="inlineStr">
        <is>
          <t>Cylinder+Box节点</t>
        </is>
      </c>
      <c r="O117" t="inlineStr">
        <is>
          <t>assets/art/characters/player/chr_player_capsule01_3d/chr_player_capsule01_root_top3d_v001.tscn</t>
        </is>
      </c>
      <c r="P117" t="inlineStr">
        <is>
          <t>VisualRoot/Scarf</t>
        </is>
      </c>
      <c r="Q117" t="inlineStr">
        <is>
          <t>红围巾;身份配件;3D</t>
        </is>
      </c>
      <c r="R117">
        <f>LOWER(TRIM(C117)&amp;"|"&amp;TRIM(D117)&amp;"|"&amp;TRIM(E117)&amp;"|"&amp;TRIM(F117)&amp;"|"&amp;TRIM(H117)&amp;"|"&amp;TRIM(I117))</f>
        <v/>
      </c>
      <c r="S117">
        <f>IF(A117="","",IF(COUNTIF($R$6:$R$162,R117)&gt;1,"重复","唯一"))</f>
        <v/>
      </c>
      <c r="T117" t="inlineStr">
        <is>
          <t>cf0b3b648d56590f1e024553d224df35007358452ea16ad1651ae9af4a7dde49</t>
        </is>
      </c>
      <c r="U117" t="inlineStr">
        <is>
          <t>Codex</t>
        </is>
      </c>
      <c r="V117" s="131" t="inlineStr">
        <is>
          <t>2026-07-25</t>
        </is>
      </c>
      <c r="W117" t="inlineStr">
        <is>
          <t>原创程序几何</t>
        </is>
      </c>
      <c r="X117" t="inlineStr">
        <is>
          <t>VisualRoot/Scarf默认隐藏，仅为旧场景兼容；当前四主模块不计入scarf；v0.1方形猫原型；tests/verification/verify_player3d_diy_flow / gallery flow / visual PASS</t>
        </is>
      </c>
    </row>
    <row r="118">
      <c r="A118" t="inlineStr">
        <is>
          <t>CHR-PLY-CAPSULE01-WEAPON-SOCKET-3D</t>
        </is>
      </c>
      <c r="B118" t="inlineStr">
        <is>
          <t>方形猫角色3D武器挂点</t>
        </is>
      </c>
      <c r="C118" t="inlineStr">
        <is>
          <t>角色</t>
        </is>
      </c>
      <c r="D118" t="inlineStr">
        <is>
          <t>player</t>
        </is>
      </c>
      <c r="E118" t="inlineStr">
        <is>
          <t>player_capsule01</t>
        </is>
      </c>
      <c r="F118" t="inlineStr">
        <is>
          <t>weapon_socket_3d</t>
        </is>
      </c>
      <c r="G118" t="inlineStr">
        <is>
          <t>CHR-PLY-CAPSULE01-3D</t>
        </is>
      </c>
      <c r="H118" t="inlineStr">
        <is>
          <t>俯视3D</t>
        </is>
      </c>
      <c r="I118" t="inlineStr">
        <is>
          <t>default</t>
        </is>
      </c>
      <c r="J118" t="inlineStr">
        <is>
          <t>武器系统</t>
        </is>
      </c>
      <c r="K118" t="inlineStr">
        <is>
          <t>原型已接入</t>
        </is>
      </c>
      <c r="L118" t="inlineStr">
        <is>
          <t>P0</t>
        </is>
      </c>
      <c r="M118" t="inlineStr">
        <is>
          <t>v001</t>
        </is>
      </c>
      <c r="N118" t="inlineStr">
        <is>
          <t>Marker3D</t>
        </is>
      </c>
      <c r="O118" t="inlineStr">
        <is>
          <t>assets/art/characters/player/chr_player_capsule01_3d/chr_player_capsule01_root_top3d_v001.tscn</t>
        </is>
      </c>
      <c r="P118" t="inlineStr">
        <is>
          <t>VisualRoot/WeaponSocket</t>
        </is>
      </c>
      <c r="Q118" t="inlineStr">
        <is>
          <t>武器挂点;Marker3D;瞄准</t>
        </is>
      </c>
      <c r="R118">
        <f>LOWER(TRIM(C118)&amp;"|"&amp;TRIM(D118)&amp;"|"&amp;TRIM(E118)&amp;"|"&amp;TRIM(F118)&amp;"|"&amp;TRIM(H118)&amp;"|"&amp;TRIM(I118))</f>
        <v/>
      </c>
      <c r="S118">
        <f>IF(A118="","",IF(COUNTIF($R$6:$R$162,R118)&gt;1,"重复","唯一"))</f>
        <v/>
      </c>
      <c r="T118" t="inlineStr">
        <is>
          <t>cf0b3b648d56590f1e024553d224df35007358452ea16ad1651ae9af4a7dde49</t>
        </is>
      </c>
      <c r="U118" t="inlineStr">
        <is>
          <t>Codex</t>
        </is>
      </c>
      <c r="V118" s="131" t="inlineStr">
        <is>
          <t>2026-07-25</t>
        </is>
      </c>
      <c r="W118" t="inlineStr">
        <is>
          <t>原创逻辑挂点</t>
        </is>
      </c>
      <c r="X118" t="inlineStr">
        <is>
          <t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</t>
        </is>
      </c>
    </row>
    <row r="119">
      <c r="A119" t="inlineStr">
        <is>
          <t>ENV-BASE-WORLD-KIT-3D</t>
        </is>
      </c>
      <c r="B119" t="inlineStr">
        <is>
          <t>入口基地3D环境套件</t>
        </is>
      </c>
      <c r="C119" t="inlineStr">
        <is>
          <t>场景</t>
        </is>
      </c>
      <c r="D119" t="inlineStr">
        <is>
          <t>base</t>
        </is>
      </c>
      <c r="E119" t="inlineStr">
        <is>
          <t>base_world</t>
        </is>
      </c>
      <c r="F119" t="inlineStr">
        <is>
          <t>root_3d</t>
        </is>
      </c>
      <c r="G119" t="inlineStr">
        <is>
          <t>ENV-BASE-WORLD-KIT</t>
        </is>
      </c>
      <c r="H119" t="inlineStr">
        <is>
          <t>俯视3D</t>
        </is>
      </c>
      <c r="I119" t="inlineStr">
        <is>
          <t>default</t>
        </is>
      </c>
      <c r="J119" t="inlineStr">
        <is>
          <t>入口基地地图</t>
        </is>
      </c>
      <c r="K119" t="inlineStr">
        <is>
          <t>原型已接入</t>
        </is>
      </c>
      <c r="L119" t="inlineStr">
        <is>
          <t>P0</t>
        </is>
      </c>
      <c r="M119" t="inlineStr">
        <is>
          <t>v001</t>
        </is>
      </c>
      <c r="N119" t="inlineStr">
        <is>
          <t>约1:100迁移/程序几何</t>
        </is>
      </c>
      <c r="O119" t="inlineStr">
        <is>
          <t>assets/art/environments/base_world_3d/env_base_world_kit_top3d_v001.tscn</t>
        </is>
      </c>
      <c r="P119" t="inlineStr">
        <is>
          <t>scenes/BaseWorld3D.tscn</t>
        </is>
      </c>
      <c r="Q119" t="inlineStr">
        <is>
          <t>基地;道路;废墟;3D;入口地图</t>
        </is>
      </c>
      <c r="R119">
        <f>LOWER(TRIM(C119)&amp;"|"&amp;TRIM(D119)&amp;"|"&amp;TRIM(E119)&amp;"|"&amp;TRIM(F119)&amp;"|"&amp;TRIM(H119)&amp;"|"&amp;TRIM(I119))</f>
        <v/>
      </c>
      <c r="S119">
        <f>IF(A119="","",IF(COUNTIF($R$6:$R$162,R119)&gt;1,"重复","唯一"))</f>
        <v/>
      </c>
      <c r="T119" t="inlineStr">
        <is>
          <t>63c840d59bcecefab946690136474c9ca7b70408fb7b6bcc264819f9b66f14a5</t>
        </is>
      </c>
      <c r="U119" t="inlineStr">
        <is>
          <t>Codex</t>
        </is>
      </c>
      <c r="V119" s="131" t="n">
        <v>46224</v>
      </c>
      <c r="W119" t="inlineStr">
        <is>
          <t>原创程序几何</t>
        </is>
      </c>
      <c r="X119" t="inlineStr">
        <is>
          <t>保留原2D布局语义；首张3D迁移地图</t>
        </is>
      </c>
    </row>
    <row r="120" ht="155" customHeight="1">
      <c r="A120" s="70" t="inlineStr">
        <is>
          <t>PRP-BASE-FACILITY-3D</t>
        </is>
      </c>
      <c r="B120" s="70" t="inlineStr">
        <is>
          <t>基地设施3D通用模块</t>
        </is>
      </c>
      <c r="C120" s="70" t="inlineStr">
        <is>
          <t>场景道具</t>
        </is>
      </c>
      <c r="D120" s="70" t="inlineStr">
        <is>
          <t>facility</t>
        </is>
      </c>
      <c r="E120" s="70" t="inlineStr">
        <is>
          <t>base_facility_module</t>
        </is>
      </c>
      <c r="F120" s="70" t="inlineStr">
        <is>
          <t>root_3d</t>
        </is>
      </c>
      <c r="G120" s="70" t="inlineStr">
        <is>
          <t>ENV-BASE-WORLD-KIT-3D</t>
        </is>
      </c>
      <c r="H120" s="70" t="inlineStr">
        <is>
          <t>俯视3D</t>
        </is>
      </c>
      <c r="I120" s="70" t="inlineStr">
        <is>
          <t>default</t>
        </is>
      </c>
      <c r="J120" s="70" t="inlineStr">
        <is>
          <t>8类基地设施/统一状态牌</t>
        </is>
      </c>
      <c r="K120" s="70" t="inlineStr">
        <is>
          <t>原型已接入</t>
        </is>
      </c>
      <c r="L120" s="70" t="inlineStr">
        <is>
          <t>P0</t>
        </is>
      </c>
      <c r="M120" s="70" t="inlineStr">
        <is>
          <t>v001</t>
        </is>
      </c>
      <c r="N120" s="70" t="inlineStr">
        <is>
          <t>PackedScene/材质变体/名称与实时摘要共用Label3D</t>
        </is>
      </c>
      <c r="O120" s="70" t="inlineStr">
        <is>
          <t>assets/art/props/base_world_3d/prp_base_facility_root_top3d_v001.tscn</t>
        </is>
      </c>
      <c r="P120" s="70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120" s="70" t="inlineStr">
        <is>
          <t>设施;交互;信标;3D;facility_id;实时摘要;状态牌;共享目录</t>
        </is>
      </c>
      <c r="R120" s="70">
        <f>LOWER(TRIM(C120)&amp;"|"&amp;TRIM(D120)&amp;"|"&amp;TRIM(E120)&amp;"|"&amp;TRIM(F120)&amp;"|"&amp;TRIM(H120)&amp;"|"&amp;TRIM(I120))</f>
        <v/>
      </c>
      <c r="S120" s="70">
        <f>IF(A120="","",IF(COUNTIF($R$6:$R$162,R120)&gt;1,"重复","唯一"))</f>
        <v/>
      </c>
      <c r="T120" s="70" t="inlineStr">
        <is>
          <t>18921dbda4e5997f5c49c6efa66b7af030310d5d086b60fe476e8f0e664e104e</t>
        </is>
      </c>
      <c r="U120" s="70" t="inlineStr">
        <is>
          <t>Codex</t>
        </is>
      </c>
      <c r="V120" s="130" t="n">
        <v>46240</v>
      </c>
      <c r="W120" s="70" t="inlineStr">
        <is>
          <t>原创程序几何</t>
        </is>
      </c>
      <c r="X120" s="70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</t>
        </is>
      </c>
    </row>
    <row r="121">
      <c r="A121" t="inlineStr">
        <is>
          <t>PRP-DUNGEON-GATE-3D</t>
        </is>
      </c>
      <c r="B121" t="inlineStr">
        <is>
          <t>地下城入口3D模块</t>
        </is>
      </c>
      <c r="C121" t="inlineStr">
        <is>
          <t>场景道具</t>
        </is>
      </c>
      <c r="D121" t="inlineStr">
        <is>
          <t>door</t>
        </is>
      </c>
      <c r="E121" t="inlineStr">
        <is>
          <t>dungeon_gate</t>
        </is>
      </c>
      <c r="F121" t="inlineStr">
        <is>
          <t>root_3d</t>
        </is>
      </c>
      <c r="G121" t="inlineStr">
        <is>
          <t>PRP-DUNGEON-GATE</t>
        </is>
      </c>
      <c r="H121" t="inlineStr">
        <is>
          <t>俯视3D</t>
        </is>
      </c>
      <c r="I121" t="inlineStr">
        <is>
          <t>default</t>
        </is>
      </c>
      <c r="J121" t="inlineStr">
        <is>
          <t>4个地下城入口</t>
        </is>
      </c>
      <c r="K121" t="inlineStr">
        <is>
          <t>原型已接入</t>
        </is>
      </c>
      <c r="L121" t="inlineStr">
        <is>
          <t>P0</t>
        </is>
      </c>
      <c r="M121" t="inlineStr">
        <is>
          <t>v001</t>
        </is>
      </c>
      <c r="N121" t="inlineStr">
        <is>
          <t>PackedScene/材质变体</t>
        </is>
      </c>
      <c r="O121" t="inlineStr">
        <is>
          <t>assets/art/props/base_world_3d/prp_dungeon_gate_root_top3d_v001.tscn</t>
        </is>
      </c>
      <c r="P121" t="inlineStr">
        <is>
          <t>src/base3d/DungeonEntrance3D.gd</t>
        </is>
      </c>
      <c r="Q121" t="inlineStr">
        <is>
          <t>地下城;门;交互;3D</t>
        </is>
      </c>
      <c r="R121">
        <f>LOWER(TRIM(C121)&amp;"|"&amp;TRIM(D121)&amp;"|"&amp;TRIM(E121)&amp;"|"&amp;TRIM(F121)&amp;"|"&amp;TRIM(H121)&amp;"|"&amp;TRIM(I121))</f>
        <v/>
      </c>
      <c r="S121">
        <f>IF(A121="","",IF(COUNTIF($R$6:$R$162,R121)&gt;1,"重复","唯一"))</f>
        <v/>
      </c>
      <c r="T121" t="inlineStr">
        <is>
          <t>1fc802ceb8caef1ce77a54958a8b5e82a0fcae37459106fee970c8941146ba8f</t>
        </is>
      </c>
      <c r="U121" t="inlineStr">
        <is>
          <t>Codex</t>
        </is>
      </c>
      <c r="V121" s="131" t="n">
        <v>46224</v>
      </c>
      <c r="W121" t="inlineStr">
        <is>
          <t>原创程序几何</t>
        </is>
      </c>
      <c r="X121" t="inlineStr">
        <is>
          <t>保持旧入口ID与目标场景；地下城内部暂保留2D</t>
        </is>
      </c>
    </row>
    <row r="122">
      <c r="A122" t="inlineStr">
        <is>
          <t>ENV-BASE-WORLD-3D-PREVIEW</t>
        </is>
      </c>
      <c r="B122" t="inlineStr">
        <is>
          <t>入口基地3D验收预览</t>
        </is>
      </c>
      <c r="C122" t="inlineStr">
        <is>
          <t>场景</t>
        </is>
      </c>
      <c r="D122" t="inlineStr">
        <is>
          <t>review_board</t>
        </is>
      </c>
      <c r="E122" t="inlineStr">
        <is>
          <t>base_world</t>
        </is>
      </c>
      <c r="F122" t="inlineStr">
        <is>
          <t>preview_3d</t>
        </is>
      </c>
      <c r="G122" t="inlineStr">
        <is>
          <t>ENV-BASE-WORLD-KIT-3D</t>
        </is>
      </c>
      <c r="H122" t="inlineStr">
        <is>
          <t>俯视3D</t>
        </is>
      </c>
      <c r="I122" t="inlineStr">
        <is>
          <t>default</t>
        </is>
      </c>
      <c r="J122" t="inlineStr">
        <is>
          <t>评审与资产QA</t>
        </is>
      </c>
      <c r="K122" t="inlineStr">
        <is>
          <t>已完成</t>
        </is>
      </c>
      <c r="L122" t="inlineStr">
        <is>
          <t>P1</t>
        </is>
      </c>
      <c r="M122" t="inlineStr">
        <is>
          <t>v001</t>
        </is>
      </c>
      <c r="N122" t="inlineStr">
        <is>
          <t>1280×720 PNG</t>
        </is>
      </c>
      <c r="O122" t="inlineStr">
        <is>
          <t>assets/art/environments/base_world_3d/env_base_world_preview_top3d_v001.png</t>
        </is>
      </c>
      <c r="P122" t="inlineStr">
        <is>
          <t>tests/verification/verify_base_world_3d_visual.tscn</t>
        </is>
      </c>
      <c r="Q122" t="inlineStr">
        <is>
          <t>3D预览;评审;入口地图</t>
        </is>
      </c>
      <c r="R122">
        <f>LOWER(TRIM(C122)&amp;"|"&amp;TRIM(D122)&amp;"|"&amp;TRIM(E122)&amp;"|"&amp;TRIM(F122)&amp;"|"&amp;TRIM(H122)&amp;"|"&amp;TRIM(I122))</f>
        <v/>
      </c>
      <c r="S122">
        <f>IF(A122="","",IF(COUNTIF($R$6:$R$162,R122)&gt;1,"重复","唯一"))</f>
        <v/>
      </c>
      <c r="T122" t="inlineStr">
        <is>
          <t>7dc3ff5d1bb5942c8340359bfa6d55374604dfbc9fc8b2a23b68a3079fac2e01</t>
        </is>
      </c>
      <c r="U122" t="inlineStr">
        <is>
          <t>Codex</t>
        </is>
      </c>
      <c r="V122" s="131" t="n">
        <v>46224</v>
      </c>
      <c r="W122" t="inlineStr">
        <is>
          <t>项目运行截图</t>
        </is>
      </c>
      <c r="X122" t="inlineStr">
        <is>
          <t>用于检查3D布局、镜头、组件比例与交互可读性</t>
        </is>
      </c>
    </row>
    <row r="123" ht="155" customHeight="1">
      <c r="A123" s="70" t="inlineStr">
        <is>
          <t>ENV-DUNGEON-RUNTIME-3D</t>
        </is>
      </c>
      <c r="B123" s="70" t="inlineStr">
        <is>
          <t>3D随机关卡通用房间套件</t>
        </is>
      </c>
      <c r="C123" s="70" t="inlineStr">
        <is>
          <t>场景</t>
        </is>
      </c>
      <c r="D123" s="70" t="inlineStr">
        <is>
          <t>room</t>
        </is>
      </c>
      <c r="E123" s="70" t="inlineStr">
        <is>
          <t>dungeon_runtime</t>
        </is>
      </c>
      <c r="F123" s="70" t="inlineStr">
        <is>
          <t>root_3d</t>
        </is>
      </c>
      <c r="G123" s="70" t="n"/>
      <c r="H123" s="70" t="inlineStr">
        <is>
          <t>俯视3D</t>
        </is>
      </c>
      <c r="I123" s="70" t="inlineStr">
        <is>
          <t>default</t>
        </is>
      </c>
      <c r="J123" s="70" t="inlineStr">
        <is>
          <t>四主题副本/随机房间</t>
        </is>
      </c>
      <c r="K123" s="70" t="inlineStr">
        <is>
          <t>原型已接入</t>
        </is>
      </c>
      <c r="L123" s="70" t="inlineStr">
        <is>
          <t>P0</t>
        </is>
      </c>
      <c r="M123" s="70" t="inlineStr">
        <is>
          <t>v001</t>
        </is>
      </c>
      <c r="N123" s="70" t="inlineStr">
        <is>
          <t>PackedScene/三档程序几何</t>
        </is>
      </c>
      <c r="O123" s="70" t="inlineStr">
        <is>
          <t>assets/art/environments/dungeon_3d/env_dungeon_runtime_kit_top3d_v001.tscn</t>
        </is>
      </c>
      <c r="P123" s="70" t="inlineStr">
        <is>
          <t>src/world3d/DungeonRoom3D.gd</t>
        </is>
      </c>
      <c r="Q123" s="70" t="inlineStr">
        <is>
          <t>房间;门洞;走廊;随机地图;3D</t>
        </is>
      </c>
      <c r="R123" s="70">
        <f>LOWER(TRIM(C123)&amp;"|"&amp;TRIM(D123)&amp;"|"&amp;TRIM(E123)&amp;"|"&amp;TRIM(F123)&amp;"|"&amp;TRIM(H123)&amp;"|"&amp;TRIM(I123))</f>
        <v/>
      </c>
      <c r="S123" s="70">
        <f>IF(A123="","",IF(COUNTIF($R$6:$R$162,R123)&gt;1,"重复","唯一"))</f>
        <v/>
      </c>
      <c r="T123" s="70" t="inlineStr">
        <is>
          <t>fc33ac084150c3e3cbba89505b3e04f35712abbceaa5cec297c94fe4d7dcc2f3</t>
        </is>
      </c>
      <c r="U123" s="70" t="inlineStr">
        <is>
          <t>Codex</t>
        </is>
      </c>
      <c r="V123" s="130" t="n">
        <v>46233</v>
      </c>
      <c r="W123" s="70" t="inlineStr">
        <is>
          <t>原创程序几何</t>
        </is>
      </c>
      <c r="X123" s="70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124" ht="34" customHeight="1">
      <c r="A124" s="63" t="inlineStr">
        <is>
          <t>ENV-DUNGEON-IRON-FRONTIER-3D</t>
        </is>
      </c>
      <c r="B124" s="63" t="inlineStr">
        <is>
          <t>冷钢边境3D主题资源</t>
        </is>
      </c>
      <c r="C124" s="63" t="inlineStr">
        <is>
          <t>场景</t>
        </is>
      </c>
      <c r="D124" s="63" t="inlineStr">
        <is>
          <t>biome</t>
        </is>
      </c>
      <c r="E124" s="63" t="inlineStr">
        <is>
          <t>iron_frontier</t>
        </is>
      </c>
      <c r="F124" s="63" t="inlineStr">
        <is>
          <t>theme_3d</t>
        </is>
      </c>
      <c r="G124" s="63" t="inlineStr">
        <is>
          <t>ENV-DUNGEON-RUNTIME-3D</t>
        </is>
      </c>
      <c r="H124" s="63" t="inlineStr">
        <is>
          <t>俯视3D</t>
        </is>
      </c>
      <c r="I124" s="63" t="inlineStr">
        <is>
          <t>default</t>
        </is>
      </c>
      <c r="J124" s="63" t="inlineStr">
        <is>
          <t>冷钢边境</t>
        </is>
      </c>
      <c r="K124" s="63" t="inlineStr">
        <is>
          <t>原型已接入</t>
        </is>
      </c>
      <c r="L124" s="63" t="inlineStr">
        <is>
          <t>P0</t>
        </is>
      </c>
      <c r="M124" s="63" t="inlineStr">
        <is>
          <t>v001</t>
        </is>
      </c>
      <c r="N124" s="63" t="inlineStr">
        <is>
          <t>DungeonTheme3D Resource</t>
        </is>
      </c>
      <c r="O124" s="63" t="inlineStr">
        <is>
          <t>assets/art/environments/dungeon_3d/env_iron_frontier_kit_top3d_v001.tres</t>
        </is>
      </c>
      <c r="P124" s="63" t="inlineStr">
        <is>
          <t>scenes/levels3d/IronFrontier3D.tscn</t>
        </is>
      </c>
      <c r="Q124" s="63" t="inlineStr">
        <is>
          <t>冷钢;冷蓝;边境;雾;灯光</t>
        </is>
      </c>
      <c r="R124" s="63">
        <f>LOWER(TRIM(C124)&amp;"|"&amp;TRIM(D124)&amp;"|"&amp;TRIM(E124)&amp;"|"&amp;TRIM(F124)&amp;"|"&amp;TRIM(H124)&amp;"|"&amp;TRIM(I124))</f>
        <v/>
      </c>
      <c r="S124" s="63">
        <f>IF(A124="","",IF(COUNTIF($R$6:$R$162,R124)&gt;1,"重复","唯一"))</f>
        <v/>
      </c>
      <c r="T124" s="63" t="inlineStr">
        <is>
          <t>a3c6e7e5433928b790e1fa0fe5124beaeb5ab579f2d376aa35a1be25b6736b58</t>
        </is>
      </c>
      <c r="U124" s="63" t="inlineStr">
        <is>
          <t>Codex</t>
        </is>
      </c>
      <c r="V124" s="132" t="n">
        <v>46224</v>
      </c>
      <c r="W124" s="63" t="inlineStr">
        <is>
          <t>原创程序配置</t>
        </is>
      </c>
      <c r="X124" s="63" t="inlineStr">
        <is>
          <t>只保存3D色彩/雾/灯光/家具倾向；玩法读取MapThemeProfile</t>
        </is>
      </c>
    </row>
    <row r="125" ht="34" customHeight="1">
      <c r="A125" s="63" t="inlineStr">
        <is>
          <t>ENV-DUNGEON-RUST-FOUNDRY-3D</t>
        </is>
      </c>
      <c r="B125" s="63" t="inlineStr">
        <is>
          <t>锈蚀铸造厂3D主题资源</t>
        </is>
      </c>
      <c r="C125" s="63" t="inlineStr">
        <is>
          <t>场景</t>
        </is>
      </c>
      <c r="D125" s="63" t="inlineStr">
        <is>
          <t>biome</t>
        </is>
      </c>
      <c r="E125" s="63" t="inlineStr">
        <is>
          <t>rust_foundry</t>
        </is>
      </c>
      <c r="F125" s="63" t="inlineStr">
        <is>
          <t>theme_3d</t>
        </is>
      </c>
      <c r="G125" s="63" t="inlineStr">
        <is>
          <t>ENV-DUNGEON-RUNTIME-3D</t>
        </is>
      </c>
      <c r="H125" s="63" t="inlineStr">
        <is>
          <t>俯视3D</t>
        </is>
      </c>
      <c r="I125" s="63" t="inlineStr">
        <is>
          <t>default</t>
        </is>
      </c>
      <c r="J125" s="63" t="inlineStr">
        <is>
          <t>锈蚀铸造厂</t>
        </is>
      </c>
      <c r="K125" s="63" t="inlineStr">
        <is>
          <t>原型已接入</t>
        </is>
      </c>
      <c r="L125" s="63" t="inlineStr">
        <is>
          <t>P0</t>
        </is>
      </c>
      <c r="M125" s="63" t="inlineStr">
        <is>
          <t>v001</t>
        </is>
      </c>
      <c r="N125" s="63" t="inlineStr">
        <is>
          <t>DungeonTheme3D Resource</t>
        </is>
      </c>
      <c r="O125" s="63" t="inlineStr">
        <is>
          <t>assets/art/environments/dungeon_3d/env_rust_foundry_kit_top3d_v001.tres</t>
        </is>
      </c>
      <c r="P125" s="63" t="inlineStr">
        <is>
          <t>scenes/levels3d/RustFoundry3D.tscn</t>
        </is>
      </c>
      <c r="Q125" s="63" t="inlineStr">
        <is>
          <t>锈蚀;铸造;橙光;工业</t>
        </is>
      </c>
      <c r="R125" s="63">
        <f>LOWER(TRIM(C125)&amp;"|"&amp;TRIM(D125)&amp;"|"&amp;TRIM(E125)&amp;"|"&amp;TRIM(F125)&amp;"|"&amp;TRIM(H125)&amp;"|"&amp;TRIM(I125))</f>
        <v/>
      </c>
      <c r="S125" s="63">
        <f>IF(A125="","",IF(COUNTIF($R$6:$R$162,R125)&gt;1,"重复","唯一"))</f>
        <v/>
      </c>
      <c r="T125" s="63" t="inlineStr">
        <is>
          <t>0c14c1dd5a5b8edcb51fa5bb024666d845611bfd87c3c4ee0ded56c4614010a8</t>
        </is>
      </c>
      <c r="U125" s="63" t="inlineStr">
        <is>
          <t>Codex</t>
        </is>
      </c>
      <c r="V125" s="132" t="n">
        <v>46224</v>
      </c>
      <c r="W125" s="63" t="inlineStr">
        <is>
          <t>原创程序配置</t>
        </is>
      </c>
      <c r="X125" s="63" t="inlineStr">
        <is>
          <t>复用通用房间根；主题资源不复制玩法规则</t>
        </is>
      </c>
    </row>
    <row r="126" ht="34" customHeight="1">
      <c r="A126" s="63" t="inlineStr">
        <is>
          <t>ENV-DUNGEON-SPORE-DEPTHS-3D</t>
        </is>
      </c>
      <c r="B126" s="63" t="inlineStr">
        <is>
          <t>孢子深层3D主题资源</t>
        </is>
      </c>
      <c r="C126" s="63" t="inlineStr">
        <is>
          <t>场景</t>
        </is>
      </c>
      <c r="D126" s="63" t="inlineStr">
        <is>
          <t>biome</t>
        </is>
      </c>
      <c r="E126" s="63" t="inlineStr">
        <is>
          <t>spore_depths</t>
        </is>
      </c>
      <c r="F126" s="63" t="inlineStr">
        <is>
          <t>theme_3d</t>
        </is>
      </c>
      <c r="G126" s="63" t="inlineStr">
        <is>
          <t>ENV-DUNGEON-RUNTIME-3D</t>
        </is>
      </c>
      <c r="H126" s="63" t="inlineStr">
        <is>
          <t>俯视3D</t>
        </is>
      </c>
      <c r="I126" s="63" t="inlineStr">
        <is>
          <t>default</t>
        </is>
      </c>
      <c r="J126" s="63" t="inlineStr">
        <is>
          <t>孢子深层</t>
        </is>
      </c>
      <c r="K126" s="63" t="inlineStr">
        <is>
          <t>原型已接入</t>
        </is>
      </c>
      <c r="L126" s="63" t="inlineStr">
        <is>
          <t>P0</t>
        </is>
      </c>
      <c r="M126" s="63" t="inlineStr">
        <is>
          <t>v001</t>
        </is>
      </c>
      <c r="N126" s="63" t="inlineStr">
        <is>
          <t>DungeonTheme3D Resource</t>
        </is>
      </c>
      <c r="O126" s="63" t="inlineStr">
        <is>
          <t>assets/art/environments/dungeon_3d/env_spore_depths_kit_top3d_v001.tres</t>
        </is>
      </c>
      <c r="P126" s="63" t="inlineStr">
        <is>
          <t>scenes/levels3d/SporeDepths3D.tscn</t>
        </is>
      </c>
      <c r="Q126" s="63" t="inlineStr">
        <is>
          <t>孢子;病绿;地下;异化</t>
        </is>
      </c>
      <c r="R126" s="63">
        <f>LOWER(TRIM(C126)&amp;"|"&amp;TRIM(D126)&amp;"|"&amp;TRIM(E126)&amp;"|"&amp;TRIM(F126)&amp;"|"&amp;TRIM(H126)&amp;"|"&amp;TRIM(I126))</f>
        <v/>
      </c>
      <c r="S126" s="63">
        <f>IF(A126="","",IF(COUNTIF($R$6:$R$162,R126)&gt;1,"重复","唯一"))</f>
        <v/>
      </c>
      <c r="T126" s="63" t="inlineStr">
        <is>
          <t>bbd5cc04028e3962ce9eb8ea04c1c06157d128b5dbad1cea64bed7b4a02e7689</t>
        </is>
      </c>
      <c r="U126" s="63" t="inlineStr">
        <is>
          <t>Codex</t>
        </is>
      </c>
      <c r="V126" s="132" t="n">
        <v>46224</v>
      </c>
      <c r="W126" s="63" t="inlineStr">
        <is>
          <t>原创程序配置</t>
        </is>
      </c>
      <c r="X126" s="63" t="inlineStr">
        <is>
          <t>复用通用房间根；主题资源不复制玩法规则</t>
        </is>
      </c>
    </row>
    <row r="127" ht="34" customHeight="1">
      <c r="A127" s="63" t="inlineStr">
        <is>
          <t>ENV-DUNGEON-ABYSS-ARCHIVE-3D</t>
        </is>
      </c>
      <c r="B127" s="63" t="inlineStr">
        <is>
          <t>深渊档案库3D主题资源</t>
        </is>
      </c>
      <c r="C127" s="63" t="inlineStr">
        <is>
          <t>场景</t>
        </is>
      </c>
      <c r="D127" s="63" t="inlineStr">
        <is>
          <t>biome</t>
        </is>
      </c>
      <c r="E127" s="63" t="inlineStr">
        <is>
          <t>abyss_archive</t>
        </is>
      </c>
      <c r="F127" s="63" t="inlineStr">
        <is>
          <t>theme_3d</t>
        </is>
      </c>
      <c r="G127" s="63" t="inlineStr">
        <is>
          <t>ENV-DUNGEON-RUNTIME-3D</t>
        </is>
      </c>
      <c r="H127" s="63" t="inlineStr">
        <is>
          <t>俯视3D</t>
        </is>
      </c>
      <c r="I127" s="63" t="inlineStr">
        <is>
          <t>default</t>
        </is>
      </c>
      <c r="J127" s="63" t="inlineStr">
        <is>
          <t>深渊档案库</t>
        </is>
      </c>
      <c r="K127" s="63" t="inlineStr">
        <is>
          <t>原型已接入</t>
        </is>
      </c>
      <c r="L127" s="63" t="inlineStr">
        <is>
          <t>P0</t>
        </is>
      </c>
      <c r="M127" s="63" t="inlineStr">
        <is>
          <t>v001</t>
        </is>
      </c>
      <c r="N127" s="63" t="inlineStr">
        <is>
          <t>DungeonTheme3D Resource</t>
        </is>
      </c>
      <c r="O127" s="63" t="inlineStr">
        <is>
          <t>assets/art/environments/dungeon_3d/env_abyss_archive_kit_top3d_v001.tres</t>
        </is>
      </c>
      <c r="P127" s="63" t="inlineStr">
        <is>
          <t>scenes/levels3d/AbyssArchive3D.tscn</t>
        </is>
      </c>
      <c r="Q127" s="63" t="inlineStr">
        <is>
          <t>深渊;档案;紫光;禁区</t>
        </is>
      </c>
      <c r="R127" s="63">
        <f>LOWER(TRIM(C127)&amp;"|"&amp;TRIM(D127)&amp;"|"&amp;TRIM(E127)&amp;"|"&amp;TRIM(F127)&amp;"|"&amp;TRIM(H127)&amp;"|"&amp;TRIM(I127))</f>
        <v/>
      </c>
      <c r="S127" s="63">
        <f>IF(A127="","",IF(COUNTIF($R$6:$R$162,R127)&gt;1,"重复","唯一"))</f>
        <v/>
      </c>
      <c r="T127" s="63" t="inlineStr">
        <is>
          <t>fb276fb1586de1b69d306ff894800f51da600b8dfb2780cf8bc8d22695ad3a52</t>
        </is>
      </c>
      <c r="U127" s="63" t="inlineStr">
        <is>
          <t>Codex</t>
        </is>
      </c>
      <c r="V127" s="132" t="n">
        <v>46224</v>
      </c>
      <c r="W127" s="63" t="inlineStr">
        <is>
          <t>原创程序配置</t>
        </is>
      </c>
      <c r="X127" s="63" t="inlineStr">
        <is>
          <t>复用通用房间根；主题资源不复制玩法规则</t>
        </is>
      </c>
    </row>
    <row r="128" ht="155" customHeight="1">
      <c r="A128" s="70" t="inlineStr">
        <is>
          <t>PRP-WASTELAND-LIGHT-3D</t>
        </is>
      </c>
      <c r="B128" s="70" t="inlineStr">
        <is>
          <t>废土灯具3D通用模块（街灯/顶灯）</t>
        </is>
      </c>
      <c r="C128" s="70" t="inlineStr">
        <is>
          <t>场景道具</t>
        </is>
      </c>
      <c r="D128" s="70" t="inlineStr">
        <is>
          <t>light</t>
        </is>
      </c>
      <c r="E128" s="70" t="inlineStr">
        <is>
          <t>wasteland_light</t>
        </is>
      </c>
      <c r="F128" s="70" t="inlineStr">
        <is>
          <t>root_3d</t>
        </is>
      </c>
      <c r="G128" s="70" t="inlineStr">
        <is>
          <t>ENV-DUNGEON-RUNTIME-3D</t>
        </is>
      </c>
      <c r="H128" s="70" t="inlineStr">
        <is>
          <t>俯视3D</t>
        </is>
      </c>
      <c r="I128" s="70" t="inlineStr">
        <is>
          <t>default</t>
        </is>
      </c>
      <c r="J128" s="70" t="inlineStr">
        <is>
          <t>关卡/靶场/房间中央照明</t>
        </is>
      </c>
      <c r="K128" s="70" t="inlineStr">
        <is>
          <t>原型已接入</t>
        </is>
      </c>
      <c r="L128" s="70" t="inlineStr">
        <is>
          <t>P0</t>
        </is>
      </c>
      <c r="M128" s="70" t="inlineStr">
        <is>
          <t>v001</t>
        </is>
      </c>
      <c r="N128" s="70" t="inlineStr">
        <is>
          <t>PackedScene/OmniLight3D</t>
        </is>
      </c>
      <c r="O128" s="70" t="inlineStr">
        <is>
          <t>assets/art/props/dungeon_3d/prp_wasteland_light_root_top3d_v001.tscn</t>
        </is>
      </c>
      <c r="P128" s="70" t="inlineStr">
        <is>
          <t>src/world3d/WastelandLight3D.gd</t>
        </is>
      </c>
      <c r="Q128" s="70" t="inlineStr">
        <is>
          <t>灯具;街灯;中央顶灯;故障灯;废土</t>
        </is>
      </c>
      <c r="R128" s="70">
        <f>LOWER(TRIM(C128)&amp;"|"&amp;TRIM(D128)&amp;"|"&amp;TRIM(E128)&amp;"|"&amp;TRIM(F128)&amp;"|"&amp;TRIM(H128)&amp;"|"&amp;TRIM(I128))</f>
        <v/>
      </c>
      <c r="S128" s="70">
        <f>IF(A128="","",IF(COUNTIF($R$6:$R$162,R128)&gt;1,"重复","唯一"))</f>
        <v/>
      </c>
      <c r="T128" s="70" t="inlineStr">
        <is>
          <t>0a6ec0add8b6e01b83f4dbaae421ff0dc69ed08648d304bac061f540af27d99b</t>
        </is>
      </c>
      <c r="U128" s="70" t="inlineStr">
        <is>
          <t>Codex</t>
        </is>
      </c>
      <c r="V128" s="130" t="n">
        <v>46237</v>
      </c>
      <c r="W128" s="70" t="inlineStr">
        <is>
          <t>原创程序几何</t>
        </is>
      </c>
      <c r="X128" s="70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129" ht="34" customHeight="1">
      <c r="A129" s="63" t="inlineStr">
        <is>
          <t>PRP-ROOM-FURNITURE-3D</t>
        </is>
      </c>
      <c r="B129" s="63" t="inlineStr">
        <is>
          <t>房间家具3D通用模块</t>
        </is>
      </c>
      <c r="C129" s="63" t="inlineStr">
        <is>
          <t>场景道具</t>
        </is>
      </c>
      <c r="D129" s="63" t="inlineStr">
        <is>
          <t>furniture</t>
        </is>
      </c>
      <c r="E129" s="63" t="inlineStr">
        <is>
          <t>room_furniture</t>
        </is>
      </c>
      <c r="F129" s="63" t="inlineStr">
        <is>
          <t>root_3d</t>
        </is>
      </c>
      <c r="G129" s="63" t="inlineStr">
        <is>
          <t>ENV-DUNGEON-RUNTIME-3D</t>
        </is>
      </c>
      <c r="H129" s="63" t="inlineStr">
        <is>
          <t>俯视3D</t>
        </is>
      </c>
      <c r="I129" s="63" t="inlineStr">
        <is>
          <t>default</t>
        </is>
      </c>
      <c r="J129" s="63" t="inlineStr">
        <is>
          <t>全部3D房间</t>
        </is>
      </c>
      <c r="K129" s="63" t="inlineStr">
        <is>
          <t>原型已接入</t>
        </is>
      </c>
      <c r="L129" s="63" t="inlineStr">
        <is>
          <t>P0</t>
        </is>
      </c>
      <c r="M129" s="63" t="inlineStr">
        <is>
          <t>v001</t>
        </is>
      </c>
      <c r="N129" s="63" t="inlineStr">
        <is>
          <t>PackedScene/类型与尺寸配置</t>
        </is>
      </c>
      <c r="O129" s="63" t="inlineStr">
        <is>
          <t>assets/art/props/dungeon_3d/prp_room_furniture_root_top3d_v001.tscn</t>
        </is>
      </c>
      <c r="P129" s="63" t="inlineStr">
        <is>
          <t>src/world3d/RoomFurniture3D.gd</t>
        </is>
      </c>
      <c r="Q129" s="63" t="inlineStr">
        <is>
          <t>家具;小中大;箱柜;工作台</t>
        </is>
      </c>
      <c r="R129" s="63">
        <f>LOWER(TRIM(C129)&amp;"|"&amp;TRIM(D129)&amp;"|"&amp;TRIM(E129)&amp;"|"&amp;TRIM(F129)&amp;"|"&amp;TRIM(H129)&amp;"|"&amp;TRIM(I129))</f>
        <v/>
      </c>
      <c r="S129" s="63">
        <f>IF(A129="","",IF(COUNTIF($R$6:$R$162,R129)&gt;1,"重复","唯一"))</f>
        <v/>
      </c>
      <c r="T129" s="63" t="inlineStr">
        <is>
          <t>a78a7eaac02ce39add97d8a57754cc86ea34e740e24e0e901f4e037198a086e9</t>
        </is>
      </c>
      <c r="U129" s="63" t="inlineStr">
        <is>
          <t>Codex</t>
        </is>
      </c>
      <c r="V129" s="132" t="n">
        <v>46224</v>
      </c>
      <c r="W129" s="63" t="inlineStr">
        <is>
          <t>原创程序几何</t>
        </is>
      </c>
      <c r="X129" s="63" t="inlineStr">
        <is>
          <t>11类轮廓；small/medium/large影响占地与碰撞</t>
        </is>
      </c>
    </row>
    <row r="130" ht="34" customHeight="1">
      <c r="A130" s="63" t="inlineStr">
        <is>
          <t>PRP-SEARCH-CONTAINER-3D</t>
        </is>
      </c>
      <c r="B130" s="63" t="inlineStr">
        <is>
          <t>可搜索容器3D通用模块</t>
        </is>
      </c>
      <c r="C130" s="63" t="inlineStr">
        <is>
          <t>场景道具</t>
        </is>
      </c>
      <c r="D130" s="63" t="inlineStr">
        <is>
          <t>container</t>
        </is>
      </c>
      <c r="E130" s="63" t="inlineStr">
        <is>
          <t>search_container</t>
        </is>
      </c>
      <c r="F130" s="63" t="inlineStr">
        <is>
          <t>root_3d</t>
        </is>
      </c>
      <c r="G130" s="63" t="inlineStr">
        <is>
          <t>PRP-ROOM-FURNITURE-3D</t>
        </is>
      </c>
      <c r="H130" s="63" t="inlineStr">
        <is>
          <t>俯视3D</t>
        </is>
      </c>
      <c r="I130" s="63" t="inlineStr">
        <is>
          <t>closed_opened</t>
        </is>
      </c>
      <c r="J130" s="63" t="inlineStr">
        <is>
          <t>搜索房/仓储/事件</t>
        </is>
      </c>
      <c r="K130" s="63" t="inlineStr">
        <is>
          <t>原型已接入</t>
        </is>
      </c>
      <c r="L130" s="63" t="inlineStr">
        <is>
          <t>P0</t>
        </is>
      </c>
      <c r="M130" s="63" t="inlineStr">
        <is>
          <t>v001</t>
        </is>
      </c>
      <c r="N130" s="63" t="inlineStr">
        <is>
          <t>PackedScene/搜索状态</t>
        </is>
      </c>
      <c r="O130" s="63" t="inlineStr">
        <is>
          <t>assets/art/props/dungeon_3d/prp_search_container_root_top3d_v001.tscn</t>
        </is>
      </c>
      <c r="P130" s="63" t="inlineStr">
        <is>
          <t>src/world3d/RoomFurniture3D.gd</t>
        </is>
      </c>
      <c r="Q130" s="63" t="inlineStr">
        <is>
          <t>搜索;容器;战利品;小中大</t>
        </is>
      </c>
      <c r="R130" s="63">
        <f>LOWER(TRIM(C130)&amp;"|"&amp;TRIM(D130)&amp;"|"&amp;TRIM(E130)&amp;"|"&amp;TRIM(F130)&amp;"|"&amp;TRIM(H130)&amp;"|"&amp;TRIM(I130))</f>
        <v/>
      </c>
      <c r="S130" s="63">
        <f>IF(A130="","",IF(COUNTIF($R$6:$R$162,R130)&gt;1,"重复","唯一"))</f>
        <v/>
      </c>
      <c r="T130" s="63" t="inlineStr">
        <is>
          <t>2c0852d86e7c0e635e76197ff8d2f6a030daa186f760dfb339d3fdeddf3c192d</t>
        </is>
      </c>
      <c r="U130" s="63" t="inlineStr">
        <is>
          <t>Codex</t>
        </is>
      </c>
      <c r="V130" s="132" t="n">
        <v>46224</v>
      </c>
      <c r="W130" s="63" t="inlineStr">
        <is>
          <t>原创程序几何</t>
        </is>
      </c>
      <c r="X130" s="63" t="inlineStr">
        <is>
          <t>搜索为家具状态与配置，不建立关卡局部重复模型</t>
        </is>
      </c>
    </row>
    <row r="131" ht="34" customHeight="1">
      <c r="A131" s="63" t="inlineStr">
        <is>
          <t>PRP-SERVICE-STATION-3D</t>
        </is>
      </c>
      <c r="B131" s="63" t="inlineStr">
        <is>
          <t>废土服务终端3D模块</t>
        </is>
      </c>
      <c r="C131" s="63" t="inlineStr">
        <is>
          <t>场景道具</t>
        </is>
      </c>
      <c r="D131" s="63" t="inlineStr">
        <is>
          <t>facility</t>
        </is>
      </c>
      <c r="E131" s="63" t="inlineStr">
        <is>
          <t>service_station</t>
        </is>
      </c>
      <c r="F131" s="63" t="inlineStr">
        <is>
          <t>root_3d</t>
        </is>
      </c>
      <c r="G131" s="63" t="inlineStr">
        <is>
          <t>ENV-DUNGEON-RUNTIME-3D</t>
        </is>
      </c>
      <c r="H131" s="63" t="inlineStr">
        <is>
          <t>俯视3D</t>
        </is>
      </c>
      <c r="I131" s="63" t="inlineStr">
        <is>
          <t>default</t>
        </is>
      </c>
      <c r="J131" s="63" t="inlineStr">
        <is>
          <t>商店/升级/事件/重置</t>
        </is>
      </c>
      <c r="K131" s="63" t="inlineStr">
        <is>
          <t>原型已接入</t>
        </is>
      </c>
      <c r="L131" s="63" t="inlineStr">
        <is>
          <t>P0</t>
        </is>
      </c>
      <c r="M131" s="63" t="inlineStr">
        <is>
          <t>v001</t>
        </is>
      </c>
      <c r="N131" s="63" t="inlineStr">
        <is>
          <t>PackedScene/程序组件</t>
        </is>
      </c>
      <c r="O131" s="63" t="inlineStr">
        <is>
          <t>assets/art/props/dungeon_3d/prp_service_station_root_top3d_v001.tscn</t>
        </is>
      </c>
      <c r="P131" s="63" t="inlineStr">
        <is>
          <t>src/world3d/ServiceStation3D.gd</t>
        </is>
      </c>
      <c r="Q131" s="63" t="inlineStr">
        <is>
          <t>终端;商店;升级;事件;重置</t>
        </is>
      </c>
      <c r="R131" s="63">
        <f>LOWER(TRIM(C131)&amp;"|"&amp;TRIM(D131)&amp;"|"&amp;TRIM(E131)&amp;"|"&amp;TRIM(F131)&amp;"|"&amp;TRIM(H131)&amp;"|"&amp;TRIM(I131))</f>
        <v/>
      </c>
      <c r="S131" s="63">
        <f>IF(A131="","",IF(COUNTIF($R$6:$R$162,R131)&gt;1,"重复","唯一"))</f>
        <v/>
      </c>
      <c r="T131" s="63" t="inlineStr">
        <is>
          <t>da288e4a8ffc005053741d2eda3bbcbf2f6ad34c32c6657e35d0ddf62b837be4</t>
        </is>
      </c>
      <c r="U131" s="63" t="inlineStr">
        <is>
          <t>Codex</t>
        </is>
      </c>
      <c r="V131" s="132" t="n">
        <v>46224</v>
      </c>
      <c r="W131" s="63" t="inlineStr">
        <is>
          <t>原创程序几何</t>
        </is>
      </c>
      <c r="X131" s="63" t="inlineStr">
        <is>
          <t>四种服务行为复用同一视觉与交互组件</t>
        </is>
      </c>
    </row>
    <row r="132" ht="34" customHeight="1">
      <c r="A132" s="63" t="inlineStr">
        <is>
          <t>PRP-EXTRACTION-BEACON-3D</t>
        </is>
      </c>
      <c r="B132" s="63" t="inlineStr">
        <is>
          <t>撤离信标3D模块</t>
        </is>
      </c>
      <c r="C132" s="63" t="inlineStr">
        <is>
          <t>场景道具</t>
        </is>
      </c>
      <c r="D132" s="63" t="inlineStr">
        <is>
          <t>facility</t>
        </is>
      </c>
      <c r="E132" s="63" t="inlineStr">
        <is>
          <t>extraction_beacon</t>
        </is>
      </c>
      <c r="F132" s="63" t="inlineStr">
        <is>
          <t>root_3d</t>
        </is>
      </c>
      <c r="G132" s="63" t="inlineStr">
        <is>
          <t>ENV-DUNGEON-RUNTIME-3D</t>
        </is>
      </c>
      <c r="H132" s="63" t="inlineStr">
        <is>
          <t>俯视3D</t>
        </is>
      </c>
      <c r="I132" s="63" t="inlineStr">
        <is>
          <t>locked_active_done</t>
        </is>
      </c>
      <c r="J132" s="63" t="inlineStr">
        <is>
          <t>四主题撤离房</t>
        </is>
      </c>
      <c r="K132" s="63" t="inlineStr">
        <is>
          <t>原型已接入</t>
        </is>
      </c>
      <c r="L132" s="63" t="inlineStr">
        <is>
          <t>P0</t>
        </is>
      </c>
      <c r="M132" s="63" t="inlineStr">
        <is>
          <t>v001</t>
        </is>
      </c>
      <c r="N132" s="63" t="inlineStr">
        <is>
          <t>PackedScene/程序组件</t>
        </is>
      </c>
      <c r="O132" s="63" t="inlineStr">
        <is>
          <t>assets/art/props/dungeon_3d/prp_extraction_beacon_root_top3d_v001.tscn</t>
        </is>
      </c>
      <c r="P132" s="63" t="inlineStr">
        <is>
          <t>src/world3d/ExtractionBeacon3D.gd</t>
        </is>
      </c>
      <c r="Q132" s="63" t="inlineStr">
        <is>
          <t>撤离;信标;倒计时;Boss解锁</t>
        </is>
      </c>
      <c r="R132" s="63">
        <f>LOWER(TRIM(C132)&amp;"|"&amp;TRIM(D132)&amp;"|"&amp;TRIM(E132)&amp;"|"&amp;TRIM(F132)&amp;"|"&amp;TRIM(H132)&amp;"|"&amp;TRIM(I132))</f>
        <v/>
      </c>
      <c r="S132" s="63">
        <f>IF(A132="","",IF(COUNTIF($R$6:$R$162,R132)&gt;1,"重复","唯一"))</f>
        <v/>
      </c>
      <c r="T132" s="63" t="inlineStr">
        <is>
          <t>f2638fdaca3f9542e918a56750bda04a5828b18a763569eb16a36619e9e336b4</t>
        </is>
      </c>
      <c r="U132" s="63" t="inlineStr">
        <is>
          <t>Codex</t>
        </is>
      </c>
      <c r="V132" s="132" t="n">
        <v>46237</v>
      </c>
      <c r="W132" s="63" t="inlineStr">
        <is>
          <t>原创程序几何</t>
        </is>
      </c>
      <c r="X132" s="63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133" ht="34" customHeight="1">
      <c r="A133" s="63" t="inlineStr">
        <is>
          <t>VFX-HAZARD-FIELD-3D</t>
        </is>
      </c>
      <c r="B133" s="63" t="inlineStr">
        <is>
          <t>房间危险场3D特效</t>
        </is>
      </c>
      <c r="C133" s="63" t="inlineStr">
        <is>
          <t>特效</t>
        </is>
      </c>
      <c r="D133" s="63" t="inlineStr">
        <is>
          <t>environment</t>
        </is>
      </c>
      <c r="E133" s="63" t="inlineStr">
        <is>
          <t>hazard_field</t>
        </is>
      </c>
      <c r="F133" s="63" t="inlineStr">
        <is>
          <t>root_3d</t>
        </is>
      </c>
      <c r="G133" s="63" t="inlineStr">
        <is>
          <t>ENV-DUNGEON-RUNTIME-3D</t>
        </is>
      </c>
      <c r="H133" s="63" t="inlineStr">
        <is>
          <t>俯视3D</t>
        </is>
      </c>
      <c r="I133" s="63" t="inlineStr">
        <is>
          <t>active</t>
        </is>
      </c>
      <c r="J133" s="63" t="inlineStr">
        <is>
          <t>陷阱房</t>
        </is>
      </c>
      <c r="K133" s="63" t="inlineStr">
        <is>
          <t>原型已接入</t>
        </is>
      </c>
      <c r="L133" s="63" t="inlineStr">
        <is>
          <t>P0</t>
        </is>
      </c>
      <c r="M133" s="63" t="inlineStr">
        <is>
          <t>v001</t>
        </is>
      </c>
      <c r="N133" s="63" t="inlineStr">
        <is>
          <t>PackedScene/程序环形特效</t>
        </is>
      </c>
      <c r="O133" s="63" t="inlineStr">
        <is>
          <t>assets/art/vfx/environment_3d/vfx_hazard_field_root_top3d_v001.tscn</t>
        </is>
      </c>
      <c r="P133" s="63" t="inlineStr">
        <is>
          <t>src/world3d/HazardField3D.gd</t>
        </is>
      </c>
      <c r="Q133" s="63" t="inlineStr">
        <is>
          <t>危险区;陷阱;范围伤害;3D</t>
        </is>
      </c>
      <c r="R133" s="63">
        <f>LOWER(TRIM(C133)&amp;"|"&amp;TRIM(D133)&amp;"|"&amp;TRIM(E133)&amp;"|"&amp;TRIM(F133)&amp;"|"&amp;TRIM(H133)&amp;"|"&amp;TRIM(I133))</f>
        <v/>
      </c>
      <c r="S133" s="63">
        <f>IF(A133="","",IF(COUNTIF($R$6:$R$162,R133)&gt;1,"重复","唯一"))</f>
        <v/>
      </c>
      <c r="T133" s="63" t="inlineStr">
        <is>
          <t>66ab8d6bc0e2729ca56c7f3c46a588e5f74890cfdf02b90de1fdc46fd1a67648</t>
        </is>
      </c>
      <c r="U133" s="63" t="inlineStr">
        <is>
          <t>Codex</t>
        </is>
      </c>
      <c r="V133" s="132" t="n">
        <v>46224</v>
      </c>
      <c r="W133" s="63" t="inlineStr">
        <is>
          <t>原创程序特效</t>
        </is>
      </c>
      <c r="X133" s="63" t="inlineStr">
        <is>
          <t>颜色、半径与伤害可按主题配置</t>
        </is>
      </c>
    </row>
    <row r="134" ht="34" customHeight="1">
      <c r="A134" s="63" t="inlineStr">
        <is>
          <t>WPN-GUN-KIT-3D</t>
        </is>
      </c>
      <c r="B134" s="63" t="inlineStr">
        <is>
          <t>枪械3D通用模型套件</t>
        </is>
      </c>
      <c r="C134" s="63" t="inlineStr">
        <is>
          <t>枪械</t>
        </is>
      </c>
      <c r="D134" s="63" t="inlineStr">
        <is>
          <t>gunbody</t>
        </is>
      </c>
      <c r="E134" s="63" t="inlineStr">
        <is>
          <t>blueprint_gun_catalog</t>
        </is>
      </c>
      <c r="F134" s="63" t="inlineStr">
        <is>
          <t>root_3d</t>
        </is>
      </c>
      <c r="G134" s="63" t="n"/>
      <c r="H134" s="63" t="inlineStr">
        <is>
          <t>俯视3D</t>
        </is>
      </c>
      <c r="I134" s="63" t="inlineStr">
        <is>
          <t>default</t>
        </is>
      </c>
      <c r="J134" s="63" t="inlineStr">
        <is>
          <t>玩家/靶场/全部副本</t>
        </is>
      </c>
      <c r="K134" s="63" t="inlineStr">
        <is>
          <t>原型已接入</t>
        </is>
      </c>
      <c r="L134" s="63" t="inlineStr">
        <is>
          <t>P0</t>
        </is>
      </c>
      <c r="M134" s="63" t="inlineStr">
        <is>
          <t>v001</t>
        </is>
      </c>
      <c r="N134" s="63" t="inlineStr">
        <is>
          <t>PackedScene/7枪配置模型</t>
        </is>
      </c>
      <c r="O134" s="63" t="inlineStr">
        <is>
          <t>assets/art/weapons/weapon_3d/wpn_gun_kit_root_top3d_v001.tscn</t>
        </is>
      </c>
      <c r="P134" s="63" t="inlineStr">
        <is>
          <t>src/combat3d/WeaponModel3D.gd</t>
        </is>
      </c>
      <c r="Q134" s="63" t="inlineStr">
        <is>
          <t>枪械;7枪身;8弹药;后坐力;枪口</t>
        </is>
      </c>
      <c r="R134" s="63">
        <f>LOWER(TRIM(C134)&amp;"|"&amp;TRIM(D134)&amp;"|"&amp;TRIM(E134)&amp;"|"&amp;TRIM(F134)&amp;"|"&amp;TRIM(H134)&amp;"|"&amp;TRIM(I134))</f>
        <v/>
      </c>
      <c r="S134" s="63">
        <f>IF(A134="","",IF(COUNTIF($R$6:$R$162,R134)&gt;1,"重复","唯一"))</f>
        <v/>
      </c>
      <c r="T134" s="63" t="inlineStr">
        <is>
          <t>e13801540404433f6fc5f00faa0f523b804d18ec7fa30c0f6c15fab48f1ec4c9</t>
        </is>
      </c>
      <c r="U134" s="63" t="inlineStr">
        <is>
          <t>Codex</t>
        </is>
      </c>
      <c r="V134" s="132" t="n">
        <v>46225</v>
      </c>
      <c r="W134" s="63" t="inlineStr">
        <is>
          <t>原创程序几何</t>
        </is>
      </c>
      <c r="X134" s="63" t="inlineStr">
        <is>
          <t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t>
        </is>
      </c>
    </row>
    <row r="135" ht="34" customHeight="1">
      <c r="A135" s="63" t="inlineStr">
        <is>
          <t>ENM-ECOSYSTEM-KIT-3D</t>
        </is>
      </c>
      <c r="B135" s="63" t="inlineStr">
        <is>
          <t>七类怪物3D生态套件</t>
        </is>
      </c>
      <c r="C135" s="63" t="inlineStr">
        <is>
          <t>敌人</t>
        </is>
      </c>
      <c r="D135" s="63" t="inlineStr">
        <is>
          <t>normal_elite_boss</t>
        </is>
      </c>
      <c r="E135" s="63" t="inlineStr">
        <is>
          <t>enemy_ecosystem</t>
        </is>
      </c>
      <c r="F135" s="63" t="inlineStr">
        <is>
          <t>root_3d</t>
        </is>
      </c>
      <c r="G135" s="63" t="n"/>
      <c r="H135" s="63" t="inlineStr">
        <is>
          <t>俯视3D</t>
        </is>
      </c>
      <c r="I135" s="63" t="inlineStr">
        <is>
          <t>default</t>
        </is>
      </c>
      <c r="J135" s="63" t="inlineStr">
        <is>
          <t>四主题战斗房</t>
        </is>
      </c>
      <c r="K135" s="63" t="inlineStr">
        <is>
          <t>原型已接入</t>
        </is>
      </c>
      <c r="L135" s="63" t="inlineStr">
        <is>
          <t>P0</t>
        </is>
      </c>
      <c r="M135" s="63" t="inlineStr">
        <is>
          <t>v001</t>
        </is>
      </c>
      <c r="N135" s="63" t="inlineStr">
        <is>
          <t>PackedScene/模块敌人</t>
        </is>
      </c>
      <c r="O135" s="63" t="inlineStr">
        <is>
          <t>assets/art/enemies/enemy_3d/enm_ecosystem_kit_root_top3d_v001.tscn</t>
        </is>
      </c>
      <c r="P135" s="63" t="inlineStr">
        <is>
          <t>src/enemy3d/Enemy3D.gd</t>
        </is>
      </c>
      <c r="Q135" s="63" t="inlineStr">
        <is>
          <t>怪物;七类;核心;外壳;附肢;状态</t>
        </is>
      </c>
      <c r="R135" s="63">
        <f>LOWER(TRIM(C135)&amp;"|"&amp;TRIM(D135)&amp;"|"&amp;TRIM(E135)&amp;"|"&amp;TRIM(F135)&amp;"|"&amp;TRIM(H135)&amp;"|"&amp;TRIM(I135))</f>
        <v/>
      </c>
      <c r="S135" s="63">
        <f>IF(A135="","",IF(COUNTIF($R$6:$R$162,R135)&gt;1,"重复","唯一"))</f>
        <v/>
      </c>
      <c r="T135" s="63" t="inlineStr">
        <is>
          <t>d9d8a49bed3fdcb863bad72f60be1f774309c7dda52753f5efb3d4e56159c12d</t>
        </is>
      </c>
      <c r="U135" s="63" t="inlineStr">
        <is>
          <t>Codex</t>
        </is>
      </c>
      <c r="V135" s="132" t="n">
        <v>46225</v>
      </c>
      <c r="W135" s="63" t="inlineStr">
        <is>
          <t>原创程序几何</t>
        </is>
      </c>
      <c r="X135" s="63" t="inlineStr">
        <is>
          <t>九态AI视线允许射线命中玩家本体并保留实体墙遮挡；3D基础HP乘旧楼层/主题/精英倍率，开局手枪普通命中不秒杀基础怪</t>
        </is>
      </c>
    </row>
    <row r="136" ht="34" customHeight="1">
      <c r="A136" s="63" t="inlineStr">
        <is>
          <t>VFX-COMBAT-KIT-3D</t>
        </is>
      </c>
      <c r="B136" s="63" t="inlineStr">
        <is>
          <t>战斗反馈3D通用特效套件</t>
        </is>
      </c>
      <c r="C136" s="63" t="inlineStr">
        <is>
          <t>特效</t>
        </is>
      </c>
      <c r="D136" s="63" t="inlineStr">
        <is>
          <t>combat</t>
        </is>
      </c>
      <c r="E136" s="63" t="inlineStr">
        <is>
          <t>combat_feedback</t>
        </is>
      </c>
      <c r="F136" s="63" t="inlineStr">
        <is>
          <t>root_3d</t>
        </is>
      </c>
      <c r="G136" s="63" t="n"/>
      <c r="H136" s="63" t="inlineStr">
        <is>
          <t>俯视3D</t>
        </is>
      </c>
      <c r="I136" s="63" t="inlineStr">
        <is>
          <t>muzzle_impact_damage_explosion_slash_melee_impact</t>
        </is>
      </c>
      <c r="J136" s="63" t="inlineStr">
        <is>
          <t>枪械/近战/敌人/关卡</t>
        </is>
      </c>
      <c r="K136" s="63" t="inlineStr">
        <is>
          <t>原型已接入</t>
        </is>
      </c>
      <c r="L136" s="63" t="inlineStr">
        <is>
          <t>P0</t>
        </is>
      </c>
      <c r="M136" s="63" t="inlineStr">
        <is>
          <t>v001</t>
        </is>
      </c>
      <c r="N136" s="63" t="inlineStr">
        <is>
          <t>PackedScene/参数化特效</t>
        </is>
      </c>
      <c r="O136" s="63" t="inlineStr">
        <is>
          <t>assets/art/vfx/combat_3d/vfx_combat_kit_root_top3d_v001.tscn</t>
        </is>
      </c>
      <c r="P136" s="63" t="inlineStr">
        <is>
          <t>src/combat3d/CombatEffect3D.gd; src/combat3d/CombatEffectPool3D.gd; src/player3d/melee/PlayerMeleeCombat3D.gd</t>
        </is>
      </c>
      <c r="Q136" s="63" t="inlineStr">
        <is>
          <t>枪口;命中;伤害;爆炸;挥砍;近战冲击;slash;melee_impact;3D</t>
        </is>
      </c>
      <c r="R136" s="63">
        <f>LOWER(TRIM(C136)&amp;"|"&amp;TRIM(D136)&amp;"|"&amp;TRIM(E136)&amp;"|"&amp;TRIM(F136)&amp;"|"&amp;TRIM(H136)&amp;"|"&amp;TRIM(I136))</f>
        <v/>
      </c>
      <c r="S136" s="63">
        <f>IF(A136="","",IF(COUNTIF($R$6:$R$162,R136)&gt;1,"重复","唯一"))</f>
        <v/>
      </c>
      <c r="T136" s="63" t="inlineStr">
        <is>
          <t>2ee5109b1876ea2114ac5c73b4bd0e2fc0348e1209a9d2ca16bc8ef9834ff357</t>
        </is>
      </c>
      <c r="U136" s="63" t="inlineStr">
        <is>
          <t>Codex</t>
        </is>
      </c>
      <c r="V136" s="132" t="n">
        <v>46224</v>
      </c>
      <c r="W136" s="63" t="inlineStr">
        <is>
          <t>原创程序特效</t>
        </is>
      </c>
      <c r="X136" s="63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37" ht="34" customHeight="1">
      <c r="A137" s="63" t="inlineStr">
        <is>
          <t>ENV-TRAINING-RANGE-KIT-3D</t>
        </is>
      </c>
      <c r="B137" s="63" t="inlineStr">
        <is>
          <t>独立3D训练靶场套件</t>
        </is>
      </c>
      <c r="C137" s="63" t="inlineStr">
        <is>
          <t>场景</t>
        </is>
      </c>
      <c r="D137" s="63" t="inlineStr">
        <is>
          <t>training_range</t>
        </is>
      </c>
      <c r="E137" s="63" t="inlineStr">
        <is>
          <t>training_range</t>
        </is>
      </c>
      <c r="F137" s="63" t="inlineStr">
        <is>
          <t>root_3d</t>
        </is>
      </c>
      <c r="G137" s="63" t="n"/>
      <c r="H137" s="63" t="inlineStr">
        <is>
          <t>俯视3D</t>
        </is>
      </c>
      <c r="I137" s="63" t="inlineStr">
        <is>
          <t>default</t>
        </is>
      </c>
      <c r="J137" s="63" t="inlineStr">
        <is>
          <t>独立训练地图</t>
        </is>
      </c>
      <c r="K137" s="63" t="inlineStr">
        <is>
          <t>原型已接入</t>
        </is>
      </c>
      <c r="L137" s="63" t="inlineStr">
        <is>
          <t>P0</t>
        </is>
      </c>
      <c r="M137" s="63" t="inlineStr">
        <is>
          <t>v001</t>
        </is>
      </c>
      <c r="N137" s="63" t="inlineStr">
        <is>
          <t>PackedScene/程序环境</t>
        </is>
      </c>
      <c r="O137" s="63" t="inlineStr">
        <is>
          <t>assets/art/environments/training_range_3d/env_training_range_kit_top3d_v001.tscn</t>
        </is>
      </c>
      <c r="P137" s="63" t="inlineStr">
        <is>
          <t>scenes/TrainingRange3D.tscn</t>
        </is>
      </c>
      <c r="Q137" s="63" t="inlineStr">
        <is>
          <t>靶场;射击道;货架;59组合;三类靶</t>
        </is>
      </c>
      <c r="R137" s="63">
        <f>LOWER(TRIM(C137)&amp;"|"&amp;TRIM(D137)&amp;"|"&amp;TRIM(E137)&amp;"|"&amp;TRIM(F137)&amp;"|"&amp;TRIM(H137)&amp;"|"&amp;TRIM(I137))</f>
        <v/>
      </c>
      <c r="S137" s="63">
        <f>IF(A137="","",IF(COUNTIF($R$6:$R$162,R137)&gt;1,"重复","唯一"))</f>
        <v/>
      </c>
      <c r="T137" s="63" t="inlineStr">
        <is>
          <t>4d1153bc736fab0790300f171beef8435002670f3789d6434e966bca0a79d28e</t>
        </is>
      </c>
      <c r="U137" s="63" t="inlineStr">
        <is>
          <t>Codex</t>
        </is>
      </c>
      <c r="V137" s="132" t="n">
        <v>46224</v>
      </c>
      <c r="W137" s="63" t="inlineStr">
        <is>
          <t>原创程序几何</t>
        </is>
      </c>
      <c r="X137" s="63" t="inlineStr">
        <is>
          <t>18货架（7远程+3近战+8子弹）、三射击道、三靶标、重置与返回；BaseData隔离</t>
        </is>
      </c>
    </row>
    <row r="138" ht="34" customHeight="1">
      <c r="A138" s="63" t="inlineStr">
        <is>
          <t>ENV-DUNGEON-RUNTIME-3D-PREVIEW</t>
        </is>
      </c>
      <c r="B138" s="63" t="inlineStr">
        <is>
          <t>3D关卡运行时验收预览</t>
        </is>
      </c>
      <c r="C138" s="63" t="inlineStr">
        <is>
          <t>场景</t>
        </is>
      </c>
      <c r="D138" s="63" t="inlineStr">
        <is>
          <t>review_board</t>
        </is>
      </c>
      <c r="E138" s="63" t="inlineStr">
        <is>
          <t>dungeon_runtime</t>
        </is>
      </c>
      <c r="F138" s="63" t="inlineStr">
        <is>
          <t>preview_3d</t>
        </is>
      </c>
      <c r="G138" s="63" t="inlineStr">
        <is>
          <t>ENV-DUNGEON-RUNTIME-3D</t>
        </is>
      </c>
      <c r="H138" s="63" t="inlineStr">
        <is>
          <t>俯视3D</t>
        </is>
      </c>
      <c r="I138" s="63" t="inlineStr">
        <is>
          <t>default</t>
        </is>
      </c>
      <c r="J138" s="63" t="inlineStr">
        <is>
          <t>评审与资产QA</t>
        </is>
      </c>
      <c r="K138" s="63" t="inlineStr">
        <is>
          <t>已完成</t>
        </is>
      </c>
      <c r="L138" s="63" t="inlineStr">
        <is>
          <t>P1</t>
        </is>
      </c>
      <c r="M138" s="63" t="inlineStr">
        <is>
          <t>v001</t>
        </is>
      </c>
      <c r="N138" s="63" t="inlineStr">
        <is>
          <t>1280×720 PNG</t>
        </is>
      </c>
      <c r="O138" s="63" t="inlineStr">
        <is>
          <t>assets/art/environments/dungeon_3d/env_dungeon_runtime_preview_top3d_v001.png</t>
        </is>
      </c>
      <c r="P138" s="63" t="inlineStr">
        <is>
          <t>tests/verification/verify_full_3d_visual.tscn</t>
        </is>
      </c>
      <c r="Q138" s="63" t="inlineStr">
        <is>
          <t>3D关卡;预览;灯光;战斗;QA</t>
        </is>
      </c>
      <c r="R138" s="63">
        <f>LOWER(TRIM(C138)&amp;"|"&amp;TRIM(D138)&amp;"|"&amp;TRIM(E138)&amp;"|"&amp;TRIM(F138)&amp;"|"&amp;TRIM(H138)&amp;"|"&amp;TRIM(I138))</f>
        <v/>
      </c>
      <c r="S138" s="63">
        <f>IF(A138="","",IF(COUNTIF($R$6:$R$162,R138)&gt;1,"重复","唯一"))</f>
        <v/>
      </c>
      <c r="T138" s="63" t="inlineStr">
        <is>
          <t>3b2c2212f1283ed366a31dc3a101b3555c78768c3906600eb0b18c74423fb247</t>
        </is>
      </c>
      <c r="U138" s="63" t="inlineStr">
        <is>
          <t>Codex</t>
        </is>
      </c>
      <c r="V138" s="132" t="n">
        <v>46225</v>
      </c>
      <c r="W138" s="63" t="inlineStr">
        <is>
          <t>项目运行截图</t>
        </is>
      </c>
      <c r="X138" s="63" t="inlineStr">
        <is>
          <t>实际GPU窗口确认360°遮挡逻辑与96°定向表现；v0.1三层玩家灯去除头顶溢光，角色正面柔光、增强中央灯与战斗轮廓通过验收</t>
        </is>
      </c>
    </row>
    <row r="139" ht="34" customHeight="1">
      <c r="A139" s="63" t="inlineStr">
        <is>
          <t>ENV-TRAINING-RANGE-3D-PREVIEW</t>
        </is>
      </c>
      <c r="B139" s="63" t="inlineStr">
        <is>
          <t>3D训练靶场验收预览</t>
        </is>
      </c>
      <c r="C139" s="63" t="inlineStr">
        <is>
          <t>场景</t>
        </is>
      </c>
      <c r="D139" s="63" t="inlineStr">
        <is>
          <t>review_board</t>
        </is>
      </c>
      <c r="E139" s="63" t="inlineStr">
        <is>
          <t>training_range</t>
        </is>
      </c>
      <c r="F139" s="63" t="inlineStr">
        <is>
          <t>preview_3d</t>
        </is>
      </c>
      <c r="G139" s="63" t="inlineStr">
        <is>
          <t>ENV-TRAINING-RANGE-KIT-3D</t>
        </is>
      </c>
      <c r="H139" s="63" t="inlineStr">
        <is>
          <t>俯视3D</t>
        </is>
      </c>
      <c r="I139" s="63" t="inlineStr">
        <is>
          <t>default</t>
        </is>
      </c>
      <c r="J139" s="63" t="inlineStr">
        <is>
          <t>评审与资产QA</t>
        </is>
      </c>
      <c r="K139" s="63" t="inlineStr">
        <is>
          <t>已完成</t>
        </is>
      </c>
      <c r="L139" s="63" t="inlineStr">
        <is>
          <t>P1</t>
        </is>
      </c>
      <c r="M139" s="63" t="inlineStr">
        <is>
          <t>v001</t>
        </is>
      </c>
      <c r="N139" s="63" t="inlineStr">
        <is>
          <t>1280×720 PNG</t>
        </is>
      </c>
      <c r="O139" s="63" t="inlineStr">
        <is>
          <t>assets/art/environments/training_range_3d/env_training_range_preview_top3d_v001.png</t>
        </is>
      </c>
      <c r="P139" s="63" t="inlineStr">
        <is>
          <t>tests/verification/verify_training_range_3d_visual.tscn</t>
        </is>
      </c>
      <c r="Q139" s="63" t="inlineStr">
        <is>
          <t>3D靶场;预览;射击道;目标;QA</t>
        </is>
      </c>
      <c r="R139" s="63">
        <f>LOWER(TRIM(C139)&amp;"|"&amp;TRIM(D139)&amp;"|"&amp;TRIM(E139)&amp;"|"&amp;TRIM(F139)&amp;"|"&amp;TRIM(H139)&amp;"|"&amp;TRIM(I139))</f>
        <v/>
      </c>
      <c r="S139" s="63">
        <f>IF(A139="","",IF(COUNTIF($R$6:$R$162,R139)&gt;1,"重复","唯一"))</f>
        <v/>
      </c>
      <c r="T139" s="63" t="inlineStr">
        <is>
          <t>51b63097607e69009e9b2e5ed9315b3c642cdc05e823a2fee547cb0bb1ad8377</t>
        </is>
      </c>
      <c r="U139" s="63" t="inlineStr">
        <is>
          <t>Codex</t>
        </is>
      </c>
      <c r="V139" s="132" t="n">
        <v>46224</v>
      </c>
      <c r="W139" s="63" t="inlineStr">
        <is>
          <t>项目运行截图</t>
        </is>
      </c>
      <c r="X139" s="63" t="inlineStr">
        <is>
          <t>真实GPU窗口检查三条射击道、三类靶、枪弹组合区与灯光</t>
        </is>
      </c>
    </row>
    <row r="140">
      <c r="A140" t="inlineStr">
        <is>
          <t>VFX-VISIBILITY-FIELD-3D</t>
        </is>
      </c>
      <c r="B140" t="inlineStr">
        <is>
          <t>柔边真实单位视野场3D</t>
        </is>
      </c>
      <c r="C140" t="inlineStr">
        <is>
          <t>特效</t>
        </is>
      </c>
      <c r="D140" t="inlineStr">
        <is>
          <t>gameplay_vfx</t>
        </is>
      </c>
      <c r="E140" t="inlineStr">
        <is>
          <t>visibility_field</t>
        </is>
      </c>
      <c r="F140" t="inlineStr">
        <is>
          <t>field_mesh_3d</t>
        </is>
      </c>
      <c r="G140" t="inlineStr">
        <is>
          <t>VFX-VISIBILITY-LIGHT</t>
        </is>
      </c>
      <c r="H140" t="inlineStr">
        <is>
          <t>俯视3D</t>
        </is>
      </c>
      <c r="I140" t="inlineStr">
        <is>
          <t>default</t>
        </is>
      </c>
      <c r="J140" t="inlineStr">
        <is>
          <t>3D行动区/靶场/基地</t>
        </is>
      </c>
      <c r="K140" t="inlineStr">
        <is>
          <t>原型已接入</t>
        </is>
      </c>
      <c r="L140" t="inlineStr">
        <is>
          <t>P0</t>
        </is>
      </c>
      <c r="M140" t="inlineStr">
        <is>
          <t>v001</t>
        </is>
      </c>
      <c r="N140" t="inlineStr">
        <is>
          <t>360°逻辑射线 + ImmediateMesh 49+28表现射线</t>
        </is>
      </c>
      <c r="O140" t="inlineStr">
        <is>
          <t>src/player3d/PlayerVision3D.gd</t>
        </is>
      </c>
      <c r="P140" t="inlineStr">
        <is>
          <t>scenes/Player3D.tscn</t>
        </is>
      </c>
      <c r="Q140" t="inlineStr">
        <is>
          <t>360度逻辑视野;96度目光表现;柔边;墙体遮挡;无描边;非灯光判定</t>
        </is>
      </c>
      <c r="R140">
        <f>LOWER(TRIM(C140)&amp;"|"&amp;TRIM(D140)&amp;"|"&amp;TRIM(E140)&amp;"|"&amp;TRIM(F140)&amp;"|"&amp;TRIM(H140)&amp;"|"&amp;TRIM(I140))</f>
        <v/>
      </c>
      <c r="S140">
        <f>IF(A140="","",IF(COUNTIF($R$6:$R$162,R140)&gt;1,"重复","唯一"))</f>
        <v/>
      </c>
      <c r="T140" t="inlineStr">
        <is>
          <t>f2b2eaf61798845c9068d45db0fdad2b32930df5b14a259e36bb8be67eefda07</t>
        </is>
      </c>
      <c r="U140" t="inlineStr">
        <is>
          <t>Codex</t>
        </is>
      </c>
      <c r="V140" t="n">
        <v>46225</v>
      </c>
      <c r="W140" t="inlineStr">
        <is>
          <t>原创程序几何</t>
        </is>
      </c>
      <c r="X140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t>
        </is>
      </c>
    </row>
    <row r="141">
      <c r="A141" t="inlineStr">
        <is>
          <t>UI-SCREEN-INVENTORY-3D</t>
        </is>
      </c>
      <c r="B141" t="inlineStr">
        <is>
          <t>3D背包与保险界面</t>
        </is>
      </c>
      <c r="C141" t="inlineStr">
        <is>
          <t>UI</t>
        </is>
      </c>
      <c r="D141" t="inlineStr">
        <is>
          <t>screen</t>
        </is>
      </c>
      <c r="E141" t="inlineStr">
        <is>
          <t>inventory</t>
        </is>
      </c>
      <c r="F141" t="inlineStr">
        <is>
          <t>root_3d</t>
        </is>
      </c>
      <c r="G141" t="inlineStr">
        <is>
          <t>UI-SCREEN-INVENTORY</t>
        </is>
      </c>
      <c r="H141" t="inlineStr">
        <is>
          <t>屏幕空间</t>
        </is>
      </c>
      <c r="I141" t="inlineStr">
        <is>
          <t>default</t>
        </is>
      </c>
      <c r="J141" t="inlineStr">
        <is>
          <t>3D行动区</t>
        </is>
      </c>
      <c r="K141" t="inlineStr">
        <is>
          <t>原型已接入</t>
        </is>
      </c>
      <c r="L141" t="inlineStr">
        <is>
          <t>P0</t>
        </is>
      </c>
      <c r="M141" t="inlineStr">
        <is>
          <t>v002</t>
        </is>
      </c>
      <c r="N141" t="inlineStr">
        <is>
          <t>全屏Control/12+2槽/96×96投影</t>
        </is>
      </c>
      <c r="O141" t="inlineStr">
        <is>
          <t>src/ui/InventoryUI.gd</t>
        </is>
      </c>
      <c r="P141" t="inlineStr">
        <is>
          <t>scenes/Dungeon3D.tscn</t>
        </is>
      </c>
      <c r="Q141" t="inlineStr">
        <is>
          <t>背包;保险;I键;Tab;模态输入锁;3D道具投影;实际点击装备</t>
        </is>
      </c>
      <c r="R141">
        <f>LOWER(TRIM(C141)&amp;"|"&amp;TRIM(D141)&amp;"|"&amp;TRIM(E141)&amp;"|"&amp;TRIM(F141)&amp;"|"&amp;TRIM(H141)&amp;"|"&amp;TRIM(I141))</f>
        <v/>
      </c>
      <c r="S141">
        <f>IF(A141="","",IF(COUNTIF($R$6:$R$162,R141)&gt;1,"重复","唯一"))</f>
        <v/>
      </c>
      <c r="T141" t="inlineStr">
        <is>
          <t>ccd8f7d7f3c99454d157f0dfd2f34631a4d404931f2e1997b5c381db9ac90c99</t>
        </is>
      </c>
      <c r="U141" t="inlineStr">
        <is>
          <t>Codex</t>
        </is>
      </c>
      <c r="V141" t="n">
        <v>46225</v>
      </c>
      <c r="W141" t="inlineStr">
        <is>
          <t>原创程序UI</t>
        </is>
      </c>
      <c r="X141" t="inlineStr">
        <is>
          <t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</t>
        </is>
      </c>
    </row>
    <row r="142">
      <c r="A142" t="inlineStr">
        <is>
          <t>UI-SCREEN-PAUSE-3D</t>
        </is>
      </c>
      <c r="B142" t="inlineStr">
        <is>
          <t>3D共用暂停界面</t>
        </is>
      </c>
      <c r="C142" t="inlineStr">
        <is>
          <t>UI</t>
        </is>
      </c>
      <c r="D142" t="inlineStr">
        <is>
          <t>screen</t>
        </is>
      </c>
      <c r="E142" t="inlineStr">
        <is>
          <t>pause</t>
        </is>
      </c>
      <c r="F142" t="inlineStr">
        <is>
          <t>root_3d</t>
        </is>
      </c>
      <c r="H142" t="inlineStr">
        <is>
          <t>屏幕空间</t>
        </is>
      </c>
      <c r="I142" t="inlineStr">
        <is>
          <t>default</t>
        </is>
      </c>
      <c r="J142" t="inlineStr">
        <is>
          <t>地下城/基地/靶场</t>
        </is>
      </c>
      <c r="K142" t="inlineStr">
        <is>
          <t>已完成</t>
        </is>
      </c>
      <c r="L142" t="inlineStr">
        <is>
          <t>P0</t>
        </is>
      </c>
      <c r="M142" t="inlineStr">
        <is>
          <t>v001</t>
        </is>
      </c>
      <c r="N142" t="inlineStr">
        <is>
          <t>PackedScene/全屏Control</t>
        </is>
      </c>
      <c r="O142" t="inlineStr">
        <is>
          <t>assets/art/ui/pause_3d/ui_pause_overlay_screen_v001.tscn</t>
        </is>
      </c>
      <c r="P142" t="inlineStr">
        <is>
          <t>src/ui/PauseMenu3D.gd</t>
        </is>
      </c>
      <c r="Q142" t="inlineStr">
        <is>
          <t>暂停;Esc;继续;全局模态;3D HUD</t>
        </is>
      </c>
      <c r="R142">
        <f>LOWER(TRIM(C142)&amp;"|"&amp;TRIM(D142)&amp;"|"&amp;TRIM(E142)&amp;"|"&amp;TRIM(F142)&amp;"|"&amp;TRIM(H142)&amp;"|"&amp;TRIM(I142))</f>
        <v/>
      </c>
      <c r="S142">
        <f>IF(A142="","",IF(COUNTIF($R$6:$R$162,R142)&gt;1,"重复","唯一"))</f>
        <v/>
      </c>
      <c r="T142" t="inlineStr">
        <is>
          <t>8fed542ebf6b89002c6922a287e666394472252ad9673d8183dd9db604c19a88</t>
        </is>
      </c>
      <c r="U142" t="inlineStr">
        <is>
          <t>Codex</t>
        </is>
      </c>
      <c r="V142" t="n">
        <v>46225</v>
      </c>
      <c r="W142" t="inlineStr">
        <is>
          <t>原创程序UI</t>
        </is>
      </c>
      <c r="X142" t="inlineStr">
        <is>
          <t>三张3D地图共用；Esc先关闭最上层模态，再进入真实暂停</t>
        </is>
      </c>
    </row>
    <row r="143" ht="155" customHeight="1">
      <c r="A143" s="70" t="inlineStr">
        <is>
          <t>PRP-ROOM-LIGHT-SWITCH-3D</t>
        </is>
      </c>
      <c r="B143" s="70" t="inlineStr">
        <is>
          <t>房间中央灯墙面开关3D</t>
        </is>
      </c>
      <c r="C143" s="70" t="inlineStr">
        <is>
          <t>场景道具</t>
        </is>
      </c>
      <c r="D143" s="70" t="inlineStr">
        <is>
          <t>facility</t>
        </is>
      </c>
      <c r="E143" s="70" t="inlineStr">
        <is>
          <t>room_light_switch</t>
        </is>
      </c>
      <c r="F143" s="70" t="inlineStr">
        <is>
          <t>root_3d</t>
        </is>
      </c>
      <c r="G143" s="70" t="inlineStr">
        <is>
          <t>ENV-DUNGEON-RUNTIME-3D</t>
        </is>
      </c>
      <c r="H143" s="70" t="inlineStr">
        <is>
          <t>俯视3D</t>
        </is>
      </c>
      <c r="I143" s="70" t="inlineStr">
        <is>
          <t>default</t>
        </is>
      </c>
      <c r="J143" s="70" t="inlineStr">
        <is>
          <t>随机关卡房间/四主题复用</t>
        </is>
      </c>
      <c r="K143" s="70" t="inlineStr">
        <is>
          <t>原型已接入</t>
        </is>
      </c>
      <c r="L143" s="70" t="inlineStr">
        <is>
          <t>P0</t>
        </is>
      </c>
      <c r="M143" s="70" t="inlineStr">
        <is>
          <t>v001</t>
        </is>
      </c>
      <c r="N143" s="70" t="inlineStr">
        <is>
          <t>PackedScene/Area3D</t>
        </is>
      </c>
      <c r="O143" s="70" t="inlineStr">
        <is>
          <t>assets/art/props/dungeon_3d/prp_room_light_switch_root_top3d_v001.tscn</t>
        </is>
      </c>
      <c r="P143" s="70" t="inlineStr">
        <is>
          <t>src/world3d/RoomLightSwitch3D.gd</t>
        </is>
      </c>
      <c r="Q143" s="70" t="inlineStr">
        <is>
          <t>房灯开关;墙面交互;中央顶灯;E键</t>
        </is>
      </c>
      <c r="R143" s="70">
        <f>LOWER(TRIM(C143)&amp;"|"&amp;TRIM(D143)&amp;"|"&amp;TRIM(E143)&amp;"|"&amp;TRIM(F143)&amp;"|"&amp;TRIM(H143)&amp;"|"&amp;TRIM(I143))</f>
        <v/>
      </c>
      <c r="S143" s="70">
        <f>IF(A143="","",IF(COUNTIF($R$6:$R$162,R143)&gt;1,"重复","唯一"))</f>
        <v/>
      </c>
      <c r="T143" s="70" t="inlineStr">
        <is>
          <t>7802bc3a71d892072e43962875e26b60443d19de35bcc77fe0cbedcfa6dd5d94</t>
        </is>
      </c>
      <c r="U143" s="70" t="inlineStr">
        <is>
          <t>Codex</t>
        </is>
      </c>
      <c r="V143" s="130" t="n">
        <v>46237</v>
      </c>
      <c r="W143" s="70" t="inlineStr">
        <is>
          <t>原创程序几何</t>
        </is>
      </c>
      <c r="X143" s="70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144">
      <c r="A144" t="inlineStr">
        <is>
          <t>VFX-PLAYER-FLASHLIGHT-3D</t>
        </is>
      </c>
      <c r="B144" t="inlineStr">
        <is>
          <t>玩家真实探照灯组件3D</t>
        </is>
      </c>
      <c r="C144" t="inlineStr">
        <is>
          <t>特效</t>
        </is>
      </c>
      <c r="D144" t="inlineStr">
        <is>
          <t>gameplay_vfx</t>
        </is>
      </c>
      <c r="E144" t="inlineStr">
        <is>
          <t>player_flashlight</t>
        </is>
      </c>
      <c r="F144" t="inlineStr">
        <is>
          <t>light_rig_3d</t>
        </is>
      </c>
      <c r="G144" t="inlineStr">
        <is>
          <t>VFX-VISIBILITY-FIELD-3D</t>
        </is>
      </c>
      <c r="H144" t="inlineStr">
        <is>
          <t>俯视3D</t>
        </is>
      </c>
      <c r="I144" t="inlineStr">
        <is>
          <t>default</t>
        </is>
      </c>
      <c r="J144" t="inlineStr">
        <is>
          <t>3D行动区/靶场/基地</t>
        </is>
      </c>
      <c r="K144" t="inlineStr">
        <is>
          <t>原型已接入</t>
        </is>
      </c>
      <c r="L144" t="inlineStr">
        <is>
          <t>P0</t>
        </is>
      </c>
      <c r="M144" t="inlineStr">
        <is>
          <t>v001</t>
        </is>
      </c>
      <c r="N144" t="inlineStr">
        <is>
          <t>PackedScene/2 SpotLight3D+1 OmniLight3D</t>
        </is>
      </c>
      <c r="O144" t="inlineStr">
        <is>
          <t>assets/art/vfx/visibility_3d/vfx_player_flashlight_root_top3d_v001.tscn</t>
        </is>
      </c>
      <c r="P144" t="inlineStr">
        <is>
          <t>src/player3d/PlayerFlashlight3D.gd</t>
        </is>
      </c>
      <c r="Q144" t="inlineStr">
        <is>
          <t>真实探照灯;玩家灯光;前向聚光;角色补光;可调灯光</t>
        </is>
      </c>
      <c r="R144">
        <f>LOWER(TRIM(C144)&amp;"|"&amp;TRIM(D144)&amp;"|"&amp;TRIM(E144)&amp;"|"&amp;TRIM(F144)&amp;"|"&amp;TRIM(H144)&amp;"|"&amp;TRIM(I144))</f>
        <v/>
      </c>
      <c r="S144">
        <f>IF(A144="","",IF(COUNTIF($R$6:$R$162,R144)&gt;1,"重复","唯一"))</f>
        <v/>
      </c>
      <c r="T144" t="inlineStr">
        <is>
          <t>b389efe1d1fcfd30087a6d3f3f2784effee95cf6c54769fde27ecb6806011a05</t>
        </is>
      </c>
      <c r="U144" t="inlineStr">
        <is>
          <t>Codex</t>
        </is>
      </c>
      <c r="V144" s="131" t="n">
        <v>46225</v>
      </c>
      <c r="W144" s="131" t="inlineStr">
        <is>
          <t>原创程序几何</t>
        </is>
      </c>
      <c r="X144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145">
      <c r="A145" t="inlineStr">
        <is>
          <t>UI-ICON-ITEM-MODEL-3D</t>
        </is>
      </c>
      <c r="B145" t="inlineStr">
        <is>
          <t>背包道具3D模型投影组件</t>
        </is>
      </c>
      <c r="C145" t="inlineStr">
        <is>
          <t>UI</t>
        </is>
      </c>
      <c r="D145" t="inlineStr">
        <is>
          <t>icon</t>
        </is>
      </c>
      <c r="E145" t="inlineStr">
        <is>
          <t>item_model_icon</t>
        </is>
      </c>
      <c r="F145" t="inlineStr">
        <is>
          <t>root_3d</t>
        </is>
      </c>
      <c r="G145" t="inlineStr">
        <is>
          <t>UI-SCREEN-INVENTORY-3D</t>
        </is>
      </c>
      <c r="H145" t="inlineStr">
        <is>
          <t>屏幕空间/3D投影</t>
        </is>
      </c>
      <c r="I145" t="inlineStr">
        <is>
          <t>default</t>
        </is>
      </c>
      <c r="J145" t="inlineStr">
        <is>
          <t>背包/保险格/道具预览</t>
        </is>
      </c>
      <c r="K145" t="inlineStr">
        <is>
          <t>原型已接入</t>
        </is>
      </c>
      <c r="L145" t="inlineStr">
        <is>
          <t>P0</t>
        </is>
      </c>
      <c r="M145" t="inlineStr">
        <is>
          <t>v001</t>
        </is>
      </c>
      <c r="N145" t="inlineStr">
        <is>
          <t>96×96 SubViewport/UPDATE_ONCE</t>
        </is>
      </c>
      <c r="O145" t="inlineStr">
        <is>
          <t>assets/art/ui/inventory_3d/ui_item_model_icon_root_v001.tscn</t>
        </is>
      </c>
      <c r="P145" t="inlineStr">
        <is>
          <t>src/ui/ItemModelIcon3D.gd</t>
        </is>
      </c>
      <c r="Q145" t="inlineStr">
        <is>
          <t>3D道具图标;模型投影;背包图标;共享世界模型;单次渲染</t>
        </is>
      </c>
      <c r="R145">
        <f>LOWER(TRIM(C145)&amp;"|"&amp;TRIM(D145)&amp;"|"&amp;TRIM(E145)&amp;"|"&amp;TRIM(F145)&amp;"|"&amp;TRIM(H145)&amp;"|"&amp;TRIM(I145))</f>
        <v/>
      </c>
      <c r="S145">
        <f>IF(A145="","",IF(COUNTIF($R$6:$R$162,R145)&gt;1,"重复","唯一"))</f>
        <v/>
      </c>
      <c r="T145" t="inlineStr">
        <is>
          <t>97c10f3884107c1263f3de1f8bc1ce84bb568ecd80418b62bdb023c55cdab9fe</t>
        </is>
      </c>
      <c r="U145" t="inlineStr">
        <is>
          <t>Codex</t>
        </is>
      </c>
      <c r="V145" s="131" t="n">
        <v>46225</v>
      </c>
      <c r="W145" t="inlineStr">
        <is>
          <t>原创程序UI</t>
        </is>
      </c>
      <c r="X145" t="inlineStr">
        <is>
          <t>与地面拾取共用 ItemModelFactory3D；96×96 内部视口缩放至56px槽位；只渲染一次；验收图：assets/art/ui/inventory_3d/ui_inventory_item_model_preview_v001.png</t>
        </is>
      </c>
    </row>
    <row r="146" ht="44" customHeight="1">
      <c r="A146" s="63" t="inlineStr">
        <is>
          <t>CHR-PLY-CAPSULE01-BODY-DIY-3D</t>
        </is>
      </c>
      <c r="B146" s="63" t="inlineStr">
        <is>
          <t>胶囊防护体3D身体DIY变体</t>
        </is>
      </c>
      <c r="C146" s="63" t="inlineStr">
        <is>
          <t>角色</t>
        </is>
      </c>
      <c r="D146" s="63" t="inlineStr">
        <is>
          <t>player_variant</t>
        </is>
      </c>
      <c r="E146" s="63" t="inlineStr">
        <is>
          <t>player_capsule01</t>
        </is>
      </c>
      <c r="F146" s="63" t="inlineStr">
        <is>
          <t>body_diy_3d</t>
        </is>
      </c>
      <c r="G146" s="63" t="inlineStr">
        <is>
          <t>CHR-PLY-CAPSULE01-BODY-3D</t>
        </is>
      </c>
      <c r="H146" s="63" t="inlineStr">
        <is>
          <t>俯视3D</t>
        </is>
      </c>
      <c r="I146" s="63" t="inlineStr">
        <is>
          <t>diy</t>
        </is>
      </c>
      <c r="J146" s="63" t="inlineStr">
        <is>
          <t>3D玩家/预览场</t>
        </is>
      </c>
      <c r="K146" s="63" t="inlineStr">
        <is>
          <t>原型已接入</t>
        </is>
      </c>
      <c r="L146" s="63" t="inlineStr">
        <is>
          <t>P1</t>
        </is>
      </c>
      <c r="M146" s="63" t="inlineStr">
        <is>
          <t>v001</t>
        </is>
      </c>
      <c r="N146" s="63" t="inlineStr">
        <is>
          <t>3种程序材质</t>
        </is>
      </c>
      <c r="O146" s="63" t="inlineStr">
        <is>
          <t>src/player3d/PlayerAvatar3D.gd</t>
        </is>
      </c>
      <c r="P146" s="63" t="inlineStr">
        <is>
          <t>VisualRoot/Body</t>
        </is>
      </c>
      <c r="Q146" s="63" t="inlineStr">
        <is>
          <t>身体;防护服;DIY;橄榄;沙色;钴蓝</t>
        </is>
      </c>
      <c r="R146" s="63">
        <f>LOWER(TRIM(C146)&amp;"|"&amp;TRIM(D146)&amp;"|"&amp;TRIM(E146)&amp;"|"&amp;TRIM(F146)&amp;"|"&amp;TRIM(H146)&amp;"|"&amp;TRIM(I146))</f>
        <v/>
      </c>
      <c r="S146" s="63">
        <f>IF(A146="","",IF(COUNTIF($R$6:$R$162,R146)&gt;1,"重复","唯一"))</f>
        <v/>
      </c>
      <c r="T146" s="63" t="inlineStr">
        <is>
          <t>43c7fa3fa002c9e5a2ec27f04fedeefacee2f32f3a91cb232e98f080513e2f7b</t>
        </is>
      </c>
      <c r="U146" s="63" t="inlineStr">
        <is>
          <t>Codex</t>
        </is>
      </c>
      <c r="V146" s="63" t="inlineStr">
        <is>
          <t>2026-07-25</t>
        </is>
      </c>
      <c r="W146" s="63" t="inlineStr">
        <is>
          <t>原创程序几何</t>
        </is>
      </c>
      <c r="X146" s="63" t="inlineStr">
        <is>
          <t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t>
        </is>
      </c>
    </row>
    <row r="147" ht="44" customHeight="1">
      <c r="A147" s="63" t="inlineStr">
        <is>
          <t>CHR-PLY-CAPSULE01-HEAD-DIY-3D</t>
        </is>
      </c>
      <c r="B147" s="63" t="inlineStr">
        <is>
          <t>胶囊防护体3D头部DIY变体</t>
        </is>
      </c>
      <c r="C147" s="63" t="inlineStr">
        <is>
          <t>角色</t>
        </is>
      </c>
      <c r="D147" s="63" t="inlineStr">
        <is>
          <t>player_variant</t>
        </is>
      </c>
      <c r="E147" s="63" t="inlineStr">
        <is>
          <t>player_capsule01</t>
        </is>
      </c>
      <c r="F147" s="63" t="inlineStr">
        <is>
          <t>head_diy_3d</t>
        </is>
      </c>
      <c r="G147" s="63" t="inlineStr">
        <is>
          <t>CHR-PLY-CAPSULE01-HEAD-3D</t>
        </is>
      </c>
      <c r="H147" s="63" t="inlineStr">
        <is>
          <t>俯视3D</t>
        </is>
      </c>
      <c r="I147" s="63" t="inlineStr">
        <is>
          <t>diy</t>
        </is>
      </c>
      <c r="J147" s="63" t="inlineStr">
        <is>
          <t>3D玩家/预览场</t>
        </is>
      </c>
      <c r="K147" s="63" t="inlineStr">
        <is>
          <t>原型已接入</t>
        </is>
      </c>
      <c r="L147" s="63" t="inlineStr">
        <is>
          <t>P1</t>
        </is>
      </c>
      <c r="M147" s="63" t="inlineStr">
        <is>
          <t>v001</t>
        </is>
      </c>
      <c r="N147" s="63" t="inlineStr">
        <is>
          <t>3种程序材质</t>
        </is>
      </c>
      <c r="O147" s="63" t="inlineStr">
        <is>
          <t>src/player3d/PlayerAvatar3D.gd</t>
        </is>
      </c>
      <c r="P147" s="63" t="inlineStr">
        <is>
          <t>VisualRoot/Head</t>
        </is>
      </c>
      <c r="Q147" s="63" t="inlineStr">
        <is>
          <t>头壳;传感器;DIY;青色面板;琥珀装甲</t>
        </is>
      </c>
      <c r="R147" s="63">
        <f>LOWER(TRIM(C147)&amp;"|"&amp;TRIM(D147)&amp;"|"&amp;TRIM(E147)&amp;"|"&amp;TRIM(F147)&amp;"|"&amp;TRIM(H147)&amp;"|"&amp;TRIM(I147))</f>
        <v/>
      </c>
      <c r="S147" s="63">
        <f>IF(A147="","",IF(COUNTIF($R$6:$R$162,R147)&gt;1,"重复","唯一"))</f>
        <v/>
      </c>
      <c r="T147" s="63" t="inlineStr">
        <is>
          <t>43c7fa3fa002c9e5a2ec27f04fedeefacee2f32f3a91cb232e98f080513e2f7b</t>
        </is>
      </c>
      <c r="U147" s="63" t="inlineStr">
        <is>
          <t>Codex</t>
        </is>
      </c>
      <c r="V147" s="63" t="inlineStr">
        <is>
          <t>2026-07-25</t>
        </is>
      </c>
      <c r="W147" s="63" t="inlineStr">
        <is>
          <t>原创程序几何</t>
        </is>
      </c>
      <c r="X147" s="63" t="inlineStr">
        <is>
          <t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t>
        </is>
      </c>
    </row>
    <row r="148" ht="44" customHeight="1">
      <c r="A148" s="63" t="inlineStr">
        <is>
          <t>CHR-PLY-CAPSULE01-HAND-DIY-3D</t>
        </is>
      </c>
      <c r="B148" s="63" t="inlineStr">
        <is>
          <t>胶囊防护体3D手部DIY变体</t>
        </is>
      </c>
      <c r="C148" s="63" t="inlineStr">
        <is>
          <t>角色</t>
        </is>
      </c>
      <c r="D148" s="63" t="inlineStr">
        <is>
          <t>player_variant</t>
        </is>
      </c>
      <c r="E148" s="63" t="inlineStr">
        <is>
          <t>player_capsule01</t>
        </is>
      </c>
      <c r="F148" s="63" t="inlineStr">
        <is>
          <t>hand_diy_3d</t>
        </is>
      </c>
      <c r="G148" s="63" t="inlineStr">
        <is>
          <t>CHR-PLY-CAPSULE01-HAND-3D</t>
        </is>
      </c>
      <c r="H148" s="63" t="inlineStr">
        <is>
          <t>俯视3D</t>
        </is>
      </c>
      <c r="I148" s="63" t="inlineStr">
        <is>
          <t>diy</t>
        </is>
      </c>
      <c r="J148" s="63" t="inlineStr">
        <is>
          <t>3D玩家/预览场</t>
        </is>
      </c>
      <c r="K148" s="63" t="inlineStr">
        <is>
          <t>原型已接入</t>
        </is>
      </c>
      <c r="L148" s="63" t="inlineStr">
        <is>
          <t>P1</t>
        </is>
      </c>
      <c r="M148" s="63" t="inlineStr">
        <is>
          <t>v001</t>
        </is>
      </c>
      <c r="N148" s="63" t="inlineStr">
        <is>
          <t>3种程序材质/抓握压缩</t>
        </is>
      </c>
      <c r="O148" s="63" t="inlineStr">
        <is>
          <t>src/player3d/PlayerAvatar3D.gd</t>
        </is>
      </c>
      <c r="P148" s="63" t="inlineStr">
        <is>
          <t>VisualRoot/Hand</t>
        </is>
      </c>
      <c r="Q148" s="63" t="inlineStr">
        <is>
          <t>唯一手;握持;DIY;橙色;青绿</t>
        </is>
      </c>
      <c r="R148" s="63">
        <f>LOWER(TRIM(C148)&amp;"|"&amp;TRIM(D148)&amp;"|"&amp;TRIM(E148)&amp;"|"&amp;TRIM(F148)&amp;"|"&amp;TRIM(H148)&amp;"|"&amp;TRIM(I148))</f>
        <v/>
      </c>
      <c r="S148" s="63">
        <f>IF(A148="","",IF(COUNTIF($R$6:$R$162,R148)&gt;1,"重复","唯一"))</f>
        <v/>
      </c>
      <c r="T148" s="63" t="inlineStr">
        <is>
          <t>43c7fa3fa002c9e5a2ec27f04fedeefacee2f32f3a91cb232e98f080513e2f7b</t>
        </is>
      </c>
      <c r="U148" s="63" t="inlineStr">
        <is>
          <t>Codex</t>
        </is>
      </c>
      <c r="V148" s="63" t="inlineStr">
        <is>
          <t>2026-07-25</t>
        </is>
      </c>
      <c r="W148" s="63" t="inlineStr">
        <is>
          <t>原创程序几何</t>
        </is>
      </c>
      <c r="X148" s="63" t="inlineStr">
        <is>
          <t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t>
        </is>
      </c>
    </row>
    <row r="149" ht="44" customHeight="1">
      <c r="A149" s="63" t="inlineStr">
        <is>
          <t>CHR-PLY-CAPSULE01-HAT-DIY-3D</t>
        </is>
      </c>
      <c r="B149" s="63" t="inlineStr">
        <is>
          <t>胶囊防护体3D帽子DIY组件</t>
        </is>
      </c>
      <c r="C149" s="63" t="inlineStr">
        <is>
          <t>角色</t>
        </is>
      </c>
      <c r="D149" s="63" t="inlineStr">
        <is>
          <t>player_accessory</t>
        </is>
      </c>
      <c r="E149" s="63" t="inlineStr">
        <is>
          <t>player_capsule01</t>
        </is>
      </c>
      <c r="F149" s="63" t="inlineStr">
        <is>
          <t>hat_diy_3d</t>
        </is>
      </c>
      <c r="G149" s="63" t="inlineStr">
        <is>
          <t>CHR-PLY-CAPSULE01-HEAD-3D</t>
        </is>
      </c>
      <c r="H149" s="63" t="inlineStr">
        <is>
          <t>俯视3D</t>
        </is>
      </c>
      <c r="I149" s="63" t="inlineStr">
        <is>
          <t>diy</t>
        </is>
      </c>
      <c r="J149" s="63" t="inlineStr">
        <is>
          <t>3D玩家/预览场</t>
        </is>
      </c>
      <c r="K149" s="63" t="inlineStr">
        <is>
          <t>原型已接入</t>
        </is>
      </c>
      <c r="L149" s="63" t="inlineStr">
        <is>
          <t>P1</t>
        </is>
      </c>
      <c r="M149" s="63" t="inlineStr">
        <is>
          <t>v001</t>
        </is>
      </c>
      <c r="N149" s="63" t="inlineStr">
        <is>
          <t>软帽/安全帽/密封兜帽</t>
        </is>
      </c>
      <c r="O149" s="63" t="inlineStr">
        <is>
          <t>src/player3d/PlayerAvatar3D.gd</t>
        </is>
      </c>
      <c r="P149" s="63" t="inlineStr">
        <is>
          <t>VisualRoot/Head/Wearables</t>
        </is>
      </c>
      <c r="Q149" s="63" t="inlineStr">
        <is>
          <t>帽子;软帽;安全帽;兜帽;DIY</t>
        </is>
      </c>
      <c r="R149" s="63">
        <f>LOWER(TRIM(C149)&amp;"|"&amp;TRIM(D149)&amp;"|"&amp;TRIM(E149)&amp;"|"&amp;TRIM(F149)&amp;"|"&amp;TRIM(H149)&amp;"|"&amp;TRIM(I149))</f>
        <v/>
      </c>
      <c r="S149" s="63">
        <f>IF(A149="","",IF(COUNTIF($R$6:$R$162,R149)&gt;1,"重复","唯一"))</f>
        <v/>
      </c>
      <c r="T149" s="63" t="inlineStr">
        <is>
          <t>43c7fa3fa002c9e5a2ec27f04fedeefacee2f32f3a91cb232e98f080513e2f7b</t>
        </is>
      </c>
      <c r="U149" s="63" t="inlineStr">
        <is>
          <t>Codex</t>
        </is>
      </c>
      <c r="V149" s="63" t="inlineStr">
        <is>
          <t>2026-07-25</t>
        </is>
      </c>
      <c r="W149" s="63" t="inlineStr">
        <is>
          <t>原创程序几何</t>
        </is>
      </c>
      <c r="X149" s="63" t="inlineStr">
        <is>
          <t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t>
        </is>
      </c>
    </row>
    <row r="150" ht="44" customHeight="1">
      <c r="A150" s="63" t="inlineStr">
        <is>
          <t>CHR-PLY-CAPSULE01-GLASSES-DIY-3D</t>
        </is>
      </c>
      <c r="B150" s="63" t="inlineStr">
        <is>
          <t>胶囊防护体3D眼镜DIY组件</t>
        </is>
      </c>
      <c r="C150" s="63" t="inlineStr">
        <is>
          <t>角色</t>
        </is>
      </c>
      <c r="D150" s="63" t="inlineStr">
        <is>
          <t>player_accessory</t>
        </is>
      </c>
      <c r="E150" s="63" t="inlineStr">
        <is>
          <t>player_capsule01</t>
        </is>
      </c>
      <c r="F150" s="63" t="inlineStr">
        <is>
          <t>glasses_diy_3d</t>
        </is>
      </c>
      <c r="G150" s="63" t="inlineStr">
        <is>
          <t>CHR-PLY-CAPSULE01-HEAD-3D</t>
        </is>
      </c>
      <c r="H150" s="63" t="inlineStr">
        <is>
          <t>俯视3D</t>
        </is>
      </c>
      <c r="I150" s="63" t="inlineStr">
        <is>
          <t>diy</t>
        </is>
      </c>
      <c r="J150" s="63" t="inlineStr">
        <is>
          <t>3D玩家/预览场</t>
        </is>
      </c>
      <c r="K150" s="63" t="inlineStr">
        <is>
          <t>原型已接入</t>
        </is>
      </c>
      <c r="L150" s="63" t="inlineStr">
        <is>
          <t>P1</t>
        </is>
      </c>
      <c r="M150" s="63" t="inlineStr">
        <is>
          <t>v001</t>
        </is>
      </c>
      <c r="N150" s="63" t="inlineStr">
        <is>
          <t>单目镜/双目护镜/宽面护目镜</t>
        </is>
      </c>
      <c r="O150" s="63" t="inlineStr">
        <is>
          <t>src/player3d/PlayerAvatar3D.gd</t>
        </is>
      </c>
      <c r="P150" s="63" t="inlineStr">
        <is>
          <t>VisualRoot/Head/Wearables</t>
        </is>
      </c>
      <c r="Q150" s="63" t="inlineStr">
        <is>
          <t>眼镜;单目镜;护目镜;宽面护目镜;DIY</t>
        </is>
      </c>
      <c r="R150" s="63">
        <f>LOWER(TRIM(C150)&amp;"|"&amp;TRIM(D150)&amp;"|"&amp;TRIM(E150)&amp;"|"&amp;TRIM(F150)&amp;"|"&amp;TRIM(H150)&amp;"|"&amp;TRIM(I150))</f>
        <v/>
      </c>
      <c r="S150" s="63">
        <f>IF(A150="","",IF(COUNTIF($R$6:$R$162,R150)&gt;1,"重复","唯一"))</f>
        <v/>
      </c>
      <c r="T150" s="63" t="inlineStr">
        <is>
          <t>43c7fa3fa002c9e5a2ec27f04fedeefacee2f32f3a91cb232e98f080513e2f7b</t>
        </is>
      </c>
      <c r="U150" s="63" t="inlineStr">
        <is>
          <t>Codex</t>
        </is>
      </c>
      <c r="V150" s="63" t="inlineStr">
        <is>
          <t>2026-07-25</t>
        </is>
      </c>
      <c r="W150" s="63" t="inlineStr">
        <is>
          <t>原创程序几何</t>
        </is>
      </c>
      <c r="X150" s="63" t="inlineStr">
        <is>
          <t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t>
        </is>
      </c>
    </row>
    <row r="151" ht="44" customHeight="1">
      <c r="A151" s="63" t="inlineStr">
        <is>
          <t>CHR-PLY-CAPSULE01-FOOT-3D</t>
        </is>
      </c>
      <c r="B151" s="63" t="inlineStr">
        <is>
          <t>方形猫角色3D脚部模块</t>
        </is>
      </c>
      <c r="C151" s="63" t="inlineStr">
        <is>
          <t>角色</t>
        </is>
      </c>
      <c r="D151" s="63" t="inlineStr">
        <is>
          <t>player</t>
        </is>
      </c>
      <c r="E151" s="63" t="inlineStr">
        <is>
          <t>player_capsule01</t>
        </is>
      </c>
      <c r="F151" s="63" t="inlineStr">
        <is>
          <t>feet_3d</t>
        </is>
      </c>
      <c r="G151" s="63" t="inlineStr">
        <is>
          <t>CHR-PLY-CAPSULE01-3D</t>
        </is>
      </c>
      <c r="H151" s="63" t="inlineStr">
        <is>
          <t>俯视3D</t>
        </is>
      </c>
      <c r="I151" s="63" t="inlineStr">
        <is>
          <t>default</t>
        </is>
      </c>
      <c r="J151" s="63" t="inlineStr">
        <is>
          <t>3D玩家/预览场</t>
        </is>
      </c>
      <c r="K151" s="63" t="inlineStr">
        <is>
          <t>原型已接入</t>
        </is>
      </c>
      <c r="L151" s="63" t="inlineStr">
        <is>
          <t>P1</t>
        </is>
      </c>
      <c r="M151" s="63" t="inlineStr">
        <is>
          <t>v001</t>
        </is>
      </c>
      <c r="N151" s="63" t="inlineStr">
        <is>
          <t>双BoxMesh短脚</t>
        </is>
      </c>
      <c r="O151" s="63" t="inlineStr">
        <is>
          <t>assets/art/characters/player/chr_player_capsule01_3d/chr_player_capsule01_root_top3d_v001.tscn</t>
        </is>
      </c>
      <c r="P151" s="63" t="inlineStr">
        <is>
          <t>VisualRoot/Feet</t>
        </is>
      </c>
      <c r="Q151" s="63" t="inlineStr">
        <is>
          <t>脚;脚部;双脚;方脚;猫脚</t>
        </is>
      </c>
      <c r="R151" s="63">
        <f>LOWER(TRIM(C151)&amp;"|"&amp;TRIM(D151)&amp;"|"&amp;TRIM(E151)&amp;"|"&amp;TRIM(F151)&amp;"|"&amp;TRIM(H151)&amp;"|"&amp;TRIM(I151))</f>
        <v/>
      </c>
      <c r="S151" s="63">
        <f>IF(A151="","",IF(COUNTIF($R$6:$R$162,R151)&gt;1,"重复","唯一"))</f>
        <v/>
      </c>
      <c r="T151" s="63" t="inlineStr">
        <is>
          <t>cf0b3b648d56590f1e024553d224df35007358452ea16ad1651ae9af4a7dde49</t>
        </is>
      </c>
      <c r="U151" s="63" t="inlineStr">
        <is>
          <t>Codex</t>
        </is>
      </c>
      <c r="V151" s="63" t="inlineStr">
        <is>
          <t>2026-07-25</t>
        </is>
      </c>
      <c r="W151" s="63" t="inlineStr">
        <is>
          <t>原创程序几何</t>
        </is>
      </c>
      <c r="X151" s="63" t="inlineStr">
        <is>
          <t>方形猫角色3D脚部模块；复用CHR-PLY-CAPSULE01-3D玩家根；方形主语言，TailStub为用户指定圆尾例外；自动与视觉验收PASS</t>
        </is>
      </c>
    </row>
    <row r="152" ht="44" customHeight="1">
      <c r="A152" s="63" t="inlineStr">
        <is>
          <t>CHR-PLY-CAPSULE01-EYES-3D</t>
        </is>
      </c>
      <c r="B152" s="63" t="inlineStr">
        <is>
          <t>方形猫角色3D双眼配件</t>
        </is>
      </c>
      <c r="C152" s="63" t="inlineStr">
        <is>
          <t>角色</t>
        </is>
      </c>
      <c r="D152" s="63" t="inlineStr">
        <is>
          <t>player_accessory</t>
        </is>
      </c>
      <c r="E152" s="63" t="inlineStr">
        <is>
          <t>player_capsule01</t>
        </is>
      </c>
      <c r="F152" s="63" t="inlineStr">
        <is>
          <t>eyes_3d</t>
        </is>
      </c>
      <c r="G152" s="63" t="inlineStr">
        <is>
          <t>CHR-PLY-CAPSULE01-HEAD-3D</t>
        </is>
      </c>
      <c r="H152" s="63" t="inlineStr">
        <is>
          <t>俯视3D</t>
        </is>
      </c>
      <c r="I152" s="63" t="inlineStr">
        <is>
          <t>default</t>
        </is>
      </c>
      <c r="J152" s="63" t="inlineStr">
        <is>
          <t>3D玩家/预览场</t>
        </is>
      </c>
      <c r="K152" s="63" t="inlineStr">
        <is>
          <t>原型已接入</t>
        </is>
      </c>
      <c r="L152" s="63" t="inlineStr">
        <is>
          <t>P1</t>
        </is>
      </c>
      <c r="M152" s="63" t="inlineStr">
        <is>
          <t>v001</t>
        </is>
      </c>
      <c r="N152" s="63" t="inlineStr">
        <is>
          <t>2个矩形豆豆眼</t>
        </is>
      </c>
      <c r="O152" s="63" t="inlineStr">
        <is>
          <t>assets/art/characters/player/chr_player_capsule01_3d/chr_player_capsule01_root_top3d_v001.tscn</t>
        </is>
      </c>
      <c r="P152" s="63" t="inlineStr">
        <is>
          <t>VisualRoot/Head/Eyes</t>
        </is>
      </c>
      <c r="Q152" s="63" t="inlineStr">
        <is>
          <t>眼睛;双眼;豆豆眼;矩形眼</t>
        </is>
      </c>
      <c r="R152" s="63">
        <f>LOWER(TRIM(C152)&amp;"|"&amp;TRIM(D152)&amp;"|"&amp;TRIM(E152)&amp;"|"&amp;TRIM(F152)&amp;"|"&amp;TRIM(H152)&amp;"|"&amp;TRIM(I152))</f>
        <v/>
      </c>
      <c r="S152" s="63">
        <f>IF(A152="","",IF(COUNTIF($R$6:$R$162,R152)&gt;1,"重复","唯一"))</f>
        <v/>
      </c>
      <c r="T152" s="63" t="inlineStr">
        <is>
          <t>cf0b3b648d56590f1e024553d224df35007358452ea16ad1651ae9af4a7dde49</t>
        </is>
      </c>
      <c r="U152" s="63" t="inlineStr">
        <is>
          <t>Codex</t>
        </is>
      </c>
      <c r="V152" s="63" t="inlineStr">
        <is>
          <t>2026-07-25</t>
        </is>
      </c>
      <c r="W152" s="63" t="inlineStr">
        <is>
          <t>原创程序几何</t>
        </is>
      </c>
      <c r="X152" s="63" t="inlineStr">
        <is>
          <t>方形猫角色3D双眼配件；复用CHR-PLY-CAPSULE01-3D玩家根；方形主语言，TailStub为用户指定圆尾例外；自动与视觉验收PASS</t>
        </is>
      </c>
    </row>
    <row r="153" ht="44" customHeight="1">
      <c r="A153" s="63" t="inlineStr">
        <is>
          <t>CHR-PLY-CAPSULE01-EARS-3D</t>
        </is>
      </c>
      <c r="B153" s="63" t="inlineStr">
        <is>
          <t>方形猫角色3D双耳配件</t>
        </is>
      </c>
      <c r="C153" s="63" t="inlineStr">
        <is>
          <t>角色</t>
        </is>
      </c>
      <c r="D153" s="63" t="inlineStr">
        <is>
          <t>player_accessory</t>
        </is>
      </c>
      <c r="E153" s="63" t="inlineStr">
        <is>
          <t>player_capsule01</t>
        </is>
      </c>
      <c r="F153" s="63" t="inlineStr">
        <is>
          <t>ears_3d</t>
        </is>
      </c>
      <c r="G153" s="63" t="inlineStr">
        <is>
          <t>CHR-PLY-CAPSULE01-HEAD-3D</t>
        </is>
      </c>
      <c r="H153" s="63" t="inlineStr">
        <is>
          <t>俯视3D</t>
        </is>
      </c>
      <c r="I153" s="63" t="inlineStr">
        <is>
          <t>default</t>
        </is>
      </c>
      <c r="J153" s="63" t="inlineStr">
        <is>
          <t>3D玩家/预览场</t>
        </is>
      </c>
      <c r="K153" s="63" t="inlineStr">
        <is>
          <t>原型已接入</t>
        </is>
      </c>
      <c r="L153" s="63" t="inlineStr">
        <is>
          <t>P1</t>
        </is>
      </c>
      <c r="M153" s="63" t="inlineStr">
        <is>
          <t>v001</t>
        </is>
      </c>
      <c r="N153" s="63" t="inlineStr">
        <is>
          <t>2个三角耳</t>
        </is>
      </c>
      <c r="O153" s="63" t="inlineStr">
        <is>
          <t>assets/art/characters/player/chr_player_capsule01_3d/chr_player_capsule01_root_top3d_v001.tscn</t>
        </is>
      </c>
      <c r="P153" s="63" t="inlineStr">
        <is>
          <t>VisualRoot/Head/Ears</t>
        </is>
      </c>
      <c r="Q153" s="63" t="inlineStr">
        <is>
          <t>耳朵;双耳;猫耳;三角耳</t>
        </is>
      </c>
      <c r="R153" s="63">
        <f>LOWER(TRIM(C153)&amp;"|"&amp;TRIM(D153)&amp;"|"&amp;TRIM(E153)&amp;"|"&amp;TRIM(F153)&amp;"|"&amp;TRIM(H153)&amp;"|"&amp;TRIM(I153))</f>
        <v/>
      </c>
      <c r="S153" s="63">
        <f>IF(A153="","",IF(COUNTIF($R$6:$R$162,R153)&gt;1,"重复","唯一"))</f>
        <v/>
      </c>
      <c r="T153" s="63" t="inlineStr">
        <is>
          <t>cf0b3b648d56590f1e024553d224df35007358452ea16ad1651ae9af4a7dde49</t>
        </is>
      </c>
      <c r="U153" s="63" t="inlineStr">
        <is>
          <t>Codex</t>
        </is>
      </c>
      <c r="V153" s="63" t="inlineStr">
        <is>
          <t>2026-07-25</t>
        </is>
      </c>
      <c r="W153" s="63" t="inlineStr">
        <is>
          <t>原创程序几何</t>
        </is>
      </c>
      <c r="X153" s="63" t="inlineStr">
        <is>
          <t>方形猫角色3D双耳配件；复用CHR-PLY-CAPSULE01-3D玩家根；方形主语言，TailStub为用户指定圆尾例外；自动与视觉验收PASS</t>
        </is>
      </c>
    </row>
    <row r="154" ht="44" customHeight="1">
      <c r="A154" s="63" t="inlineStr">
        <is>
          <t>CHR-PLY-CAPSULE01-TAIL-STUB-3D</t>
        </is>
      </c>
      <c r="B154" s="63" t="inlineStr">
        <is>
          <t>方形猫角色3D圆短尾</t>
        </is>
      </c>
      <c r="C154" s="63" t="inlineStr">
        <is>
          <t>角色</t>
        </is>
      </c>
      <c r="D154" s="63" t="inlineStr">
        <is>
          <t>player_accessory</t>
        </is>
      </c>
      <c r="E154" s="63" t="inlineStr">
        <is>
          <t>player_capsule01</t>
        </is>
      </c>
      <c r="F154" s="63" t="inlineStr">
        <is>
          <t>tail_stub_3d</t>
        </is>
      </c>
      <c r="G154" s="63" t="inlineStr">
        <is>
          <t>CHR-PLY-CAPSULE01-BODY-3D</t>
        </is>
      </c>
      <c r="H154" s="63" t="inlineStr">
        <is>
          <t>俯视3D</t>
        </is>
      </c>
      <c r="I154" s="63" t="inlineStr">
        <is>
          <t>default</t>
        </is>
      </c>
      <c r="J154" s="63" t="inlineStr">
        <is>
          <t>3D玩家/预览场</t>
        </is>
      </c>
      <c r="K154" s="63" t="inlineStr">
        <is>
          <t>原型已接入</t>
        </is>
      </c>
      <c r="L154" s="63" t="inlineStr">
        <is>
          <t>P1</t>
        </is>
      </c>
      <c r="M154" s="63" t="inlineStr">
        <is>
          <t>v001</t>
        </is>
      </c>
      <c r="N154" s="63" t="inlineStr">
        <is>
          <t>单个SphereMesh圆尾团</t>
        </is>
      </c>
      <c r="O154" s="63" t="inlineStr">
        <is>
          <t>assets/art/characters/player/chr_player_capsule01_3d/chr_player_capsule01_root_top3d_v001.tscn</t>
        </is>
      </c>
      <c r="P154" s="63" t="inlineStr">
        <is>
          <t>VisualRoot/Body/TailStub</t>
        </is>
      </c>
      <c r="Q154" s="63" t="inlineStr">
        <is>
          <t>尾巴;短尾;圆尾;尾团;无长尾</t>
        </is>
      </c>
      <c r="R154" s="63">
        <f>LOWER(TRIM(C154)&amp;"|"&amp;TRIM(D154)&amp;"|"&amp;TRIM(E154)&amp;"|"&amp;TRIM(F154)&amp;"|"&amp;TRIM(H154)&amp;"|"&amp;TRIM(I154))</f>
        <v/>
      </c>
      <c r="S154" s="63">
        <f>IF(A154="","",IF(COUNTIF($R$6:$R$162,R154)&gt;1,"重复","唯一"))</f>
        <v/>
      </c>
      <c r="T154" s="63" t="inlineStr">
        <is>
          <t>cf0b3b648d56590f1e024553d224df35007358452ea16ad1651ae9af4a7dde49</t>
        </is>
      </c>
      <c r="U154" s="63" t="inlineStr">
        <is>
          <t>Codex</t>
        </is>
      </c>
      <c r="V154" s="63" t="inlineStr">
        <is>
          <t>2026-07-25</t>
        </is>
      </c>
      <c r="W154" s="63" t="inlineStr">
        <is>
          <t>原创程序几何</t>
        </is>
      </c>
      <c r="X154" s="63" t="inlineStr">
        <is>
          <t>方形猫角色3D圆短尾；复用CHR-PLY-CAPSULE01-3D玩家根；方形主语言，TailStub为用户指定圆尾例外；自动与视觉验收PASS</t>
        </is>
      </c>
    </row>
    <row r="155" ht="44" customHeight="1">
      <c r="A155" s="63" t="inlineStr">
        <is>
          <t>CHR-PLY-CAPSULE01-FEET-DIY-3D</t>
        </is>
      </c>
      <c r="B155" s="63" t="inlineStr">
        <is>
          <t>方形猫角色3D脚部DIY变体</t>
        </is>
      </c>
      <c r="C155" s="63" t="inlineStr">
        <is>
          <t>角色</t>
        </is>
      </c>
      <c r="D155" s="63" t="inlineStr">
        <is>
          <t>player_variant</t>
        </is>
      </c>
      <c r="E155" s="63" t="inlineStr">
        <is>
          <t>player_capsule01</t>
        </is>
      </c>
      <c r="F155" s="63" t="inlineStr">
        <is>
          <t>feet_diy_3d</t>
        </is>
      </c>
      <c r="G155" s="63" t="inlineStr">
        <is>
          <t>CHR-PLY-CAPSULE01-FOOT-3D</t>
        </is>
      </c>
      <c r="H155" s="63" t="inlineStr">
        <is>
          <t>俯视3D</t>
        </is>
      </c>
      <c r="I155" s="63" t="inlineStr">
        <is>
          <t>diy</t>
        </is>
      </c>
      <c r="J155" s="63" t="inlineStr">
        <is>
          <t>3D玩家/预览场</t>
        </is>
      </c>
      <c r="K155" s="63" t="inlineStr">
        <is>
          <t>原型已接入</t>
        </is>
      </c>
      <c r="L155" s="63" t="inlineStr">
        <is>
          <t>P1</t>
        </is>
      </c>
      <c r="M155" s="63" t="inlineStr">
        <is>
          <t>v001</t>
        </is>
      </c>
      <c r="N155" s="63" t="inlineStr">
        <is>
          <t>4种程序材质</t>
        </is>
      </c>
      <c r="O155" s="63" t="inlineStr">
        <is>
          <t>src/player3d/PlayerAvatar3D.gd</t>
        </is>
      </c>
      <c r="P155" s="63" t="inlineStr">
        <is>
          <t>VisualRoot/Feet</t>
        </is>
      </c>
      <c r="Q155" s="63" t="inlineStr">
        <is>
          <t>脚部DIY;猫脚;短靴;橙色;沙色;钴蓝;青绿</t>
        </is>
      </c>
      <c r="R155" s="63">
        <f>LOWER(TRIM(C155)&amp;"|"&amp;TRIM(D155)&amp;"|"&amp;TRIM(E155)&amp;"|"&amp;TRIM(F155)&amp;"|"&amp;TRIM(H155)&amp;"|"&amp;TRIM(I155))</f>
        <v/>
      </c>
      <c r="S155" s="63">
        <f>IF(A155="","",IF(COUNTIF($R$6:$R$162,R155)&gt;1,"重复","唯一"))</f>
        <v/>
      </c>
      <c r="T155" s="63" t="inlineStr">
        <is>
          <t>43c7fa3fa002c9e5a2ec27f04fedeefacee2f32f3a91cb232e98f080513e2f7b</t>
        </is>
      </c>
      <c r="U155" s="63" t="inlineStr">
        <is>
          <t>Codex</t>
        </is>
      </c>
      <c r="V155" s="63" t="inlineStr">
        <is>
          <t>2026-07-25</t>
        </is>
      </c>
      <c r="W155" s="63" t="inlineStr">
        <is>
          <t>原创程序几何</t>
        </is>
      </c>
      <c r="X155" s="63" t="inlineStr">
        <is>
          <t>方形猫角色3D脚部DIY变体；复用CHR-PLY-CAPSULE01-3D玩家根；方形主语言，TailStub为用户指定圆尾例外；自动与视觉验收PASS</t>
        </is>
      </c>
    </row>
    <row r="156" ht="132" customHeight="1">
      <c r="A156" s="70" t="inlineStr">
        <is>
          <t>CHR-PLY-CAPSULE01-3D-BUNNY01</t>
        </is>
      </c>
      <c r="B156" s="70" t="inlineStr">
        <is>
          <t>兔子主角3D根变体</t>
        </is>
      </c>
      <c r="C156" s="70" t="inlineStr">
        <is>
          <t>角色</t>
        </is>
      </c>
      <c r="D156" s="70" t="inlineStr">
        <is>
          <t>player_variant</t>
        </is>
      </c>
      <c r="E156" s="70" t="inlineStr">
        <is>
          <t>player_capsule01</t>
        </is>
      </c>
      <c r="F156" s="70" t="inlineStr">
        <is>
          <t>root_3d_bunny01</t>
        </is>
      </c>
      <c r="G156" s="70" t="inlineStr">
        <is>
          <t>CHR-PLY-CAPSULE01-3D</t>
        </is>
      </c>
      <c r="H156" s="70" t="inlineStr">
        <is>
          <t>俯视3D</t>
        </is>
      </c>
      <c r="I156" s="70" t="inlineStr">
        <is>
          <t>default</t>
        </is>
      </c>
      <c r="J156" s="70" t="inlineStr">
        <is>
          <t>3D玩家场景</t>
        </is>
      </c>
      <c r="K156" s="70" t="inlineStr">
        <is>
          <t>原型已接入</t>
        </is>
      </c>
      <c r="L156" s="70" t="inlineStr">
        <is>
          <t>P0</t>
        </is>
      </c>
      <c r="M156" s="70" t="inlineStr">
        <is>
          <t>v006</t>
        </is>
      </c>
      <c r="N156" s="70" t="inlineStr">
        <is>
          <t>1.034×1.500×0.645 m / 完整视觉含耳</t>
        </is>
      </c>
      <c r="O156" s="70" t="inlineStr">
        <is>
          <t>assets/art/characters/player/chr_player_capsule01_3d/variants/bunny01/chr_player_capsule01_bunny01_root_top3d_v006.tscn</t>
        </is>
      </c>
      <c r="P156" s="70" t="inlineStr">
        <is>
          <t>assets/art/characters/player/chr_player_capsule01_3d/variants/bunny01/source/chr_player_capsule01_bunny01_top3d_v006.blend</t>
        </is>
      </c>
      <c r="Q156" s="70" t="inlineStr">
        <is>
          <t>兔子;主角;兔耳;3D;Blender;bunny01</t>
        </is>
      </c>
      <c r="R156" s="70">
        <f>LOWER(TRIM(C156)&amp;"|"&amp;TRIM(D156)&amp;"|"&amp;TRIM(E156)&amp;"|"&amp;TRIM(F156)&amp;"|"&amp;TRIM(H156)&amp;"|"&amp;TRIM(I156))</f>
        <v/>
      </c>
      <c r="S156" s="70">
        <f>IF(A156="","",IF(COUNTIF($R$6:$R$162,R156)&gt;1,"重复","唯一"))</f>
        <v/>
      </c>
      <c r="T156" s="70" t="inlineStr">
        <is>
          <t>b894e9fe05f8898bf035b7b383c27407cf027208ccf8fec65a2ba22c1f390624</t>
        </is>
      </c>
      <c r="U156" s="70" t="inlineStr">
        <is>
          <t>Codex</t>
        </is>
      </c>
      <c r="V156" s="130" t="n">
        <v>46243</v>
      </c>
      <c r="W156" s="130" t="inlineStr">
        <is>
          <t>原创 Blender/Godot 组合</t>
        </is>
      </c>
      <c r="X156" s="70" t="inlineStr">
        <is>
          <t>v0.1 v006：正式BunnyRig保持双手武器姿势；新增BodyJoint/LowerBodySocket；DIY body/head/hand/feet直接映射可见GLB材质；状态画廊覆盖层读数兼容结构化flashlight快照。角色网格保持layer2与现有外部灯光投影契约。</t>
        </is>
      </c>
    </row>
    <row r="157" ht="118" customHeight="1">
      <c r="A157" s="70" t="inlineStr">
        <is>
          <t>CHR-PLY-CAPSULE01-3D-BUNNY01-BODY</t>
        </is>
      </c>
      <c r="B157" s="70" t="inlineStr">
        <is>
          <t>兔子主角3D身体</t>
        </is>
      </c>
      <c r="C157" s="70" t="inlineStr">
        <is>
          <t>角色</t>
        </is>
      </c>
      <c r="D157" s="70" t="inlineStr">
        <is>
          <t>player_component</t>
        </is>
      </c>
      <c r="E157" s="70" t="inlineStr">
        <is>
          <t>player_capsule01</t>
        </is>
      </c>
      <c r="F157" s="70" t="inlineStr">
        <is>
          <t>body_3d_bunny01</t>
        </is>
      </c>
      <c r="G157" s="70" t="inlineStr">
        <is>
          <t>CHR-PLY-CAPSULE01-3D-BUNNY01</t>
        </is>
      </c>
      <c r="H157" s="70" t="inlineStr">
        <is>
          <t>俯视3D</t>
        </is>
      </c>
      <c r="I157" s="70" t="inlineStr">
        <is>
          <t>default</t>
        </is>
      </c>
      <c r="J157" s="70" t="inlineStr">
        <is>
          <t>3D玩家场景</t>
        </is>
      </c>
      <c r="K157" s="70" t="inlineStr">
        <is>
          <t>原型已接入</t>
        </is>
      </c>
      <c r="L157" s="70" t="inlineStr">
        <is>
          <t>P0</t>
        </is>
      </c>
      <c r="M157" s="70" t="inlineStr">
        <is>
          <t>v006</t>
        </is>
      </c>
      <c r="N157" s="70" t="inlineStr">
        <is>
          <t>GLB / 1,958 verts / pivot-local / 1.5m总高比例</t>
        </is>
      </c>
      <c r="O157" s="70" t="inlineStr">
        <is>
          <t>assets/art/characters/player/chr_player_capsule01_3d/variants/bunny01/components/chr_player_capsule01_bunny01_body_top3d_v006.glb</t>
        </is>
      </c>
      <c r="P157" s="70" t="inlineStr">
        <is>
          <t>assets/art/characters/player/chr_player_capsule01_3d/variants/bunny01/source/chr_player_capsule01_bunny01_top3d_v006.blend</t>
        </is>
      </c>
      <c r="Q157" s="70" t="inlineStr">
        <is>
          <t>兔子;身体;服装;body;bunny01</t>
        </is>
      </c>
      <c r="R157" s="70">
        <f>LOWER(TRIM(C157)&amp;"|"&amp;TRIM(D157)&amp;"|"&amp;TRIM(E157)&amp;"|"&amp;TRIM(F157)&amp;"|"&amp;TRIM(H157)&amp;"|"&amp;TRIM(I157))</f>
        <v/>
      </c>
      <c r="S157" s="70">
        <f>IF(A157="","",IF(COUNTIF($R$6:$R$162,R157)&gt;1,"重复","唯一"))</f>
        <v/>
      </c>
      <c r="T157" s="70" t="inlineStr">
        <is>
          <t>c574d76e0f19c1aaa4bee5f427a81028d7b3f0f50299f67b4dbf02a60fc5668d</t>
        </is>
      </c>
      <c r="U157" s="70" t="inlineStr">
        <is>
          <t>Codex</t>
        </is>
      </c>
      <c r="V157" s="130" t="n">
        <v>46243</v>
      </c>
      <c r="W157" s="70" t="inlineStr">
        <is>
          <t>用户提供 Blender 源文件</t>
        </is>
      </c>
      <c r="X157" s="70" t="inlineStr">
        <is>
          <t>v0.1 v006：身体网格与底部中心原点保持不变；BodyJoint新增LowerBodySocket local=(0,0.14,0)，用于裙摆/腰甲/下摆并继承全部身体程序动画。</t>
        </is>
      </c>
    </row>
    <row r="158" ht="118" customHeight="1">
      <c r="A158" s="70" t="inlineStr">
        <is>
          <t>CHR-PLY-CAPSULE01-3D-BUNNY01-HEAD</t>
        </is>
      </c>
      <c r="B158" s="70" t="inlineStr">
        <is>
          <t>兔子主角3D头部</t>
        </is>
      </c>
      <c r="C158" s="70" t="inlineStr">
        <is>
          <t>角色</t>
        </is>
      </c>
      <c r="D158" s="70" t="inlineStr">
        <is>
          <t>player_component</t>
        </is>
      </c>
      <c r="E158" s="70" t="inlineStr">
        <is>
          <t>player_capsule01</t>
        </is>
      </c>
      <c r="F158" s="70" t="inlineStr">
        <is>
          <t>head_3d_bunny01</t>
        </is>
      </c>
      <c r="G158" s="70" t="inlineStr">
        <is>
          <t>CHR-PLY-CAPSULE01-3D-BUNNY01</t>
        </is>
      </c>
      <c r="H158" s="70" t="inlineStr">
        <is>
          <t>俯视3D</t>
        </is>
      </c>
      <c r="I158" s="70" t="inlineStr">
        <is>
          <t>default</t>
        </is>
      </c>
      <c r="J158" s="70" t="inlineStr">
        <is>
          <t>3D玩家场景</t>
        </is>
      </c>
      <c r="K158" s="70" t="inlineStr">
        <is>
          <t>原型已接入</t>
        </is>
      </c>
      <c r="L158" s="70" t="inlineStr">
        <is>
          <t>P0</t>
        </is>
      </c>
      <c r="M158" s="70" t="inlineStr">
        <is>
          <t>v006</t>
        </is>
      </c>
      <c r="N158" s="70" t="inlineStr">
        <is>
          <t>GLB / 5,936 verts / pivot-local / 头顶1.103390m</t>
        </is>
      </c>
      <c r="O158" s="70" t="inlineStr">
        <is>
          <t>assets/art/characters/player/chr_player_capsule01_3d/variants/bunny01/components/chr_player_capsule01_bunny01_head_top3d_v006.glb</t>
        </is>
      </c>
      <c r="P158" s="70" t="inlineStr">
        <is>
          <t>assets/art/characters/player/chr_player_capsule01_3d/variants/bunny01/source/chr_player_capsule01_bunny01_top3d_v006.blend</t>
        </is>
      </c>
      <c r="Q158" s="70" t="inlineStr">
        <is>
          <t>兔子;头部;head;bunny01</t>
        </is>
      </c>
      <c r="R158" s="70">
        <f>LOWER(TRIM(C158)&amp;"|"&amp;TRIM(D158)&amp;"|"&amp;TRIM(E158)&amp;"|"&amp;TRIM(F158)&amp;"|"&amp;TRIM(H158)&amp;"|"&amp;TRIM(I158))</f>
        <v/>
      </c>
      <c r="S158" s="70">
        <f>IF(A158="","",IF(COUNTIF($R$6:$R$162,R158)&gt;1,"重复","唯一"))</f>
        <v/>
      </c>
      <c r="T158" s="70" t="inlineStr">
        <is>
          <t>b8db86c722bb2ae4d760b8219051f492251f6b9fa29882c8e32453b020973c24</t>
        </is>
      </c>
      <c r="U158" s="70" t="inlineStr">
        <is>
          <t>Codex</t>
        </is>
      </c>
      <c r="V158" s="130" t="n">
        <v>46233</v>
      </c>
      <c r="W158" s="70" t="inlineStr">
        <is>
          <t>用户提供 Blender 源文件</t>
        </is>
      </c>
      <c r="X158" s="70" t="inlineStr">
        <is>
          <t>v0.1 v006：头部与下沿中心原点真实1.5倍；不含耳头顶1.103390m，完整双耳顶部1.500m。</t>
        </is>
      </c>
    </row>
    <row r="159" ht="118" customHeight="1">
      <c r="A159" s="70" t="inlineStr">
        <is>
          <t>CHR-PLY-CAPSULE01-3D-BUNNY01-EARS</t>
        </is>
      </c>
      <c r="B159" s="70" t="inlineStr">
        <is>
          <t>兔子主角3D双耳配件</t>
        </is>
      </c>
      <c r="C159" s="70" t="inlineStr">
        <is>
          <t>角色</t>
        </is>
      </c>
      <c r="D159" s="70" t="inlineStr">
        <is>
          <t>player_accessory</t>
        </is>
      </c>
      <c r="E159" s="70" t="inlineStr">
        <is>
          <t>player_capsule01</t>
        </is>
      </c>
      <c r="F159" s="70" t="inlineStr">
        <is>
          <t>ears_3d_bunny01</t>
        </is>
      </c>
      <c r="G159" s="70" t="inlineStr">
        <is>
          <t>CHR-PLY-CAPSULE01-3D-BUNNY01-HEAD</t>
        </is>
      </c>
      <c r="H159" s="70" t="inlineStr">
        <is>
          <t>俯视3D</t>
        </is>
      </c>
      <c r="I159" s="70" t="inlineStr">
        <is>
          <t>default</t>
        </is>
      </c>
      <c r="J159" s="70" t="inlineStr">
        <is>
          <t>3D玩家场景</t>
        </is>
      </c>
      <c r="K159" s="70" t="inlineStr">
        <is>
          <t>原型已接入</t>
        </is>
      </c>
      <c r="L159" s="70" t="inlineStr">
        <is>
          <t>P0</t>
        </is>
      </c>
      <c r="M159" s="70" t="inlineStr">
        <is>
          <t>v006</t>
        </is>
      </c>
      <c r="N159" s="70" t="inlineStr">
        <is>
          <t>单 GLB / 1,536 verts / pivot-local / 双实例</t>
        </is>
      </c>
      <c r="O159" s="70" t="inlineStr">
        <is>
          <t>assets/art/characters/player/chr_player_capsule01_3d/variants/bunny01/components/chr_player_capsule01_bunny01_ear_top3d_v006.glb</t>
        </is>
      </c>
      <c r="P159" s="70" t="inlineStr">
        <is>
          <t>assets/art/characters/player/chr_player_capsule01_3d/variants/bunny01/source/chr_player_capsule01_bunny01_top3d_v006.blend</t>
        </is>
      </c>
      <c r="Q159" s="70" t="inlineStr">
        <is>
          <t>兔耳;耳朵;耳部配件;EarSocketL;EarSocketR;bunny01</t>
        </is>
      </c>
      <c r="R159" s="70">
        <f>LOWER(TRIM(C159)&amp;"|"&amp;TRIM(D159)&amp;"|"&amp;TRIM(E159)&amp;"|"&amp;TRIM(F159)&amp;"|"&amp;TRIM(H159)&amp;"|"&amp;TRIM(I159))</f>
        <v/>
      </c>
      <c r="S159" s="70">
        <f>IF(A159="","",IF(COUNTIF($R$6:$R$162,R159)&gt;1,"重复","唯一"))</f>
        <v/>
      </c>
      <c r="T159" s="70" t="inlineStr">
        <is>
          <t>ed3c7abe283166648fafb43373c1dc2222bf9134f3d7bb8e0ebd8d3a05242ebf</t>
        </is>
      </c>
      <c r="U159" s="70" t="inlineStr">
        <is>
          <t>Codex</t>
        </is>
      </c>
      <c r="V159" s="130" t="n">
        <v>46233</v>
      </c>
      <c r="W159" s="70" t="inlineStr">
        <is>
          <t>用户提供 Blender 源文件</t>
        </is>
      </c>
      <c r="X159" s="70" t="inlineStr">
        <is>
          <t>v0.1 v006：耳朵网格与耳根原点真实1.5倍；左右挂点复用单资产，装配后最高点严格1.500m。</t>
        </is>
      </c>
    </row>
    <row r="160" ht="118" customHeight="1">
      <c r="A160" s="70" t="inlineStr">
        <is>
          <t>CHR-PLY-CAPSULE01-3D-BUNNY01-HAND</t>
        </is>
      </c>
      <c r="B160" s="70" t="inlineStr">
        <is>
          <t>兔子主角3D双爪表现组件</t>
        </is>
      </c>
      <c r="C160" s="70" t="inlineStr">
        <is>
          <t>角色</t>
        </is>
      </c>
      <c r="D160" s="70" t="inlineStr">
        <is>
          <t>player_component</t>
        </is>
      </c>
      <c r="E160" s="70" t="inlineStr">
        <is>
          <t>player_capsule01</t>
        </is>
      </c>
      <c r="F160" s="70" t="inlineStr">
        <is>
          <t>hand_3d_bunny01</t>
        </is>
      </c>
      <c r="G160" s="70" t="inlineStr">
        <is>
          <t>CHR-PLY-CAPSULE01-3D-BUNNY01</t>
        </is>
      </c>
      <c r="H160" s="70" t="inlineStr">
        <is>
          <t>俯视3D</t>
        </is>
      </c>
      <c r="I160" s="70" t="inlineStr">
        <is>
          <t>default</t>
        </is>
      </c>
      <c r="J160" s="70" t="inlineStr">
        <is>
          <t>3D玩家场景</t>
        </is>
      </c>
      <c r="K160" s="70" t="inlineStr">
        <is>
          <t>原型已接入</t>
        </is>
      </c>
      <c r="L160" s="70" t="inlineStr">
        <is>
          <t>P0</t>
        </is>
      </c>
      <c r="M160" s="70" t="inlineStr">
        <is>
          <t>v006</t>
        </is>
      </c>
      <c r="N160" s="70" t="inlineStr">
        <is>
          <t>双 GLB / 左右各1,058 verts / pivot-local / 1.5m角色比例</t>
        </is>
      </c>
      <c r="O160" s="70" t="inlineStr">
        <is>
          <t>assets/art/characters/player/chr_player_capsule01_3d/variants/bunny01/components/chr_player_capsule01_bunny01_hand_l_top3d_v006.glb; assets/art/characters/player/chr_player_capsule01_3d/variants/bunny01/components/chr_player_capsule01_bunny01_hand_r_top3d_v006.glb</t>
        </is>
      </c>
      <c r="P160" s="70" t="inlineStr">
        <is>
          <t>assets/art/characters/player/chr_player_capsule01_3d/variants/bunny01/source/chr_player_capsule01_bunny01_top3d_v006.blend</t>
        </is>
      </c>
      <c r="Q160" s="70" t="inlineStr">
        <is>
          <t>兔爪;手;握持;weapon_socket;bunny01</t>
        </is>
      </c>
      <c r="R160" s="70">
        <f>LOWER(TRIM(C160)&amp;"|"&amp;TRIM(D160)&amp;"|"&amp;TRIM(E160)&amp;"|"&amp;TRIM(F160)&amp;"|"&amp;TRIM(H160)&amp;"|"&amp;TRIM(I160))</f>
        <v/>
      </c>
      <c r="S160" s="70">
        <f>IF(A160="","",IF(COUNTIF($R$6:$R$162,R160)&gt;1,"重复","唯一"))</f>
        <v/>
      </c>
      <c r="T160" s="70" t="inlineStr">
        <is>
          <t>2c6647c0e4f234e9312ba65e7c73f55c02627be9b7a2c35d1591d86a20cb5f16 / b3ada7b67d0224156d1c39af0bdc0e53af02cb5d26ba68d4746b7859a84a1d10</t>
        </is>
      </c>
      <c r="U160" s="70" t="inlineStr">
        <is>
          <t>Codex</t>
        </is>
      </c>
      <c r="V160" s="130" t="n">
        <v>46233</v>
      </c>
      <c r="W160" s="70" t="inlineStr">
        <is>
          <t>用户提供 Blender 源文件</t>
        </is>
      </c>
      <c r="X160" s="70" t="inlineStr">
        <is>
          <t>v0.1 v006：左右手、手腕原点、单/双手握持目标和动作平移统一改用0.606060606米制比例；持枪外观与确认预览一致。</t>
        </is>
      </c>
    </row>
    <row r="161" ht="132" customHeight="1">
      <c r="A161" s="70" t="inlineStr">
        <is>
          <t>CHR-PLY-CAPSULE01-3D-BUNNY01-FOOT-L</t>
        </is>
      </c>
      <c r="B161" s="70" t="inlineStr">
        <is>
          <t>兔子主角3D左脚</t>
        </is>
      </c>
      <c r="C161" s="70" t="inlineStr">
        <is>
          <t>角色</t>
        </is>
      </c>
      <c r="D161" s="70" t="inlineStr">
        <is>
          <t>player_component</t>
        </is>
      </c>
      <c r="E161" s="70" t="inlineStr">
        <is>
          <t>player_capsule01</t>
        </is>
      </c>
      <c r="F161" s="70" t="inlineStr">
        <is>
          <t>foot_l_3d_bunny01</t>
        </is>
      </c>
      <c r="G161" s="70" t="inlineStr">
        <is>
          <t>CHR-PLY-CAPSULE01-3D-BUNNY01</t>
        </is>
      </c>
      <c r="H161" s="70" t="inlineStr">
        <is>
          <t>俯视3D</t>
        </is>
      </c>
      <c r="I161" s="70" t="inlineStr">
        <is>
          <t>moving</t>
        </is>
      </c>
      <c r="J161" s="70" t="inlineStr">
        <is>
          <t>3D玩家场景</t>
        </is>
      </c>
      <c r="K161" s="70" t="inlineStr">
        <is>
          <t>原型已接入</t>
        </is>
      </c>
      <c r="L161" s="70" t="inlineStr">
        <is>
          <t>P0</t>
        </is>
      </c>
      <c r="M161" s="70" t="inlineStr">
        <is>
          <t>v006</t>
        </is>
      </c>
      <c r="N161" s="70" t="inlineStr">
        <is>
          <t>GLB / 5,396 verts / pivot-local / 1.5m角色比例</t>
        </is>
      </c>
      <c r="O161" s="70" t="inlineStr">
        <is>
          <t>assets/art/characters/player/chr_player_capsule01_3d/variants/bunny01/components/chr_player_capsule01_bunny01_foot_l_top3d_v006.glb</t>
        </is>
      </c>
      <c r="P161" s="70" t="inlineStr">
        <is>
          <t>assets/art/characters/player/chr_player_capsule01_3d/variants/bunny01/source/chr_player_capsule01_bunny01_top3d_v006.blend</t>
        </is>
      </c>
      <c r="Q161" s="70" t="inlineStr">
        <is>
          <t>兔脚;左脚;步态;FootL;bunny01</t>
        </is>
      </c>
      <c r="R161" s="70">
        <f>LOWER(TRIM(C161)&amp;"|"&amp;TRIM(D161)&amp;"|"&amp;TRIM(E161)&amp;"|"&amp;TRIM(F161)&amp;"|"&amp;TRIM(H161)&amp;"|"&amp;TRIM(I161))</f>
        <v/>
      </c>
      <c r="S161" s="70">
        <f>IF(A161="","",IF(COUNTIF($R$6:$R$162,R161)&gt;1,"重复","唯一"))</f>
        <v/>
      </c>
      <c r="T161" s="70" t="inlineStr">
        <is>
          <t>52051cba0db701d977c8baa8d7ed9899825b10406803ac63e6a3f66efbd80b64</t>
        </is>
      </c>
      <c r="U161" s="70" t="inlineStr">
        <is>
          <t>Codex</t>
        </is>
      </c>
      <c r="V161" s="130" t="n">
        <v>46233</v>
      </c>
      <c r="W161" s="70" t="inlineStr">
        <is>
          <t>用户提供 Blender 源文件</t>
        </is>
      </c>
      <c r="X161" s="70" t="inlineStr">
        <is>
          <t>v0.1：v006网格与AssetID不变；FootJointL除moving步态外新增falling收腿与landing压缩恢复职责，动作由PlayerAvatar3D程序变换驱动。</t>
        </is>
      </c>
    </row>
    <row r="162" ht="132" customHeight="1">
      <c r="A162" s="70" t="inlineStr">
        <is>
          <t>CHR-PLY-CAPSULE01-3D-BUNNY01-FOOT-R</t>
        </is>
      </c>
      <c r="B162" s="70" t="inlineStr">
        <is>
          <t>兔子主角3D右脚</t>
        </is>
      </c>
      <c r="C162" s="70" t="inlineStr">
        <is>
          <t>角色</t>
        </is>
      </c>
      <c r="D162" s="70" t="inlineStr">
        <is>
          <t>player_component</t>
        </is>
      </c>
      <c r="E162" s="70" t="inlineStr">
        <is>
          <t>player_capsule01</t>
        </is>
      </c>
      <c r="F162" s="70" t="inlineStr">
        <is>
          <t>foot_r_3d_bunny01</t>
        </is>
      </c>
      <c r="G162" s="70" t="inlineStr">
        <is>
          <t>CHR-PLY-CAPSULE01-3D-BUNNY01</t>
        </is>
      </c>
      <c r="H162" s="70" t="inlineStr">
        <is>
          <t>俯视3D</t>
        </is>
      </c>
      <c r="I162" s="70" t="inlineStr">
        <is>
          <t>moving</t>
        </is>
      </c>
      <c r="J162" s="70" t="inlineStr">
        <is>
          <t>3D玩家场景</t>
        </is>
      </c>
      <c r="K162" s="70" t="inlineStr">
        <is>
          <t>原型已接入</t>
        </is>
      </c>
      <c r="L162" s="70" t="inlineStr">
        <is>
          <t>P0</t>
        </is>
      </c>
      <c r="M162" s="70" t="inlineStr">
        <is>
          <t>v006</t>
        </is>
      </c>
      <c r="N162" s="70" t="inlineStr">
        <is>
          <t>GLB / 5,396 verts / pivot-local / 1.5m角色比例</t>
        </is>
      </c>
      <c r="O162" s="70" t="inlineStr">
        <is>
          <t>assets/art/characters/player/chr_player_capsule01_3d/variants/bunny01/components/chr_player_capsule01_bunny01_foot_r_top3d_v006.glb</t>
        </is>
      </c>
      <c r="P162" s="70" t="inlineStr">
        <is>
          <t>assets/art/characters/player/chr_player_capsule01_3d/variants/bunny01/source/chr_player_capsule01_bunny01_top3d_v006.blend</t>
        </is>
      </c>
      <c r="Q162" s="70" t="inlineStr">
        <is>
          <t>兔脚;右脚;步态;FootR;bunny01</t>
        </is>
      </c>
      <c r="R162" s="70">
        <f>LOWER(TRIM(C162)&amp;"|"&amp;TRIM(D162)&amp;"|"&amp;TRIM(E162)&amp;"|"&amp;TRIM(F162)&amp;"|"&amp;TRIM(H162)&amp;"|"&amp;TRIM(I162))</f>
        <v/>
      </c>
      <c r="S162" s="70">
        <f>IF(A162="","",IF(COUNTIF($R$6:$R$162,R162)&gt;1,"重复","唯一"))</f>
        <v/>
      </c>
      <c r="T162" s="70" t="inlineStr">
        <is>
          <t>d81e840f5c087b349fd6e19b4cb7e65eb79294edb937fdc75192b66967c29e2e</t>
        </is>
      </c>
      <c r="U162" s="70" t="inlineStr">
        <is>
          <t>Codex</t>
        </is>
      </c>
      <c r="V162" s="130" t="n">
        <v>46233</v>
      </c>
      <c r="W162" s="70" t="inlineStr">
        <is>
          <t>用户提供 Blender 源文件</t>
        </is>
      </c>
      <c r="X162" s="70" t="inlineStr">
        <is>
          <t>v0.1：v006网格与AssetID不变；FootJointR除moving步态外新增falling收腿与landing压缩恢复职责，动作由PlayerAvatar3D程序变换驱动。</t>
        </is>
      </c>
    </row>
    <row r="163" ht="155" customHeight="1">
      <c r="A163" s="70" t="inlineStr">
        <is>
          <t>ENV-TOWER-DESCENT-KIT-3D</t>
        </is>
      </c>
      <c r="B163" s="70" t="inlineStr">
        <is>
          <t>向下爬楼塔楼3D五米模块化母版</t>
        </is>
      </c>
      <c r="C163" s="70" t="inlineStr">
        <is>
          <t>场景</t>
        </is>
      </c>
      <c r="D163" s="70" t="inlineStr">
        <is>
          <t>room_kit</t>
        </is>
      </c>
      <c r="E163" s="70" t="inlineStr">
        <is>
          <t>tower_descent</t>
        </is>
      </c>
      <c r="F163" s="70" t="inlineStr">
        <is>
          <t>root_3d</t>
        </is>
      </c>
      <c r="G163" s="70" t="inlineStr">
        <is>
          <t>ENV-DUNGEON-RUNTIME-3D</t>
        </is>
      </c>
      <c r="H163" s="70" t="inlineStr">
        <is>
          <t>俯视3D</t>
        </is>
      </c>
      <c r="I163" s="70" t="inlineStr">
        <is>
          <t>godot_runtime</t>
        </is>
      </c>
      <c r="J163" s="70" t="inlineStr">
        <is>
          <t>250×250m整层；99层30×30m/6×6格基地；98—95层终局路线；2.2×2.5m门</t>
        </is>
      </c>
      <c r="K163" s="70" t="inlineStr">
        <is>
          <t>原型已接入</t>
        </is>
      </c>
      <c r="L163" s="70" t="inlineStr">
        <is>
          <t>P0</t>
        </is>
      </c>
      <c r="M163" s="70" t="inlineStr">
        <is>
          <t>v007</t>
        </is>
      </c>
      <c r="N163" s="70" t="inlineStr">
        <is>
          <t>Blender 4.2源文件/1单位=1m/PH49运行时布局审阅集合</t>
        </is>
      </c>
      <c r="O163" s="70" t="inlineStr">
        <is>
          <t>assets/art/environments/tower_descent_3d/source/env_tower_descent_kit_top3d_v007.blend</t>
        </is>
      </c>
      <c r="P163" s="70" t="inlineStr">
        <is>
          <t>assets/art/environments/tower_descent_3d/source/validate_env_tower_descent_kit_top3d_v007.py; assets/art/environments/tower_descent_3d/source/render_env_tower_descent_kit_top3d_v007.py; docs/v0.1/03_关卡与场景设计.md</t>
        </is>
      </c>
      <c r="Q163" s="70" t="inlineStr">
        <is>
          <t>塔楼;向下爬楼;楼顶;基地层;战斗层;特殊楼梯;通用楼梯;五米网格;模块化地砖;模块化墙;模块化门;Blender</t>
        </is>
      </c>
      <c r="R163" s="70" t="inlineStr">
        <is>
          <t>场景|room_kit|tower_descent|root_3d|俯视3d|blender_review</t>
        </is>
      </c>
      <c r="S163" s="70" t="inlineStr">
        <is>
          <t>唯一</t>
        </is>
      </c>
      <c r="T163" s="70" t="inlineStr">
        <is>
          <t>ef19c00e61478f0b3268edd9746e7fcf6704a2865aac0b4121474ab9b98e7552</t>
        </is>
      </c>
      <c r="U163" s="70" t="inlineStr">
        <is>
          <t>Codex</t>
        </is>
      </c>
      <c r="V163" s="130" t="n">
        <v>46237</v>
      </c>
      <c r="W163" s="130" t="inlineStr">
        <is>
          <t>程序生成 Blender 源集合</t>
        </is>
      </c>
      <c r="X163" s="70" t="inlineStr">
        <is>
          <t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t>
        </is>
      </c>
    </row>
    <row r="164" ht="132" customHeight="1">
      <c r="A164" s="70" t="inlineStr">
        <is>
          <t>ENV-TOWER-FLOOR-TILE-5M</t>
        </is>
      </c>
      <c r="B164" s="70" t="inlineStr">
        <is>
          <t>塔楼5米地砖模块</t>
        </is>
      </c>
      <c r="C164" s="70" t="inlineStr">
        <is>
          <t>场景</t>
        </is>
      </c>
      <c r="D164" s="70" t="inlineStr">
        <is>
          <t>room_kit</t>
        </is>
      </c>
      <c r="E164" s="70" t="inlineStr">
        <is>
          <t>tower_descent</t>
        </is>
      </c>
      <c r="F164" s="70" t="inlineStr">
        <is>
          <t>floor_tile_5m</t>
        </is>
      </c>
      <c r="G164" s="70" t="inlineStr">
        <is>
          <t>ENV-TOWER-DESCENT-KIT-3D</t>
        </is>
      </c>
      <c r="H164" s="70" t="inlineStr">
        <is>
          <t>俯视3D</t>
        </is>
      </c>
      <c r="I164" s="70" t="inlineStr">
        <is>
          <t>godot_runtime</t>
        </is>
      </c>
      <c r="J164" s="70" t="inlineStr">
        <is>
          <t>塔楼六个物理层楼板/335m MultiMesh网格/动态水平通道</t>
        </is>
      </c>
      <c r="K164" s="70" t="inlineStr">
        <is>
          <t>原型已接入</t>
        </is>
      </c>
      <c r="L164" s="70" t="inlineStr">
        <is>
          <t>P0</t>
        </is>
      </c>
      <c r="M164" s="70" t="inlineStr">
        <is>
          <t>v001</t>
        </is>
      </c>
      <c r="N164" s="70" t="inlineStr">
        <is>
          <t>GLB / 5×5×0.30m / 共享Mesh / MultiMesh平铺</t>
        </is>
      </c>
      <c r="O164" s="70" t="inlineStr">
        <is>
          <t>assets/art/environments/tower_descent_3d/components/env_tower_floor_tile_5m_top3d_v001.glb</t>
        </is>
      </c>
      <c r="P164" s="70" t="inlineStr">
        <is>
          <t>Blender集合=10A_MOD_FLOOR_TILE_5M_U01; export_env_tower_5m_modules_v001.py; TowerFloorStage3D.gd; tests/verification/verify_tower_descent_flow.tscn</t>
        </is>
      </c>
      <c r="Q164" s="70" t="inlineStr">
        <is>
          <t>塔楼;地砖;楼板;5米;模块化;平铺;四向接口</t>
        </is>
      </c>
      <c r="R164" s="70" t="inlineStr">
        <is>
          <t>场景|room_kit|tower_descent|floor_tile_5m|俯视3d|blender_review</t>
        </is>
      </c>
      <c r="S164" s="70" t="inlineStr">
        <is>
          <t>母版子集合</t>
        </is>
      </c>
      <c r="T164" s="70" t="inlineStr">
        <is>
          <t>987b220bef57c4176590caf7568c909d90768450c00f7e4e27c4c61986e6ef2d</t>
        </is>
      </c>
      <c r="U164" s="70" t="inlineStr">
        <is>
          <t>Codex</t>
        </is>
      </c>
      <c r="V164" s="130" t="n">
        <v>46237</v>
      </c>
      <c r="W164" s="70" t="inlineStr">
        <is>
          <t>程序生成Blender源集合</t>
        </is>
      </c>
      <c r="X164" s="70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</t>
        </is>
      </c>
    </row>
    <row r="165" ht="132" customHeight="1">
      <c r="A165" s="70" t="inlineStr">
        <is>
          <t>ENV-TOWER-WALL-SOLID-5M</t>
        </is>
      </c>
      <c r="B165" s="70" t="inlineStr">
        <is>
          <t>塔楼5米满高实墙模块</t>
        </is>
      </c>
      <c r="C165" s="70" t="inlineStr">
        <is>
          <t>场景</t>
        </is>
      </c>
      <c r="D165" s="70" t="inlineStr">
        <is>
          <t>room_kit</t>
        </is>
      </c>
      <c r="E165" s="70" t="inlineStr">
        <is>
          <t>tower_descent</t>
        </is>
      </c>
      <c r="F165" s="70" t="inlineStr">
        <is>
          <t>wall_solid_5m</t>
        </is>
      </c>
      <c r="G165" s="70" t="inlineStr">
        <is>
          <t>ENV-TOWER-DESCENT-KIT-3D</t>
        </is>
      </c>
      <c r="H165" s="70" t="inlineStr">
        <is>
          <t>俯视3D</t>
        </is>
      </c>
      <c r="I165" s="70" t="inlineStr">
        <is>
          <t>godot_runtime</t>
        </is>
      </c>
      <c r="J165" s="70" t="inlineStr">
        <is>
          <t>整层外墙/65m核心/探索房内墙/5m正交走廊</t>
        </is>
      </c>
      <c r="K165" s="70" t="inlineStr">
        <is>
          <t>原型已接入</t>
        </is>
      </c>
      <c r="L165" s="70" t="inlineStr">
        <is>
          <t>P0</t>
        </is>
      </c>
      <c r="M165" s="70" t="inlineStr">
        <is>
          <t>v001</t>
        </is>
      </c>
      <c r="N165" s="70" t="inlineStr">
        <is>
          <t>GLB / 5×0.30×9m / 共享Mesh / 可旋转</t>
        </is>
      </c>
      <c r="O165" s="70" t="inlineStr">
        <is>
          <t>assets/art/environments/tower_descent_3d/components/env_tower_wall_solid_5m_top3d_v001.glb</t>
        </is>
      </c>
      <c r="P165" s="70" t="inlineStr">
        <is>
          <t>Blender集合=10B_MOD_WALL_SOLID_5M_U01; export_env_tower_5m_modules_v001.py; DungeonRoom3D.gd; TowerFloorStage3D.gd; mat_tower_wall_solid_a_v001.tres; mat_tower_wall_solid_b_v001.tres; tests/verification/verify_tower_descent_flow.tscn</t>
        </is>
      </c>
      <c r="Q165" s="70" t="inlineStr">
        <is>
          <t>塔楼;实墙;满高墙;5米;模块化;室内隔墙;核心外墙</t>
        </is>
      </c>
      <c r="R165" s="70" t="inlineStr">
        <is>
          <t>场景|room_kit|tower_descent|wall_solid_5m|俯视3d|blender_review</t>
        </is>
      </c>
      <c r="S165" s="70" t="inlineStr">
        <is>
          <t>母版子集合</t>
        </is>
      </c>
      <c r="T165" s="70" t="inlineStr">
        <is>
          <t>5680bf2dedc964fcbfd5e5ee7d5ba86af5ba8a2c77c64a02151aee19a7f2cc33</t>
        </is>
      </c>
      <c r="U165" s="70" t="inlineStr">
        <is>
          <t>Codex</t>
        </is>
      </c>
      <c r="V165" s="130" t="n">
        <v>46237</v>
      </c>
      <c r="W165" s="70" t="inlineStr">
        <is>
          <t>程序生成 Blender 源集合</t>
        </is>
      </c>
      <c r="X165" s="70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t>
        </is>
      </c>
    </row>
    <row r="166" ht="132" customHeight="1">
      <c r="A166" s="70" t="inlineStr">
        <is>
          <t>ENV-TOWER-WALL-PARAPET-5M</t>
        </is>
      </c>
      <c r="B166" s="70" t="inlineStr">
        <is>
          <t>塔楼5米楼顶女儿墙模块</t>
        </is>
      </c>
      <c r="C166" s="70" t="inlineStr">
        <is>
          <t>场景</t>
        </is>
      </c>
      <c r="D166" s="70" t="inlineStr">
        <is>
          <t>room_kit</t>
        </is>
      </c>
      <c r="E166" s="70" t="inlineStr">
        <is>
          <t>tower_descent</t>
        </is>
      </c>
      <c r="F166" s="70" t="inlineStr">
        <is>
          <t>wall_parapet_5m</t>
        </is>
      </c>
      <c r="G166" s="70" t="inlineStr">
        <is>
          <t>ENV-TOWER-DESCENT-KIT-3D</t>
        </is>
      </c>
      <c r="H166" s="70" t="inlineStr">
        <is>
          <t>俯视3D</t>
        </is>
      </c>
      <c r="I166" s="70" t="inlineStr">
        <is>
          <t>godot_runtime</t>
        </is>
      </c>
      <c r="J166" s="70" t="inlineStr">
        <is>
          <t>335m楼顶四周边界/268段MultiMesh围栏</t>
        </is>
      </c>
      <c r="K166" s="70" t="inlineStr">
        <is>
          <t>原型已接入</t>
        </is>
      </c>
      <c r="L166" s="70" t="inlineStr">
        <is>
          <t>P1</t>
        </is>
      </c>
      <c r="M166" s="70" t="inlineStr">
        <is>
          <t>v001</t>
        </is>
      </c>
      <c r="N166" s="70" t="inlineStr">
        <is>
          <t>GLB / 5×0.30×1.50m / 共享Mesh</t>
        </is>
      </c>
      <c r="O166" s="70" t="inlineStr">
        <is>
          <t>assets/art/environments/tower_descent_3d/components/env_tower_wall_parapet_5m_top3d_v001.glb</t>
        </is>
      </c>
      <c r="P166" s="70" t="inlineStr">
        <is>
          <t>Blender集合=10C_MOD_WALL_PARAPET_5M_U01; export_env_tower_5m_modules_v001.py; TowerFloorStage3D.gd; tests/verification/verify_tower_descent_visual.tscn</t>
        </is>
      </c>
      <c r="Q166" s="70" t="inlineStr">
        <is>
          <t>塔楼;女儿墙;护栏;5米;模块化;楼顶边界</t>
        </is>
      </c>
      <c r="R166" s="70" t="inlineStr">
        <is>
          <t>场景|room_kit|tower_descent|wall_parapet_5m|俯视3d|blender_review</t>
        </is>
      </c>
      <c r="S166" s="70" t="inlineStr">
        <is>
          <t>母版子集合</t>
        </is>
      </c>
      <c r="T166" s="70" t="inlineStr">
        <is>
          <t>44fdb663487a9bf010d8fa249a2f9811843409c35d9f7ce8d09c48f7de7bf808</t>
        </is>
      </c>
      <c r="U166" s="70" t="inlineStr">
        <is>
          <t>Codex</t>
        </is>
      </c>
      <c r="V166" s="130" t="n">
        <v>46233</v>
      </c>
      <c r="W166" s="70" t="inlineStr">
        <is>
          <t>程序生成Blender源集合</t>
        </is>
      </c>
      <c r="X166" s="70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167" ht="155" customHeight="1">
      <c r="A167" s="70" t="inlineStr">
        <is>
          <t>ENV-TOWER-WALL-DOOR-5M</t>
        </is>
      </c>
      <c r="B167" s="70" t="inlineStr">
        <is>
          <t>塔楼5米带门墙模块</t>
        </is>
      </c>
      <c r="C167" s="70" t="inlineStr">
        <is>
          <t>场景</t>
        </is>
      </c>
      <c r="D167" s="70" t="inlineStr">
        <is>
          <t>room_kit</t>
        </is>
      </c>
      <c r="E167" s="70" t="inlineStr">
        <is>
          <t>tower_descent</t>
        </is>
      </c>
      <c r="F167" s="70" t="inlineStr">
        <is>
          <t>wall_door_5m</t>
        </is>
      </c>
      <c r="G167" s="70" t="inlineStr">
        <is>
          <t>ENV-TOWER-DESCENT-KIT-3D</t>
        </is>
      </c>
      <c r="H167" s="70" t="inlineStr">
        <is>
          <t>俯视3D</t>
        </is>
      </c>
      <c r="I167" s="70" t="inlineStr">
        <is>
          <t>godot_runtime</t>
        </is>
      </c>
      <c r="J167" s="70" t="inlineStr">
        <is>
          <t>5m墙位/2.2m净宽/2.5m净高/独立门扇</t>
        </is>
      </c>
      <c r="K167" s="70" t="inlineStr">
        <is>
          <t>原型已接入</t>
        </is>
      </c>
      <c r="L167" s="70" t="inlineStr">
        <is>
          <t>P0</t>
        </is>
      </c>
      <c r="M167" s="70" t="inlineStr">
        <is>
          <t>v002</t>
        </is>
      </c>
      <c r="N167" s="70" t="inlineStr">
        <is>
          <t>Blender 4.2 GLB/7个Mesh部件/2.2×2.5m净开口</t>
        </is>
      </c>
      <c r="O167" s="70" t="inlineStr">
        <is>
          <t>assets/art/environments/tower_descent_3d/components/env_tower_wall_door_5m_top3d_v002.glb</t>
        </is>
      </c>
      <c r="P167" s="70" t="inlineStr">
        <is>
          <t>assets/art/environments/tower_descent_3d/source/export_env_tower_door_5m_v002.py; assets/art/environments/tower_descent_3d/source/env_tower_descent_kit_top3d_v007.blend</t>
        </is>
      </c>
      <c r="Q167" s="70" t="inlineStr">
        <is>
          <t>塔楼;门;门洞;5米;模块化;肉鸽触发;独立门扇</t>
        </is>
      </c>
      <c r="R167" s="70" t="inlineStr">
        <is>
          <t>场景|room_kit|tower_descent|wall_door_5m|俯视3d|blender_review</t>
        </is>
      </c>
      <c r="S167" s="70" t="inlineStr">
        <is>
          <t>母版子集合</t>
        </is>
      </c>
      <c r="T167" s="70" t="inlineStr">
        <is>
          <t>75f03e2bc785b0d957df9e27940ac9a024097ce6f2c371ae947b2c48cce69ca1</t>
        </is>
      </c>
      <c r="U167" s="70" t="inlineStr">
        <is>
          <t>Codex</t>
        </is>
      </c>
      <c r="V167" s="130" t="n">
        <v>46236</v>
      </c>
      <c r="W167" s="70" t="inlineStr">
        <is>
          <t>程序生成 Blender 源集合</t>
        </is>
      </c>
      <c r="X167" s="70" t="inlineStr">
        <is>
          <t>2026-08-02：南北门墙统一使用仅限相机层的门洞代理，开门不再全局绕过后墙检测；代理不阻挡玩家、怪物或子弹。</t>
        </is>
      </c>
    </row>
    <row r="168" ht="132" customHeight="1">
      <c r="A168" s="70" t="inlineStr">
        <is>
          <t>ENV-TOWER-STAIRWELL-GENERIC-9M</t>
        </is>
      </c>
      <c r="B168" s="70" t="inlineStr">
        <is>
          <t>塔楼9米通用双跑楼梯间</t>
        </is>
      </c>
      <c r="C168" s="70" t="inlineStr">
        <is>
          <t>场景</t>
        </is>
      </c>
      <c r="D168" s="70" t="inlineStr">
        <is>
          <t>room_kit</t>
        </is>
      </c>
      <c r="E168" s="70" t="inlineStr">
        <is>
          <t>tower_descent</t>
        </is>
      </c>
      <c r="F168" s="70" t="inlineStr">
        <is>
          <t>stairwell_generic_9m</t>
        </is>
      </c>
      <c r="G168" s="70" t="inlineStr">
        <is>
          <t>ENV-TOWER-DESCENT-KIT-3D</t>
        </is>
      </c>
      <c r="H168" s="70" t="inlineStr">
        <is>
          <t>俯视3D</t>
        </is>
      </c>
      <c r="I168" s="70" t="inlineStr">
        <is>
          <t>godot_runtime</t>
        </is>
      </c>
      <c r="J168" s="70" t="inlineStr">
        <is>
          <t>99层以下通用楼梯/四向旋转/上下楼交通</t>
        </is>
      </c>
      <c r="K168" s="70" t="inlineStr">
        <is>
          <t>原型已接入</t>
        </is>
      </c>
      <c r="L168" s="70" t="inlineStr">
        <is>
          <t>P0</t>
        </is>
      </c>
      <c r="M168" s="70" t="inlineStr">
        <is>
          <t>v001</t>
        </is>
      </c>
      <c r="N168" s="70" t="inlineStr">
        <is>
          <t>GLB / 14.751×27.617×约18.41m包围 / 9m层差 / 48子对象</t>
        </is>
      </c>
      <c r="O168" s="70" t="inlineStr">
        <is>
          <t>assets/art/environments/tower_descent_3d/components/env_tower_stairwell_generic_9m_top3d_v001.glb</t>
        </is>
      </c>
      <c r="P168" s="70" t="inlineStr">
        <is>
          <t>Blender根=Stair_Generic_Rotatable_ROOT; env_tower_descent_kit_top3d_v007.blend; export_env_tower_stairwells_v001.py; TowerDescent3D.gd; tests/verification/verify_tower_descent_flow.tscn</t>
        </is>
      </c>
      <c r="Q168" s="70" t="inlineStr">
        <is>
          <t>塔楼;通用楼梯;双跑楼梯;折角平台;9米层高;四向旋转;Blender直出</t>
        </is>
      </c>
      <c r="R168" s="70">
        <f>LOWER(TRIM(C168)&amp;"|"&amp;TRIM(D168)&amp;"|"&amp;TRIM(E168)&amp;"|"&amp;TRIM(F168)&amp;"|"&amp;TRIM(H168)&amp;"|"&amp;TRIM(I168))</f>
        <v/>
      </c>
      <c r="S168" s="70">
        <f>IF(COUNTIF($R:$R,R168)&gt;1,"重复","唯一")</f>
        <v/>
      </c>
      <c r="T168" s="70" t="inlineStr">
        <is>
          <t>b0416e02b70673bb4cc38a58436210ff04343f6d68b4f5b80f8e1a0c5daaf844</t>
        </is>
      </c>
      <c r="U168" s="70" t="inlineStr">
        <is>
          <t>Codex</t>
        </is>
      </c>
      <c r="V168" s="130" t="n">
        <v>46237</v>
      </c>
      <c r="W168" s="70" t="inlineStr">
        <is>
          <t>用户手工Blender模型</t>
        </is>
      </c>
      <c r="X168" s="70" t="inlineStr">
        <is>
          <t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t>
        </is>
      </c>
    </row>
    <row r="169" ht="132" customHeight="1">
      <c r="A169" s="70" t="inlineStr">
        <is>
          <t>ENV-TOWER-STAIRWELL-ROOFTOP-9M</t>
        </is>
      </c>
      <c r="B169" s="70" t="inlineStr">
        <is>
          <t>塔楼楼顶特殊双跑楼梯间</t>
        </is>
      </c>
      <c r="C169" s="70" t="inlineStr">
        <is>
          <t>场景</t>
        </is>
      </c>
      <c r="D169" s="70" t="inlineStr">
        <is>
          <t>room_kit</t>
        </is>
      </c>
      <c r="E169" s="70" t="inlineStr">
        <is>
          <t>tower_descent</t>
        </is>
      </c>
      <c r="F169" s="70" t="inlineStr">
        <is>
          <t>stairwell_rooftop_9m</t>
        </is>
      </c>
      <c r="G169" s="70" t="inlineStr">
        <is>
          <t>ENV-TOWER-DESCENT-KIT-3D</t>
        </is>
      </c>
      <c r="H169" s="70" t="inlineStr">
        <is>
          <t>俯视3D</t>
        </is>
      </c>
      <c r="I169" s="70" t="inlineStr">
        <is>
          <t>godot_runtime</t>
        </is>
      </c>
      <c r="J169" s="70" t="inlineStr">
        <is>
          <t>楼顶至99层特殊交通/保留手调墙高</t>
        </is>
      </c>
      <c r="K169" s="70" t="inlineStr">
        <is>
          <t>原型已接入</t>
        </is>
      </c>
      <c r="L169" s="70" t="inlineStr">
        <is>
          <t>P0</t>
        </is>
      </c>
      <c r="M169" s="70" t="inlineStr">
        <is>
          <t>v001</t>
        </is>
      </c>
      <c r="N169" s="70" t="inlineStr">
        <is>
          <t>GLB / 14.751×27.617×约15.36m包围 / 9m层差 / 47子对象</t>
        </is>
      </c>
      <c r="O169" s="70" t="inlineStr">
        <is>
          <t>assets/art/environments/tower_descent_3d/components/env_tower_stairwell_rooftop_9m_top3d_v001.glb</t>
        </is>
      </c>
      <c r="P169" s="70" t="inlineStr">
        <is>
          <t>Blender根=Stair_Special_Rooftop_ROOT; env_tower_descent_kit_top3d_v007.blend; export_env_tower_stairwells_v001.py; TowerDescent3D.gd; tests/verification/verify_tower_descent_flow.tscn</t>
        </is>
      </c>
      <c r="Q169" s="70" t="inlineStr">
        <is>
          <t>塔楼;楼顶楼梯;特殊楼梯;双跑楼梯;特殊墙高;9米层高;Blender直出</t>
        </is>
      </c>
      <c r="R169" s="70">
        <f>LOWER(TRIM(C169)&amp;"|"&amp;TRIM(D169)&amp;"|"&amp;TRIM(E169)&amp;"|"&amp;TRIM(F169)&amp;"|"&amp;TRIM(H169)&amp;"|"&amp;TRIM(I169))</f>
        <v/>
      </c>
      <c r="S169" s="70">
        <f>IF(COUNTIF($R:$R,R169)&gt;1,"重复","唯一")</f>
        <v/>
      </c>
      <c r="T169" s="70" t="inlineStr">
        <is>
          <t>88198a579cc846974f17f5203b46b568b7ab2421fd7bb63c0b7868ddd05684a2</t>
        </is>
      </c>
      <c r="U169" s="70" t="inlineStr">
        <is>
          <t>Codex</t>
        </is>
      </c>
      <c r="V169" s="130" t="n">
        <v>46237</v>
      </c>
      <c r="W169" s="70" t="inlineStr">
        <is>
          <t>用户手工Blender模型</t>
        </is>
      </c>
      <c r="X169" s="70" t="inlineStr">
        <is>
          <t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t>
        </is>
      </c>
    </row>
    <row r="170">
      <c r="A170" t="inlineStr">
        <is>
          <t>CHR-PLY-CAPSULE01-BACKPACK-SOCKET-3D</t>
        </is>
      </c>
      <c r="B170" t="inlineStr">
        <is>
          <t>玩家背包装备挂点</t>
        </is>
      </c>
      <c r="C170" t="inlineStr">
        <is>
          <t>角色</t>
        </is>
      </c>
      <c r="D170" t="inlineStr">
        <is>
          <t>player_accessory_socket</t>
        </is>
      </c>
      <c r="E170" t="inlineStr">
        <is>
          <t>player_capsule01</t>
        </is>
      </c>
      <c r="F170" t="inlineStr">
        <is>
          <t>backpack_socket_3d</t>
        </is>
      </c>
      <c r="G170" t="inlineStr">
        <is>
          <t>CHR-PLY-CAPSULE01-3D</t>
        </is>
      </c>
      <c r="H170" t="inlineStr">
        <is>
          <t>俯视3D</t>
        </is>
      </c>
      <c r="I170" t="inlineStr">
        <is>
          <t>default</t>
        </is>
      </c>
      <c r="J170" t="inlineStr">
        <is>
          <t>3D玩家场景/可装备背包</t>
        </is>
      </c>
      <c r="K170" t="inlineStr">
        <is>
          <t>原型已接入</t>
        </is>
      </c>
      <c r="L170" t="inlineStr">
        <is>
          <t>P0</t>
        </is>
      </c>
      <c r="M170" t="inlineStr">
        <is>
          <t>v001</t>
        </is>
      </c>
      <c r="N170" t="inlineStr">
        <is>
          <t>Marker3D；bunny=(0,0.74,0.30)；fallback=(0,1.25,0.48)</t>
        </is>
      </c>
      <c r="O170" t="inlineStr">
        <is>
          <t>assets/art/characters/player/chr_player_capsule01_3d/chr_player_capsule01_root_top3d_v001.tscn; assets/art/characters/player/chr_player_capsule01_3d/variants/bunny01/chr_player_capsule01_bunny01_root_top3d_v006.tscn</t>
        </is>
      </c>
      <c r="P170" t="inlineStr">
        <is>
          <t>src/player3d/PlayerAvatar3D.gd; tests/verification/verify_backpack_equipment_flow.tscn</t>
        </is>
      </c>
      <c r="Q170" t="inlineStr">
        <is>
          <t>背包挂点;BackpackSocket;背部装备;wearable;capacity</t>
        </is>
      </c>
      <c r="R170">
        <f>LOWER(TRIM(C170)&amp;"|"&amp;TRIM(D170)&amp;"|"&amp;TRIM(E170)&amp;"|"&amp;TRIM(F170)&amp;"|"&amp;TRIM(H170)&amp;"|"&amp;TRIM(I170))</f>
        <v/>
      </c>
      <c r="S170">
        <f>IF(COUNTIF($R:$R,R170)&gt;1,"重复","唯一")</f>
        <v/>
      </c>
      <c r="U170" t="inlineStr">
        <is>
          <t>Codex</t>
        </is>
      </c>
      <c r="V170" t="n">
        <v>46240</v>
      </c>
      <c r="W170" t="inlineStr">
        <is>
          <t>原创程序挂点</t>
        </is>
      </c>
      <c r="X170" t="inlineStr">
        <is>
          <t>独立于左右武器收纳挂点；只承载表现，不改变角色碰撞。装备/卸下由backpack_equipment_changed同步；专项与Metal/OpenGL战术背包画面通过。</t>
        </is>
      </c>
    </row>
    <row r="171">
      <c r="A171" t="inlineStr">
        <is>
          <t>ITM-EQUIPMENT-BACKPACK-3D</t>
        </is>
      </c>
      <c r="B171" t="inlineStr">
        <is>
          <t>可装备背包3D占位模型</t>
        </is>
      </c>
      <c r="C171" t="inlineStr">
        <is>
          <t>道具</t>
        </is>
      </c>
      <c r="D171" t="inlineStr">
        <is>
          <t>equipment</t>
        </is>
      </c>
      <c r="E171" t="inlineStr">
        <is>
          <t>equipment_backpack</t>
        </is>
      </c>
      <c r="F171" t="inlineStr">
        <is>
          <t>root_3d</t>
        </is>
      </c>
      <c r="H171" t="inlineStr">
        <is>
          <t>俯视3D</t>
        </is>
      </c>
      <c r="I171" t="inlineStr">
        <is>
          <t>default</t>
        </is>
      </c>
      <c r="J171" t="inlineStr">
        <is>
          <t>地面拾取/UI图标/角色背部共用</t>
        </is>
      </c>
      <c r="K171" t="inlineStr">
        <is>
          <t>程序占位</t>
        </is>
      </c>
      <c r="L171" t="inlineStr">
        <is>
          <t>P0</t>
        </is>
      </c>
      <c r="M171" t="inlineStr">
        <is>
          <t>v001</t>
        </is>
      </c>
      <c r="N171" t="inlineStr">
        <is>
          <t>BoxMesh组件；2/4/8格三档体积、主色与1/2/3附袋</t>
        </is>
      </c>
      <c r="P171" t="inlineStr">
        <is>
          <t>src/world3d/ItemModelFactory3D.gd; src/base/ItemRegistry.gd; tests/verification/verify_backpack_equipment_flow.tscn</t>
        </is>
      </c>
      <c r="Q171" t="inlineStr">
        <is>
          <t>轻型腰包;战术背包;远征背包;backpack;2格;4格;8格</t>
        </is>
      </c>
      <c r="R171">
        <f>LOWER(TRIM(C171)&amp;"|"&amp;TRIM(D171)&amp;"|"&amp;TRIM(E171)&amp;"|"&amp;TRIM(F171)&amp;"|"&amp;TRIM(H171)&amp;"|"&amp;TRIM(I171))</f>
        <v/>
      </c>
      <c r="S171">
        <f>IF(COUNTIF($R:$R,R171)&gt;1,"重复","唯一")</f>
        <v/>
      </c>
      <c r="U171" t="inlineStr">
        <is>
          <t>Codex</t>
        </is>
      </c>
      <c r="V171" t="n">
        <v>46240</v>
      </c>
      <c r="W171" t="inlineStr">
        <is>
          <t>原创程序几何</t>
        </is>
      </c>
      <c r="X171" t="inlineStr">
        <is>
          <t>同一模型工厂服务equipment_backpack_2/4/8，避免世界物、UI图标和背部表现重复资产；无玩法碰撞，正式模型完成前保持程序占位状态。</t>
        </is>
      </c>
    </row>
    <row r="172" ht="42" customHeight="1">
      <c r="A172" s="123" t="inlineStr">
        <is>
          <t>PRP-BASE-VENDING-MACHINE-3D</t>
        </is>
      </c>
      <c r="B172" s="118" t="inlineStr">
        <is>
          <t>基地科幻自动贩卖机</t>
        </is>
      </c>
      <c r="C172" s="118" t="inlineStr">
        <is>
          <t>3D道具</t>
        </is>
      </c>
      <c r="D172" s="118" t="inlineStr">
        <is>
          <t>base_facility</t>
        </is>
      </c>
      <c r="E172" s="118" t="inlineStr">
        <is>
          <t>base_vending</t>
        </is>
      </c>
      <c r="F172" s="118" t="inlineStr">
        <is>
          <t>root</t>
        </is>
      </c>
      <c r="G172" s="118" t="inlineStr">
        <is>
          <t>PRP-BASE-FACILITY-3D</t>
        </is>
      </c>
      <c r="H172" s="118" t="inlineStr">
        <is>
          <t>Top3D / local -Z 正面</t>
        </is>
      </c>
      <c r="I172" s="118" t="inlineStr">
        <is>
          <t>default / 独立交互场景</t>
        </is>
      </c>
      <c r="J172" s="118" t="inlineStr">
        <is>
          <t>BaseWorld3D/TowerDescent99F</t>
        </is>
      </c>
      <c r="K172" s="118" t="inlineStr">
        <is>
          <t>正式美术已接入</t>
        </is>
      </c>
      <c r="L172" s="118" t="inlineStr">
        <is>
          <t>P0</t>
        </is>
      </c>
      <c r="M172" s="118" t="inlineStr">
        <is>
          <t>v002</t>
        </is>
      </c>
      <c r="N172" s="118" t="inlineStr">
        <is>
          <t>4材质；主体/自发光分离；独立GLB/PackedScene</t>
        </is>
      </c>
      <c r="O172" s="118" t="inlineStr">
        <is>
          <t>assets/art/props/base_world_3d/runtime/vending_machine/prp_base_vending_machine_root_top3d_v002.tscn</t>
        </is>
      </c>
      <c r="P172" s="118" t="inlineStr">
        <is>
          <t>assets/art/props/base_world_3d/source/vending_machine/prp_base_vending_machine_source_v001.blend; src/base3d/BaseFacility3D.gd; src/world3d/TowerDescent3D.gd</t>
        </is>
      </c>
      <c r="Q172" s="118" t="inlineStr">
        <is>
          <t>base_vending; 科幻自动贩卖机; 基地设施; 多巴胺配色; 自发光分离</t>
        </is>
      </c>
      <c r="R172" s="118">
        <f>LOWER(TRIM(C172)&amp;"|"&amp;TRIM(D172)&amp;"|"&amp;TRIM(E172)&amp;"|"&amp;TRIM(F172)&amp;"|"&amp;TRIM(H172)&amp;"|"&amp;TRIM(I172))</f>
        <v/>
      </c>
      <c r="S172" s="118" t="inlineStr">
        <is>
          <t>唯一</t>
        </is>
      </c>
      <c r="T172" s="118" t="inlineStr">
        <is>
          <t>3f7cd7250b0de3c6d7d0397792bbdd566b05ba7d81e53a83e97aae94d2d48e3a</t>
        </is>
      </c>
      <c r="U172" s="118" t="inlineStr">
        <is>
          <t>Codex</t>
        </is>
      </c>
      <c r="V172" s="133" t="n">
        <v>46244</v>
      </c>
      <c r="W172" s="118" t="inlineStr">
        <is>
          <t>用户自制Blender资产</t>
        </is>
      </c>
      <c r="X172" s="118" t="inlineStr">
        <is>
          <t>正式模型替换程序占位；保留稳定facility_id和交互协议。</t>
        </is>
      </c>
    </row>
    <row r="173" ht="42" customHeight="1">
      <c r="A173" s="123" t="inlineStr">
        <is>
          <t>UI-SCREEN-BASE-VENDING</t>
        </is>
      </c>
      <c r="B173" s="118" t="inlineStr">
        <is>
          <t>基地自动贩卖机商店界面</t>
        </is>
      </c>
      <c r="C173" s="118" t="inlineStr">
        <is>
          <t>UI</t>
        </is>
      </c>
      <c r="D173" s="118" t="inlineStr">
        <is>
          <t>base_facility</t>
        </is>
      </c>
      <c r="E173" s="118" t="inlineStr">
        <is>
          <t>base_vending_shop</t>
        </is>
      </c>
      <c r="F173" s="118" t="inlineStr">
        <is>
          <t>screen</t>
        </is>
      </c>
      <c r="G173" s="118" t="inlineStr">
        <is>
          <t>UI-SCREEN-MERCHANT</t>
        </is>
      </c>
      <c r="H173" s="118" t="inlineStr">
        <is>
          <t>Screen</t>
        </is>
      </c>
      <c r="I173" s="118" t="inlineStr">
        <is>
          <t>default</t>
        </is>
      </c>
      <c r="J173" s="118" t="inlineStr">
        <is>
          <t>基地自动贩卖机</t>
        </is>
      </c>
      <c r="K173" s="118" t="inlineStr">
        <is>
          <t>原型已接入</t>
        </is>
      </c>
      <c r="L173" s="118" t="inlineStr">
        <is>
          <t>P0</t>
        </is>
      </c>
      <c r="M173" s="118" t="inlineStr">
        <is>
          <t>v002</t>
        </is>
      </c>
      <c r="N173" s="118" t="inlineStr">
        <is>
          <t>1280×720自适应</t>
        </is>
      </c>
      <c r="O173" s="118" t="inlineStr">
        <is>
          <t>scenes/BaseVendingMenu.tscn; src/ui/BaseVendingMenu.gd</t>
        </is>
      </c>
      <c r="P173" s="118" t="inlineStr">
        <is>
          <t>用户设计+docs/v0.1/07_技术施工_基地设施.md</t>
        </is>
      </c>
      <c r="Q173" s="118" t="inlineStr">
        <is>
          <t>基地商店; 购买; 出售; 3D物品图标</t>
        </is>
      </c>
      <c r="R173" s="118">
        <f>TEXTJOIN("|",TRUE,C173,D173,E173,F173,H173,I173)</f>
        <v/>
      </c>
      <c r="S173" s="118">
        <f>IF(COUNTIF($R$6:$R$200,R173)&gt;1,"重复","唯一")</f>
        <v/>
      </c>
      <c r="T173" s="118" t="n"/>
      <c r="U173" s="118" t="inlineStr">
        <is>
          <t>Codex</t>
        </is>
      </c>
      <c r="V173" s="118" t="inlineStr">
        <is>
          <t>2026-08-06</t>
        </is>
      </c>
      <c r="W173" s="118" t="inlineStr">
        <is>
          <t>程序控件/原创</t>
        </is>
      </c>
      <c r="X173" s="118" t="inlineStr">
        <is>
          <t>左右买卖双栏；复用ItemModelIcon3D；资源与容量常驻；Esc退出 ｜ 2026-08-07：购买/出售改为3列商品卡网格，正方形ItemModelIcon3D，与I键背包同源；统一主HUD配色和按钮状态。</t>
        </is>
      </c>
    </row>
    <row r="174" ht="44" customHeight="1">
      <c r="A174" s="63" t="inlineStr">
        <is>
          <t>AUD-SFX-AMMO-EMPTY</t>
        </is>
      </c>
      <c r="B174" s="63" t="inlineStr">
        <is>
          <t>空仓扳机音效</t>
        </is>
      </c>
      <c r="C174" s="63" t="inlineStr">
        <is>
          <t>音频</t>
        </is>
      </c>
      <c r="D174" s="63" t="inlineStr">
        <is>
          <t>sfx</t>
        </is>
      </c>
      <c r="E174" s="63" t="inlineStr">
        <is>
          <t>ammo_empty</t>
        </is>
      </c>
      <c r="F174" s="63" t="inlineStr">
        <is>
          <t>runtime</t>
        </is>
      </c>
      <c r="G174" s="63" t="n"/>
      <c r="H174" s="63" t="inlineStr">
        <is>
          <t>全局/非空间</t>
        </is>
      </c>
      <c r="I174" s="63" t="inlineStr">
        <is>
          <t>default</t>
        </is>
      </c>
      <c r="J174" s="63" t="inlineStr">
        <is>
          <t>桌面与Android正式运行</t>
        </is>
      </c>
      <c r="K174" s="63" t="inlineStr">
        <is>
          <t>已完成</t>
        </is>
      </c>
      <c r="L174" s="63" t="inlineStr">
        <is>
          <t>P0</t>
        </is>
      </c>
      <c r="M174" s="63" t="inlineStr">
        <is>
          <t>v001</t>
        </is>
      </c>
      <c r="N174" s="63" t="inlineStr">
        <is>
          <t>44.1kHz / OGG Vorbis / stereo</t>
        </is>
      </c>
      <c r="O174" s="63" t="inlineStr">
        <is>
          <t>src/assets/audio/sfx/ammo_empty_v001.ogg</t>
        </is>
      </c>
      <c r="P174" s="63" t="inlineStr">
        <is>
          <t>src/assets/audio/sfx/ammo_empty.wav; src/音效接入说明.md</t>
        </is>
      </c>
      <c r="Q174" s="63" t="inlineStr">
        <is>
          <t>ammo_empty; 音效; OGG; Android; 移动端</t>
        </is>
      </c>
      <c r="R174" s="63">
        <f>TEXTJOIN("|",TRUE,C174,D174,E174,F174,H174,I174)</f>
        <v/>
      </c>
      <c r="S174" s="63">
        <f>IF(COUNTIF($R$6:$R$204,R174)&gt;1,"重复","唯一")</f>
        <v/>
      </c>
      <c r="T174" s="63" t="inlineStr">
        <is>
          <t>f5d0339c3c7fce8227970163bd773a11f15faffa57a878ec41111308657a000c</t>
        </is>
      </c>
      <c r="U174" s="63" t="inlineStr">
        <is>
          <t>Codex</t>
        </is>
      </c>
      <c r="V174" s="132" t="n">
        <v>46241</v>
      </c>
      <c r="W174" s="63" t="inlineStr">
        <is>
          <t>项目WAV母版转码</t>
        </is>
      </c>
      <c r="X174" s="63" t="inlineStr">
        <is>
          <t>正式运行OGG；WAV仅作母版；AudioManager事件=ammo_empty；Android/桌面统一版本化路径，禁止旧音效回退。</t>
        </is>
      </c>
    </row>
    <row r="175" ht="44" customHeight="1">
      <c r="A175" s="63" t="inlineStr">
        <is>
          <t>AUD-SFX-BOSS-DEFEAT</t>
        </is>
      </c>
      <c r="B175" s="63" t="inlineStr">
        <is>
          <t>Boss击败音效</t>
        </is>
      </c>
      <c r="C175" s="63" t="inlineStr">
        <is>
          <t>音频</t>
        </is>
      </c>
      <c r="D175" s="63" t="inlineStr">
        <is>
          <t>sfx</t>
        </is>
      </c>
      <c r="E175" s="63" t="inlineStr">
        <is>
          <t>boss_defeat</t>
        </is>
      </c>
      <c r="F175" s="63" t="inlineStr">
        <is>
          <t>runtime</t>
        </is>
      </c>
      <c r="G175" s="63" t="n"/>
      <c r="H175" s="63" t="inlineStr">
        <is>
          <t>全局/非空间</t>
        </is>
      </c>
      <c r="I175" s="63" t="inlineStr">
        <is>
          <t>default</t>
        </is>
      </c>
      <c r="J175" s="63" t="inlineStr">
        <is>
          <t>桌面与Android正式运行</t>
        </is>
      </c>
      <c r="K175" s="63" t="inlineStr">
        <is>
          <t>已完成</t>
        </is>
      </c>
      <c r="L175" s="63" t="inlineStr">
        <is>
          <t>P0</t>
        </is>
      </c>
      <c r="M175" s="63" t="inlineStr">
        <is>
          <t>v001</t>
        </is>
      </c>
      <c r="N175" s="63" t="inlineStr">
        <is>
          <t>44.1kHz / OGG Vorbis / stereo</t>
        </is>
      </c>
      <c r="O175" s="63" t="inlineStr">
        <is>
          <t>src/assets/audio/sfx/boss_defeat_v001.ogg</t>
        </is>
      </c>
      <c r="P175" s="63" t="inlineStr">
        <is>
          <t>src/assets/audio/sfx/boss_defeat.wav; src/音效接入说明.md</t>
        </is>
      </c>
      <c r="Q175" s="63" t="inlineStr">
        <is>
          <t>boss_defeat; 音效; OGG; Android; 移动端</t>
        </is>
      </c>
      <c r="R175" s="63">
        <f>TEXTJOIN("|",TRUE,C175,D175,E175,F175,H175,I175)</f>
        <v/>
      </c>
      <c r="S175" s="63">
        <f>IF(COUNTIF($R$6:$R$204,R175)&gt;1,"重复","唯一")</f>
        <v/>
      </c>
      <c r="T175" s="63" t="inlineStr">
        <is>
          <t>245b27a482a9166c6bc09cdabae3094f4a2bb1e67956f8a8f54b767eb15fefba</t>
        </is>
      </c>
      <c r="U175" s="63" t="inlineStr">
        <is>
          <t>Codex</t>
        </is>
      </c>
      <c r="V175" s="132" t="n">
        <v>46241</v>
      </c>
      <c r="W175" s="63" t="inlineStr">
        <is>
          <t>项目WAV母版转码</t>
        </is>
      </c>
      <c r="X175" s="63" t="inlineStr">
        <is>
          <t>正式运行OGG；WAV仅作母版；AudioManager事件=boss_defeat；Android/桌面统一版本化路径，禁止旧音效回退。</t>
        </is>
      </c>
    </row>
    <row r="176" ht="44" customHeight="1">
      <c r="A176" s="63" t="inlineStr">
        <is>
          <t>AUD-SFX-BOSS-INTRO</t>
        </is>
      </c>
      <c r="B176" s="63" t="inlineStr">
        <is>
          <t>Boss入场音效</t>
        </is>
      </c>
      <c r="C176" s="63" t="inlineStr">
        <is>
          <t>音频</t>
        </is>
      </c>
      <c r="D176" s="63" t="inlineStr">
        <is>
          <t>sfx</t>
        </is>
      </c>
      <c r="E176" s="63" t="inlineStr">
        <is>
          <t>boss_intro</t>
        </is>
      </c>
      <c r="F176" s="63" t="inlineStr">
        <is>
          <t>runtime</t>
        </is>
      </c>
      <c r="G176" s="63" t="n"/>
      <c r="H176" s="63" t="inlineStr">
        <is>
          <t>全局/非空间</t>
        </is>
      </c>
      <c r="I176" s="63" t="inlineStr">
        <is>
          <t>default</t>
        </is>
      </c>
      <c r="J176" s="63" t="inlineStr">
        <is>
          <t>桌面与Android正式运行</t>
        </is>
      </c>
      <c r="K176" s="63" t="inlineStr">
        <is>
          <t>已完成</t>
        </is>
      </c>
      <c r="L176" s="63" t="inlineStr">
        <is>
          <t>P0</t>
        </is>
      </c>
      <c r="M176" s="63" t="inlineStr">
        <is>
          <t>v001</t>
        </is>
      </c>
      <c r="N176" s="63" t="inlineStr">
        <is>
          <t>44.1kHz / OGG Vorbis / stereo</t>
        </is>
      </c>
      <c r="O176" s="63" t="inlineStr">
        <is>
          <t>src/assets/audio/sfx/boss_intro_v001.ogg</t>
        </is>
      </c>
      <c r="P176" s="63" t="inlineStr">
        <is>
          <t>src/assets/audio/sfx/boss_intro.wav; src/音效接入说明.md</t>
        </is>
      </c>
      <c r="Q176" s="63" t="inlineStr">
        <is>
          <t>boss_intro; 音效; OGG; Android; 移动端</t>
        </is>
      </c>
      <c r="R176" s="63">
        <f>TEXTJOIN("|",TRUE,C176,D176,E176,F176,H176,I176)</f>
        <v/>
      </c>
      <c r="S176" s="63">
        <f>IF(COUNTIF($R$6:$R$204,R176)&gt;1,"重复","唯一")</f>
        <v/>
      </c>
      <c r="T176" s="63" t="inlineStr">
        <is>
          <t>4e18a3afe9c7b804e6fb6905fbf05b62cba70d9b15a324c650a04d04a981d5ff</t>
        </is>
      </c>
      <c r="U176" s="63" t="inlineStr">
        <is>
          <t>Codex</t>
        </is>
      </c>
      <c r="V176" s="132" t="n">
        <v>46241</v>
      </c>
      <c r="W176" s="63" t="inlineStr">
        <is>
          <t>项目WAV母版转码</t>
        </is>
      </c>
      <c r="X176" s="63" t="inlineStr">
        <is>
          <t>正式运行OGG；WAV仅作母版；AudioManager事件=boss_intro；Android/桌面统一版本化路径，禁止旧音效回退。</t>
        </is>
      </c>
    </row>
    <row r="177" ht="44" customHeight="1">
      <c r="A177" s="63" t="inlineStr">
        <is>
          <t>AUD-SFX-BOSS-PHASE</t>
        </is>
      </c>
      <c r="B177" s="63" t="inlineStr">
        <is>
          <t>Boss阶段切换音效</t>
        </is>
      </c>
      <c r="C177" s="63" t="inlineStr">
        <is>
          <t>音频</t>
        </is>
      </c>
      <c r="D177" s="63" t="inlineStr">
        <is>
          <t>sfx</t>
        </is>
      </c>
      <c r="E177" s="63" t="inlineStr">
        <is>
          <t>boss_phase</t>
        </is>
      </c>
      <c r="F177" s="63" t="inlineStr">
        <is>
          <t>runtime</t>
        </is>
      </c>
      <c r="G177" s="63" t="n"/>
      <c r="H177" s="63" t="inlineStr">
        <is>
          <t>全局/非空间</t>
        </is>
      </c>
      <c r="I177" s="63" t="inlineStr">
        <is>
          <t>default</t>
        </is>
      </c>
      <c r="J177" s="63" t="inlineStr">
        <is>
          <t>桌面与Android正式运行</t>
        </is>
      </c>
      <c r="K177" s="63" t="inlineStr">
        <is>
          <t>已完成</t>
        </is>
      </c>
      <c r="L177" s="63" t="inlineStr">
        <is>
          <t>P0</t>
        </is>
      </c>
      <c r="M177" s="63" t="inlineStr">
        <is>
          <t>v001</t>
        </is>
      </c>
      <c r="N177" s="63" t="inlineStr">
        <is>
          <t>44.1kHz / OGG Vorbis / stereo</t>
        </is>
      </c>
      <c r="O177" s="63" t="inlineStr">
        <is>
          <t>src/assets/audio/sfx/boss_phase_v001.ogg</t>
        </is>
      </c>
      <c r="P177" s="63" t="inlineStr">
        <is>
          <t>src/assets/audio/sfx/boss_phase.wav; src/音效接入说明.md</t>
        </is>
      </c>
      <c r="Q177" s="63" t="inlineStr">
        <is>
          <t>boss_phase; 音效; OGG; Android; 移动端</t>
        </is>
      </c>
      <c r="R177" s="63">
        <f>TEXTJOIN("|",TRUE,C177,D177,E177,F177,H177,I177)</f>
        <v/>
      </c>
      <c r="S177" s="63">
        <f>IF(COUNTIF($R$6:$R$204,R177)&gt;1,"重复","唯一")</f>
        <v/>
      </c>
      <c r="T177" s="63" t="inlineStr">
        <is>
          <t>804457fc13cb83e18bdc1e7e84d1b9a27414be72128f82811e016c17fc331ad3</t>
        </is>
      </c>
      <c r="U177" s="63" t="inlineStr">
        <is>
          <t>Codex</t>
        </is>
      </c>
      <c r="V177" s="132" t="n">
        <v>46241</v>
      </c>
      <c r="W177" s="63" t="inlineStr">
        <is>
          <t>项目WAV母版转码</t>
        </is>
      </c>
      <c r="X177" s="63" t="inlineStr">
        <is>
          <t>正式运行OGG；WAV仅作母版；AudioManager事件=boss_phase；Android/桌面统一版本化路径，禁止旧音效回退。</t>
        </is>
      </c>
    </row>
    <row r="178" ht="44" customHeight="1">
      <c r="A178" s="63" t="inlineStr">
        <is>
          <t>AUD-SFX-CONTAINER-OPEN</t>
        </is>
      </c>
      <c r="B178" s="63" t="inlineStr">
        <is>
          <t>搜索容器开启音效</t>
        </is>
      </c>
      <c r="C178" s="63" t="inlineStr">
        <is>
          <t>音频</t>
        </is>
      </c>
      <c r="D178" s="63" t="inlineStr">
        <is>
          <t>sfx</t>
        </is>
      </c>
      <c r="E178" s="63" t="inlineStr">
        <is>
          <t>container_open</t>
        </is>
      </c>
      <c r="F178" s="63" t="inlineStr">
        <is>
          <t>runtime</t>
        </is>
      </c>
      <c r="G178" s="63" t="n"/>
      <c r="H178" s="63" t="inlineStr">
        <is>
          <t>全局/非空间</t>
        </is>
      </c>
      <c r="I178" s="63" t="inlineStr">
        <is>
          <t>default</t>
        </is>
      </c>
      <c r="J178" s="63" t="inlineStr">
        <is>
          <t>桌面与Android正式运行</t>
        </is>
      </c>
      <c r="K178" s="63" t="inlineStr">
        <is>
          <t>已完成</t>
        </is>
      </c>
      <c r="L178" s="63" t="inlineStr">
        <is>
          <t>P0</t>
        </is>
      </c>
      <c r="M178" s="63" t="inlineStr">
        <is>
          <t>v001</t>
        </is>
      </c>
      <c r="N178" s="63" t="inlineStr">
        <is>
          <t>44.1kHz / OGG Vorbis / stereo</t>
        </is>
      </c>
      <c r="O178" s="63" t="inlineStr">
        <is>
          <t>src/assets/audio/sfx/container_open_v001.ogg</t>
        </is>
      </c>
      <c r="P178" s="63" t="inlineStr">
        <is>
          <t>src/assets/audio/sfx/container_open.wav; src/音效接入说明.md</t>
        </is>
      </c>
      <c r="Q178" s="63" t="inlineStr">
        <is>
          <t>container_open; 音效; OGG; Android; 移动端</t>
        </is>
      </c>
      <c r="R178" s="63">
        <f>TEXTJOIN("|",TRUE,C178,D178,E178,F178,H178,I178)</f>
        <v/>
      </c>
      <c r="S178" s="63">
        <f>IF(COUNTIF($R$6:$R$204,R178)&gt;1,"重复","唯一")</f>
        <v/>
      </c>
      <c r="T178" s="63" t="inlineStr">
        <is>
          <t>8e9d9e0a773ab0daf850734913302212a2f279dc7afb0f457a193300325840d0</t>
        </is>
      </c>
      <c r="U178" s="63" t="inlineStr">
        <is>
          <t>Codex</t>
        </is>
      </c>
      <c r="V178" s="132" t="n">
        <v>46241</v>
      </c>
      <c r="W178" s="63" t="inlineStr">
        <is>
          <t>项目WAV母版转码</t>
        </is>
      </c>
      <c r="X178" s="63" t="inlineStr">
        <is>
          <t>正式运行OGG；WAV仅作母版；AudioManager事件=container_open；Android/桌面统一版本化路径，禁止旧音效回退。</t>
        </is>
      </c>
    </row>
    <row r="179" ht="44" customHeight="1">
      <c r="A179" s="63" t="inlineStr">
        <is>
          <t>AUD-SFX-CRIT-HIT</t>
        </is>
      </c>
      <c r="B179" s="63" t="inlineStr">
        <is>
          <t>暴击命中音效</t>
        </is>
      </c>
      <c r="C179" s="63" t="inlineStr">
        <is>
          <t>音频</t>
        </is>
      </c>
      <c r="D179" s="63" t="inlineStr">
        <is>
          <t>sfx</t>
        </is>
      </c>
      <c r="E179" s="63" t="inlineStr">
        <is>
          <t>crit_hit</t>
        </is>
      </c>
      <c r="F179" s="63" t="inlineStr">
        <is>
          <t>runtime</t>
        </is>
      </c>
      <c r="G179" s="63" t="n"/>
      <c r="H179" s="63" t="inlineStr">
        <is>
          <t>全局/非空间</t>
        </is>
      </c>
      <c r="I179" s="63" t="inlineStr">
        <is>
          <t>default</t>
        </is>
      </c>
      <c r="J179" s="63" t="inlineStr">
        <is>
          <t>桌面与Android正式运行</t>
        </is>
      </c>
      <c r="K179" s="63" t="inlineStr">
        <is>
          <t>已完成</t>
        </is>
      </c>
      <c r="L179" s="63" t="inlineStr">
        <is>
          <t>P0</t>
        </is>
      </c>
      <c r="M179" s="63" t="inlineStr">
        <is>
          <t>v001</t>
        </is>
      </c>
      <c r="N179" s="63" t="inlineStr">
        <is>
          <t>44.1kHz / OGG Vorbis / stereo</t>
        </is>
      </c>
      <c r="O179" s="63" t="inlineStr">
        <is>
          <t>src/assets/audio/sfx/crit_hit_v001.ogg</t>
        </is>
      </c>
      <c r="P179" s="63" t="inlineStr">
        <is>
          <t>src/assets/audio/sfx/crit_hit.wav; src/音效接入说明.md</t>
        </is>
      </c>
      <c r="Q179" s="63" t="inlineStr">
        <is>
          <t>crit_hit; 音效; OGG; Android; 移动端</t>
        </is>
      </c>
      <c r="R179" s="63">
        <f>TEXTJOIN("|",TRUE,C179,D179,E179,F179,H179,I179)</f>
        <v/>
      </c>
      <c r="S179" s="63">
        <f>IF(COUNTIF($R$6:$R$204,R179)&gt;1,"重复","唯一")</f>
        <v/>
      </c>
      <c r="T179" s="63" t="inlineStr">
        <is>
          <t>9228e4544dc5472afe0dfaa53df5be2ec8c95bd253ea7ffd9b6136c6dd19069f</t>
        </is>
      </c>
      <c r="U179" s="63" t="inlineStr">
        <is>
          <t>Codex</t>
        </is>
      </c>
      <c r="V179" s="132" t="n">
        <v>46241</v>
      </c>
      <c r="W179" s="63" t="inlineStr">
        <is>
          <t>项目WAV母版转码</t>
        </is>
      </c>
      <c r="X179" s="63" t="inlineStr">
        <is>
          <t>正式运行OGG；WAV仅作母版；AudioManager事件=crit_hit；Android/桌面统一版本化路径，禁止旧音效回退。</t>
        </is>
      </c>
    </row>
    <row r="180" ht="44" customHeight="1">
      <c r="A180" s="63" t="inlineStr">
        <is>
          <t>AUD-SFX-DOOR-LOCKED</t>
        </is>
      </c>
      <c r="B180" s="63" t="inlineStr">
        <is>
          <t>门锁定音效</t>
        </is>
      </c>
      <c r="C180" s="63" t="inlineStr">
        <is>
          <t>音频</t>
        </is>
      </c>
      <c r="D180" s="63" t="inlineStr">
        <is>
          <t>sfx</t>
        </is>
      </c>
      <c r="E180" s="63" t="inlineStr">
        <is>
          <t>door_locked</t>
        </is>
      </c>
      <c r="F180" s="63" t="inlineStr">
        <is>
          <t>runtime</t>
        </is>
      </c>
      <c r="G180" s="63" t="n"/>
      <c r="H180" s="63" t="inlineStr">
        <is>
          <t>全局/非空间</t>
        </is>
      </c>
      <c r="I180" s="63" t="inlineStr">
        <is>
          <t>default</t>
        </is>
      </c>
      <c r="J180" s="63" t="inlineStr">
        <is>
          <t>桌面与Android正式运行</t>
        </is>
      </c>
      <c r="K180" s="63" t="inlineStr">
        <is>
          <t>已完成</t>
        </is>
      </c>
      <c r="L180" s="63" t="inlineStr">
        <is>
          <t>P0</t>
        </is>
      </c>
      <c r="M180" s="63" t="inlineStr">
        <is>
          <t>v001</t>
        </is>
      </c>
      <c r="N180" s="63" t="inlineStr">
        <is>
          <t>44.1kHz / OGG Vorbis / stereo</t>
        </is>
      </c>
      <c r="O180" s="63" t="inlineStr">
        <is>
          <t>src/assets/audio/sfx/door_locked_v001.ogg</t>
        </is>
      </c>
      <c r="P180" s="63" t="inlineStr">
        <is>
          <t>src/assets/audio/sfx/door_locked.wav; src/音效接入说明.md</t>
        </is>
      </c>
      <c r="Q180" s="63" t="inlineStr">
        <is>
          <t>door_locked; 音效; OGG; Android; 移动端</t>
        </is>
      </c>
      <c r="R180" s="63">
        <f>TEXTJOIN("|",TRUE,C180,D180,E180,F180,H180,I180)</f>
        <v/>
      </c>
      <c r="S180" s="63">
        <f>IF(COUNTIF($R$6:$R$204,R180)&gt;1,"重复","唯一")</f>
        <v/>
      </c>
      <c r="T180" s="63" t="inlineStr">
        <is>
          <t>db9ece4cf6a904b8c23319b0d3bc83bce2d48ea69d7ebd246dd2bb30f2587e74</t>
        </is>
      </c>
      <c r="U180" s="63" t="inlineStr">
        <is>
          <t>Codex</t>
        </is>
      </c>
      <c r="V180" s="132" t="n">
        <v>46241</v>
      </c>
      <c r="W180" s="63" t="inlineStr">
        <is>
          <t>项目WAV母版转码</t>
        </is>
      </c>
      <c r="X180" s="63" t="inlineStr">
        <is>
          <t>正式运行OGG；WAV仅作母版；AudioManager事件=door_locked；Android/桌面统一版本化路径，禁止旧音效回退。</t>
        </is>
      </c>
    </row>
    <row r="181" ht="44" customHeight="1">
      <c r="A181" s="63" t="inlineStr">
        <is>
          <t>AUD-SFX-DOOR-OPEN</t>
        </is>
      </c>
      <c r="B181" s="63" t="inlineStr">
        <is>
          <t>门开启音效</t>
        </is>
      </c>
      <c r="C181" s="63" t="inlineStr">
        <is>
          <t>音频</t>
        </is>
      </c>
      <c r="D181" s="63" t="inlineStr">
        <is>
          <t>sfx</t>
        </is>
      </c>
      <c r="E181" s="63" t="inlineStr">
        <is>
          <t>door_open</t>
        </is>
      </c>
      <c r="F181" s="63" t="inlineStr">
        <is>
          <t>runtime</t>
        </is>
      </c>
      <c r="G181" s="63" t="n"/>
      <c r="H181" s="63" t="inlineStr">
        <is>
          <t>全局/非空间</t>
        </is>
      </c>
      <c r="I181" s="63" t="inlineStr">
        <is>
          <t>default</t>
        </is>
      </c>
      <c r="J181" s="63" t="inlineStr">
        <is>
          <t>桌面与Android正式运行</t>
        </is>
      </c>
      <c r="K181" s="63" t="inlineStr">
        <is>
          <t>已完成</t>
        </is>
      </c>
      <c r="L181" s="63" t="inlineStr">
        <is>
          <t>P0</t>
        </is>
      </c>
      <c r="M181" s="63" t="inlineStr">
        <is>
          <t>v001</t>
        </is>
      </c>
      <c r="N181" s="63" t="inlineStr">
        <is>
          <t>44.1kHz / OGG Vorbis / stereo</t>
        </is>
      </c>
      <c r="O181" s="63" t="inlineStr">
        <is>
          <t>src/assets/audio/sfx/door_open_v001.ogg</t>
        </is>
      </c>
      <c r="P181" s="63" t="inlineStr">
        <is>
          <t>src/assets/audio/sfx/door_open.wav; src/音效接入说明.md</t>
        </is>
      </c>
      <c r="Q181" s="63" t="inlineStr">
        <is>
          <t>door_open; 音效; OGG; Android; 移动端</t>
        </is>
      </c>
      <c r="R181" s="63">
        <f>TEXTJOIN("|",TRUE,C181,D181,E181,F181,H181,I181)</f>
        <v/>
      </c>
      <c r="S181" s="63">
        <f>IF(COUNTIF($R$6:$R$204,R181)&gt;1,"重复","唯一")</f>
        <v/>
      </c>
      <c r="T181" s="63" t="inlineStr">
        <is>
          <t>6b3044e0231f425a54103d7a4e44c2a1f21f895310841347ea9ceb76485a5565</t>
        </is>
      </c>
      <c r="U181" s="63" t="inlineStr">
        <is>
          <t>Codex</t>
        </is>
      </c>
      <c r="V181" s="132" t="n">
        <v>46241</v>
      </c>
      <c r="W181" s="63" t="inlineStr">
        <is>
          <t>项目WAV母版转码</t>
        </is>
      </c>
      <c r="X181" s="63" t="inlineStr">
        <is>
          <t>正式运行OGG；WAV仅作母版；AudioManager事件=door_open；Android/桌面统一版本化路径，禁止旧音效回退。</t>
        </is>
      </c>
    </row>
    <row r="182" ht="44" customHeight="1">
      <c r="A182" s="63" t="inlineStr">
        <is>
          <t>AUD-SFX-ENEMY-DIE</t>
        </is>
      </c>
      <c r="B182" s="63" t="inlineStr">
        <is>
          <t>敌人死亡音效</t>
        </is>
      </c>
      <c r="C182" s="63" t="inlineStr">
        <is>
          <t>音频</t>
        </is>
      </c>
      <c r="D182" s="63" t="inlineStr">
        <is>
          <t>sfx</t>
        </is>
      </c>
      <c r="E182" s="63" t="inlineStr">
        <is>
          <t>enemy_die</t>
        </is>
      </c>
      <c r="F182" s="63" t="inlineStr">
        <is>
          <t>runtime</t>
        </is>
      </c>
      <c r="G182" s="63" t="n"/>
      <c r="H182" s="63" t="inlineStr">
        <is>
          <t>全局/非空间</t>
        </is>
      </c>
      <c r="I182" s="63" t="inlineStr">
        <is>
          <t>default</t>
        </is>
      </c>
      <c r="J182" s="63" t="inlineStr">
        <is>
          <t>桌面与Android正式运行</t>
        </is>
      </c>
      <c r="K182" s="63" t="inlineStr">
        <is>
          <t>已完成</t>
        </is>
      </c>
      <c r="L182" s="63" t="inlineStr">
        <is>
          <t>P0</t>
        </is>
      </c>
      <c r="M182" s="63" t="inlineStr">
        <is>
          <t>v001</t>
        </is>
      </c>
      <c r="N182" s="63" t="inlineStr">
        <is>
          <t>44.1kHz / OGG Vorbis / stereo</t>
        </is>
      </c>
      <c r="O182" s="63" t="inlineStr">
        <is>
          <t>src/assets/audio/sfx/enemy_die_v001.ogg</t>
        </is>
      </c>
      <c r="P182" s="63" t="inlineStr">
        <is>
          <t>src/assets/audio/sfx/enemy_die.wav; src/音效接入说明.md</t>
        </is>
      </c>
      <c r="Q182" s="63" t="inlineStr">
        <is>
          <t>enemy_die; 音效; OGG; Android; 移动端</t>
        </is>
      </c>
      <c r="R182" s="63">
        <f>TEXTJOIN("|",TRUE,C182,D182,E182,F182,H182,I182)</f>
        <v/>
      </c>
      <c r="S182" s="63">
        <f>IF(COUNTIF($R$6:$R$204,R182)&gt;1,"重复","唯一")</f>
        <v/>
      </c>
      <c r="T182" s="63" t="inlineStr">
        <is>
          <t>eba3495cc7bf7a301a526a8131c3ee989fd8bfa162e9fafca2c5f923936e4c36</t>
        </is>
      </c>
      <c r="U182" s="63" t="inlineStr">
        <is>
          <t>Codex</t>
        </is>
      </c>
      <c r="V182" s="132" t="n">
        <v>46241</v>
      </c>
      <c r="W182" s="63" t="inlineStr">
        <is>
          <t>项目WAV母版转码</t>
        </is>
      </c>
      <c r="X182" s="63" t="inlineStr">
        <is>
          <t>正式运行OGG；WAV仅作母版；AudioManager事件=enemy_die；Android/桌面统一版本化路径，禁止旧音效回退。</t>
        </is>
      </c>
    </row>
    <row r="183" ht="44" customHeight="1">
      <c r="A183" s="63" t="inlineStr">
        <is>
          <t>AUD-SFX-ENEMY-HIT</t>
        </is>
      </c>
      <c r="B183" s="63" t="inlineStr">
        <is>
          <t>敌人受击音效</t>
        </is>
      </c>
      <c r="C183" s="63" t="inlineStr">
        <is>
          <t>音频</t>
        </is>
      </c>
      <c r="D183" s="63" t="inlineStr">
        <is>
          <t>sfx</t>
        </is>
      </c>
      <c r="E183" s="63" t="inlineStr">
        <is>
          <t>enemy_hit</t>
        </is>
      </c>
      <c r="F183" s="63" t="inlineStr">
        <is>
          <t>runtime</t>
        </is>
      </c>
      <c r="G183" s="63" t="n"/>
      <c r="H183" s="63" t="inlineStr">
        <is>
          <t>全局/非空间</t>
        </is>
      </c>
      <c r="I183" s="63" t="inlineStr">
        <is>
          <t>default</t>
        </is>
      </c>
      <c r="J183" s="63" t="inlineStr">
        <is>
          <t>桌面与Android正式运行</t>
        </is>
      </c>
      <c r="K183" s="63" t="inlineStr">
        <is>
          <t>已完成</t>
        </is>
      </c>
      <c r="L183" s="63" t="inlineStr">
        <is>
          <t>P0</t>
        </is>
      </c>
      <c r="M183" s="63" t="inlineStr">
        <is>
          <t>v001</t>
        </is>
      </c>
      <c r="N183" s="63" t="inlineStr">
        <is>
          <t>44.1kHz / OGG Vorbis / stereo</t>
        </is>
      </c>
      <c r="O183" s="63" t="inlineStr">
        <is>
          <t>src/assets/audio/sfx/enemy_hit_v001.ogg</t>
        </is>
      </c>
      <c r="P183" s="63" t="inlineStr">
        <is>
          <t>src/assets/audio/sfx/enemy_hit.wav; src/音效接入说明.md</t>
        </is>
      </c>
      <c r="Q183" s="63" t="inlineStr">
        <is>
          <t>enemy_hit; 音效; OGG; Android; 移动端</t>
        </is>
      </c>
      <c r="R183" s="63">
        <f>TEXTJOIN("|",TRUE,C183,D183,E183,F183,H183,I183)</f>
        <v/>
      </c>
      <c r="S183" s="63">
        <f>IF(COUNTIF($R$6:$R$204,R183)&gt;1,"重复","唯一")</f>
        <v/>
      </c>
      <c r="T183" s="63" t="inlineStr">
        <is>
          <t>167495a122c9f30351c44c8d4ad7a46d6324703dddf91305adf550037f429ba4</t>
        </is>
      </c>
      <c r="U183" s="63" t="inlineStr">
        <is>
          <t>Codex</t>
        </is>
      </c>
      <c r="V183" s="132" t="n">
        <v>46241</v>
      </c>
      <c r="W183" s="63" t="inlineStr">
        <is>
          <t>项目WAV母版转码</t>
        </is>
      </c>
      <c r="X183" s="63" t="inlineStr">
        <is>
          <t>正式运行OGG；WAV仅作母版；AudioManager事件=enemy_hit；Android/桌面统一版本化路径，禁止旧音效回退。</t>
        </is>
      </c>
    </row>
    <row r="184" ht="44" customHeight="1">
      <c r="A184" s="63" t="inlineStr">
        <is>
          <t>AUD-SFX-EXTRACTION-ABORT</t>
        </is>
      </c>
      <c r="B184" s="63" t="inlineStr">
        <is>
          <t>撤离中断音效</t>
        </is>
      </c>
      <c r="C184" s="63" t="inlineStr">
        <is>
          <t>音频</t>
        </is>
      </c>
      <c r="D184" s="63" t="inlineStr">
        <is>
          <t>sfx</t>
        </is>
      </c>
      <c r="E184" s="63" t="inlineStr">
        <is>
          <t>extraction_abort</t>
        </is>
      </c>
      <c r="F184" s="63" t="inlineStr">
        <is>
          <t>runtime</t>
        </is>
      </c>
      <c r="G184" s="63" t="n"/>
      <c r="H184" s="63" t="inlineStr">
        <is>
          <t>全局/非空间</t>
        </is>
      </c>
      <c r="I184" s="63" t="inlineStr">
        <is>
          <t>default</t>
        </is>
      </c>
      <c r="J184" s="63" t="inlineStr">
        <is>
          <t>桌面与Android正式运行</t>
        </is>
      </c>
      <c r="K184" s="63" t="inlineStr">
        <is>
          <t>已完成</t>
        </is>
      </c>
      <c r="L184" s="63" t="inlineStr">
        <is>
          <t>P0</t>
        </is>
      </c>
      <c r="M184" s="63" t="inlineStr">
        <is>
          <t>v001</t>
        </is>
      </c>
      <c r="N184" s="63" t="inlineStr">
        <is>
          <t>44.1kHz / OGG Vorbis / stereo</t>
        </is>
      </c>
      <c r="O184" s="63" t="inlineStr">
        <is>
          <t>src/assets/audio/sfx/extraction_abort_v001.ogg</t>
        </is>
      </c>
      <c r="P184" s="63" t="inlineStr">
        <is>
          <t>src/assets/audio/sfx/extraction_abort.wav; src/音效接入说明.md</t>
        </is>
      </c>
      <c r="Q184" s="63" t="inlineStr">
        <is>
          <t>extraction_abort; 音效; OGG; Android; 移动端</t>
        </is>
      </c>
      <c r="R184" s="63">
        <f>TEXTJOIN("|",TRUE,C184,D184,E184,F184,H184,I184)</f>
        <v/>
      </c>
      <c r="S184" s="63">
        <f>IF(COUNTIF($R$6:$R$204,R184)&gt;1,"重复","唯一")</f>
        <v/>
      </c>
      <c r="T184" s="63" t="inlineStr">
        <is>
          <t>2b29c153f38d8115cdfae413ad3c4054923c65060341d26b2509e617d7c11de0</t>
        </is>
      </c>
      <c r="U184" s="63" t="inlineStr">
        <is>
          <t>Codex</t>
        </is>
      </c>
      <c r="V184" s="132" t="n">
        <v>46241</v>
      </c>
      <c r="W184" s="63" t="inlineStr">
        <is>
          <t>项目WAV母版转码</t>
        </is>
      </c>
      <c r="X184" s="63" t="inlineStr">
        <is>
          <t>正式运行OGG；WAV仅作母版；AudioManager事件=extraction_abort；Android/桌面统一版本化路径，禁止旧音效回退。</t>
        </is>
      </c>
    </row>
    <row r="185" ht="44" customHeight="1">
      <c r="A185" s="63" t="inlineStr">
        <is>
          <t>AUD-SFX-EXTRACTION-DONE</t>
        </is>
      </c>
      <c r="B185" s="63" t="inlineStr">
        <is>
          <t>撤离成功音效</t>
        </is>
      </c>
      <c r="C185" s="63" t="inlineStr">
        <is>
          <t>音频</t>
        </is>
      </c>
      <c r="D185" s="63" t="inlineStr">
        <is>
          <t>sfx</t>
        </is>
      </c>
      <c r="E185" s="63" t="inlineStr">
        <is>
          <t>extraction_done</t>
        </is>
      </c>
      <c r="F185" s="63" t="inlineStr">
        <is>
          <t>runtime</t>
        </is>
      </c>
      <c r="G185" s="63" t="n"/>
      <c r="H185" s="63" t="inlineStr">
        <is>
          <t>全局/非空间</t>
        </is>
      </c>
      <c r="I185" s="63" t="inlineStr">
        <is>
          <t>default</t>
        </is>
      </c>
      <c r="J185" s="63" t="inlineStr">
        <is>
          <t>桌面与Android正式运行</t>
        </is>
      </c>
      <c r="K185" s="63" t="inlineStr">
        <is>
          <t>已完成</t>
        </is>
      </c>
      <c r="L185" s="63" t="inlineStr">
        <is>
          <t>P0</t>
        </is>
      </c>
      <c r="M185" s="63" t="inlineStr">
        <is>
          <t>v001</t>
        </is>
      </c>
      <c r="N185" s="63" t="inlineStr">
        <is>
          <t>44.1kHz / OGG Vorbis / stereo</t>
        </is>
      </c>
      <c r="O185" s="63" t="inlineStr">
        <is>
          <t>src/assets/audio/sfx/extraction_done_v001.ogg</t>
        </is>
      </c>
      <c r="P185" s="63" t="inlineStr">
        <is>
          <t>src/assets/audio/sfx/extraction_done.wav; src/音效接入说明.md</t>
        </is>
      </c>
      <c r="Q185" s="63" t="inlineStr">
        <is>
          <t>extraction_done; 音效; OGG; Android; 移动端</t>
        </is>
      </c>
      <c r="R185" s="63">
        <f>TEXTJOIN("|",TRUE,C185,D185,E185,F185,H185,I185)</f>
        <v/>
      </c>
      <c r="S185" s="63">
        <f>IF(COUNTIF($R$6:$R$204,R185)&gt;1,"重复","唯一")</f>
        <v/>
      </c>
      <c r="T185" s="63" t="inlineStr">
        <is>
          <t>c6eef279ec7a88822b2554799f0a49e4549576ee4c682ef5a3440ea53279df70</t>
        </is>
      </c>
      <c r="U185" s="63" t="inlineStr">
        <is>
          <t>Codex</t>
        </is>
      </c>
      <c r="V185" s="132" t="n">
        <v>46241</v>
      </c>
      <c r="W185" s="63" t="inlineStr">
        <is>
          <t>项目WAV母版转码</t>
        </is>
      </c>
      <c r="X185" s="63" t="inlineStr">
        <is>
          <t>正式运行OGG；WAV仅作母版；AudioManager事件=extraction_done；Android/桌面统一版本化路径，禁止旧音效回退。</t>
        </is>
      </c>
    </row>
    <row r="186" ht="44" customHeight="1">
      <c r="A186" s="63" t="inlineStr">
        <is>
          <t>AUD-SFX-EXTRACTION-START</t>
        </is>
      </c>
      <c r="B186" s="63" t="inlineStr">
        <is>
          <t>撤离开始音效</t>
        </is>
      </c>
      <c r="C186" s="63" t="inlineStr">
        <is>
          <t>音频</t>
        </is>
      </c>
      <c r="D186" s="63" t="inlineStr">
        <is>
          <t>sfx</t>
        </is>
      </c>
      <c r="E186" s="63" t="inlineStr">
        <is>
          <t>extraction_start</t>
        </is>
      </c>
      <c r="F186" s="63" t="inlineStr">
        <is>
          <t>runtime</t>
        </is>
      </c>
      <c r="G186" s="63" t="n"/>
      <c r="H186" s="63" t="inlineStr">
        <is>
          <t>全局/非空间</t>
        </is>
      </c>
      <c r="I186" s="63" t="inlineStr">
        <is>
          <t>default</t>
        </is>
      </c>
      <c r="J186" s="63" t="inlineStr">
        <is>
          <t>桌面与Android正式运行</t>
        </is>
      </c>
      <c r="K186" s="63" t="inlineStr">
        <is>
          <t>已完成</t>
        </is>
      </c>
      <c r="L186" s="63" t="inlineStr">
        <is>
          <t>P0</t>
        </is>
      </c>
      <c r="M186" s="63" t="inlineStr">
        <is>
          <t>v001</t>
        </is>
      </c>
      <c r="N186" s="63" t="inlineStr">
        <is>
          <t>44.1kHz / OGG Vorbis / stereo</t>
        </is>
      </c>
      <c r="O186" s="63" t="inlineStr">
        <is>
          <t>src/assets/audio/sfx/extraction_start_v001.ogg</t>
        </is>
      </c>
      <c r="P186" s="63" t="inlineStr">
        <is>
          <t>src/assets/audio/sfx/extraction_start.wav; src/音效接入说明.md</t>
        </is>
      </c>
      <c r="Q186" s="63" t="inlineStr">
        <is>
          <t>extraction_start; 音效; OGG; Android; 移动端</t>
        </is>
      </c>
      <c r="R186" s="63">
        <f>TEXTJOIN("|",TRUE,C186,D186,E186,F186,H186,I186)</f>
        <v/>
      </c>
      <c r="S186" s="63">
        <f>IF(COUNTIF($R$6:$R$204,R186)&gt;1,"重复","唯一")</f>
        <v/>
      </c>
      <c r="T186" s="63" t="inlineStr">
        <is>
          <t>e44385e009738b96dac7aa7106bd489ccf55fe700332359407e0663f826c7daa</t>
        </is>
      </c>
      <c r="U186" s="63" t="inlineStr">
        <is>
          <t>Codex</t>
        </is>
      </c>
      <c r="V186" s="132" t="n">
        <v>46241</v>
      </c>
      <c r="W186" s="63" t="inlineStr">
        <is>
          <t>项目WAV母版转码</t>
        </is>
      </c>
      <c r="X186" s="63" t="inlineStr">
        <is>
          <t>正式运行OGG；WAV仅作母版；AudioManager事件=extraction_start；Android/桌面统一版本化路径，禁止旧音效回退。</t>
        </is>
      </c>
    </row>
    <row r="187" ht="44" customHeight="1">
      <c r="A187" s="63" t="inlineStr">
        <is>
          <t>AUD-SFX-FATE-CARD</t>
        </is>
      </c>
      <c r="B187" s="63" t="inlineStr">
        <is>
          <t>命运卡生效音效</t>
        </is>
      </c>
      <c r="C187" s="63" t="inlineStr">
        <is>
          <t>音频</t>
        </is>
      </c>
      <c r="D187" s="63" t="inlineStr">
        <is>
          <t>sfx</t>
        </is>
      </c>
      <c r="E187" s="63" t="inlineStr">
        <is>
          <t>fate_card</t>
        </is>
      </c>
      <c r="F187" s="63" t="inlineStr">
        <is>
          <t>runtime</t>
        </is>
      </c>
      <c r="G187" s="63" t="n"/>
      <c r="H187" s="63" t="inlineStr">
        <is>
          <t>全局/非空间</t>
        </is>
      </c>
      <c r="I187" s="63" t="inlineStr">
        <is>
          <t>default</t>
        </is>
      </c>
      <c r="J187" s="63" t="inlineStr">
        <is>
          <t>桌面与Android正式运行</t>
        </is>
      </c>
      <c r="K187" s="63" t="inlineStr">
        <is>
          <t>已完成</t>
        </is>
      </c>
      <c r="L187" s="63" t="inlineStr">
        <is>
          <t>P0</t>
        </is>
      </c>
      <c r="M187" s="63" t="inlineStr">
        <is>
          <t>v001</t>
        </is>
      </c>
      <c r="N187" s="63" t="inlineStr">
        <is>
          <t>44.1kHz / OGG Vorbis / stereo</t>
        </is>
      </c>
      <c r="O187" s="63" t="inlineStr">
        <is>
          <t>src/assets/audio/sfx/fate_card_v001.ogg</t>
        </is>
      </c>
      <c r="P187" s="63" t="inlineStr">
        <is>
          <t>src/assets/audio/sfx/fate_card.wav; src/音效接入说明.md</t>
        </is>
      </c>
      <c r="Q187" s="63" t="inlineStr">
        <is>
          <t>fate_card; 音效; OGG; Android; 移动端</t>
        </is>
      </c>
      <c r="R187" s="63">
        <f>TEXTJOIN("|",TRUE,C187,D187,E187,F187,H187,I187)</f>
        <v/>
      </c>
      <c r="S187" s="63">
        <f>IF(COUNTIF($R$6:$R$204,R187)&gt;1,"重复","唯一")</f>
        <v/>
      </c>
      <c r="T187" s="63" t="inlineStr">
        <is>
          <t>7cdce8d37b6308c0df873f4f20e80d319e546cb24ab5d860ea0cef5bd4ae3488</t>
        </is>
      </c>
      <c r="U187" s="63" t="inlineStr">
        <is>
          <t>Codex</t>
        </is>
      </c>
      <c r="V187" s="132" t="n">
        <v>46241</v>
      </c>
      <c r="W187" s="63" t="inlineStr">
        <is>
          <t>项目WAV母版转码</t>
        </is>
      </c>
      <c r="X187" s="63" t="inlineStr">
        <is>
          <t>正式运行OGG；WAV仅作母版；AudioManager事件=fate_card；Android/桌面统一版本化路径，禁止旧音效回退。</t>
        </is>
      </c>
    </row>
    <row r="188" ht="44" customHeight="1">
      <c r="A188" s="63" t="inlineStr">
        <is>
          <t>AUD-SFX-ITEM-PICKUP</t>
        </is>
      </c>
      <c r="B188" s="63" t="inlineStr">
        <is>
          <t>物品拾取音效</t>
        </is>
      </c>
      <c r="C188" s="63" t="inlineStr">
        <is>
          <t>音频</t>
        </is>
      </c>
      <c r="D188" s="63" t="inlineStr">
        <is>
          <t>sfx</t>
        </is>
      </c>
      <c r="E188" s="63" t="inlineStr">
        <is>
          <t>item_pickup</t>
        </is>
      </c>
      <c r="F188" s="63" t="inlineStr">
        <is>
          <t>runtime</t>
        </is>
      </c>
      <c r="G188" s="63" t="n"/>
      <c r="H188" s="63" t="inlineStr">
        <is>
          <t>全局/非空间</t>
        </is>
      </c>
      <c r="I188" s="63" t="inlineStr">
        <is>
          <t>default</t>
        </is>
      </c>
      <c r="J188" s="63" t="inlineStr">
        <is>
          <t>桌面与Android正式运行</t>
        </is>
      </c>
      <c r="K188" s="63" t="inlineStr">
        <is>
          <t>已完成</t>
        </is>
      </c>
      <c r="L188" s="63" t="inlineStr">
        <is>
          <t>P0</t>
        </is>
      </c>
      <c r="M188" s="63" t="inlineStr">
        <is>
          <t>v001</t>
        </is>
      </c>
      <c r="N188" s="63" t="inlineStr">
        <is>
          <t>44.1kHz / OGG Vorbis / stereo</t>
        </is>
      </c>
      <c r="O188" s="63" t="inlineStr">
        <is>
          <t>src/assets/audio/sfx/item_pickup_v001.ogg</t>
        </is>
      </c>
      <c r="P188" s="63" t="inlineStr">
        <is>
          <t>src/assets/audio/sfx/item_pickup.wav; src/音效接入说明.md</t>
        </is>
      </c>
      <c r="Q188" s="63" t="inlineStr">
        <is>
          <t>item_pickup; 音效; OGG; Android; 移动端</t>
        </is>
      </c>
      <c r="R188" s="63">
        <f>TEXTJOIN("|",TRUE,C188,D188,E188,F188,H188,I188)</f>
        <v/>
      </c>
      <c r="S188" s="63">
        <f>IF(COUNTIF($R$6:$R$204,R188)&gt;1,"重复","唯一")</f>
        <v/>
      </c>
      <c r="T188" s="63" t="inlineStr">
        <is>
          <t>7114f2ac9b0dc6ee500f5176b315b5f8a84f9ec7e3c5168dc342febdb747c290</t>
        </is>
      </c>
      <c r="U188" s="63" t="inlineStr">
        <is>
          <t>Codex</t>
        </is>
      </c>
      <c r="V188" s="132" t="n">
        <v>46241</v>
      </c>
      <c r="W188" s="63" t="inlineStr">
        <is>
          <t>项目WAV母版转码</t>
        </is>
      </c>
      <c r="X188" s="63" t="inlineStr">
        <is>
          <t>正式运行OGG；WAV仅作母版；AudioManager事件=item_pickup；Android/桌面统一版本化路径，禁止旧音效回退。</t>
        </is>
      </c>
    </row>
    <row r="189" ht="44" customHeight="1">
      <c r="A189" s="63" t="inlineStr">
        <is>
          <t>AUD-SFX-LASER-FIRE</t>
        </is>
      </c>
      <c r="B189" s="63" t="inlineStr">
        <is>
          <t>能量武器射击音效</t>
        </is>
      </c>
      <c r="C189" s="63" t="inlineStr">
        <is>
          <t>音频</t>
        </is>
      </c>
      <c r="D189" s="63" t="inlineStr">
        <is>
          <t>sfx</t>
        </is>
      </c>
      <c r="E189" s="63" t="inlineStr">
        <is>
          <t>laser_fire</t>
        </is>
      </c>
      <c r="F189" s="63" t="inlineStr">
        <is>
          <t>runtime</t>
        </is>
      </c>
      <c r="G189" s="63" t="n"/>
      <c r="H189" s="63" t="inlineStr">
        <is>
          <t>全局/非空间</t>
        </is>
      </c>
      <c r="I189" s="63" t="inlineStr">
        <is>
          <t>default</t>
        </is>
      </c>
      <c r="J189" s="63" t="inlineStr">
        <is>
          <t>桌面与Android正式运行</t>
        </is>
      </c>
      <c r="K189" s="63" t="inlineStr">
        <is>
          <t>已完成</t>
        </is>
      </c>
      <c r="L189" s="63" t="inlineStr">
        <is>
          <t>P0</t>
        </is>
      </c>
      <c r="M189" s="63" t="inlineStr">
        <is>
          <t>v001</t>
        </is>
      </c>
      <c r="N189" s="63" t="inlineStr">
        <is>
          <t>44.1kHz / OGG Vorbis / stereo</t>
        </is>
      </c>
      <c r="O189" s="63" t="inlineStr">
        <is>
          <t>src/assets/audio/sfx/laser_fire_v001.ogg</t>
        </is>
      </c>
      <c r="P189" s="63" t="inlineStr">
        <is>
          <t>src/assets/audio/sfx/laser_fire.wav; src/音效接入说明.md</t>
        </is>
      </c>
      <c r="Q189" s="63" t="inlineStr">
        <is>
          <t>laser_fire; 音效; OGG; Android; 移动端</t>
        </is>
      </c>
      <c r="R189" s="63">
        <f>TEXTJOIN("|",TRUE,C189,D189,E189,F189,H189,I189)</f>
        <v/>
      </c>
      <c r="S189" s="63">
        <f>IF(COUNTIF($R$6:$R$204,R189)&gt;1,"重复","唯一")</f>
        <v/>
      </c>
      <c r="T189" s="63" t="inlineStr">
        <is>
          <t>b9fa5b0e0835a0e18b5a0bb29bff7fcc94944020f3eb9a8424343786ab845191</t>
        </is>
      </c>
      <c r="U189" s="63" t="inlineStr">
        <is>
          <t>Codex</t>
        </is>
      </c>
      <c r="V189" s="132" t="n">
        <v>46241</v>
      </c>
      <c r="W189" s="63" t="inlineStr">
        <is>
          <t>项目WAV母版转码</t>
        </is>
      </c>
      <c r="X189" s="63" t="inlineStr">
        <is>
          <t>正式运行OGG；WAV仅作母版；AudioManager事件=laser_fire；Android/桌面统一版本化路径，禁止旧音效回退。</t>
        </is>
      </c>
    </row>
    <row r="190" ht="44" customHeight="1">
      <c r="A190" s="63" t="inlineStr">
        <is>
          <t>AUD-SFX-MERCHANT-PURCHASE</t>
        </is>
      </c>
      <c r="B190" s="63" t="inlineStr">
        <is>
          <t>交易成功音效</t>
        </is>
      </c>
      <c r="C190" s="63" t="inlineStr">
        <is>
          <t>音频</t>
        </is>
      </c>
      <c r="D190" s="63" t="inlineStr">
        <is>
          <t>sfx</t>
        </is>
      </c>
      <c r="E190" s="63" t="inlineStr">
        <is>
          <t>merchant_purchase</t>
        </is>
      </c>
      <c r="F190" s="63" t="inlineStr">
        <is>
          <t>runtime</t>
        </is>
      </c>
      <c r="G190" s="63" t="n"/>
      <c r="H190" s="63" t="inlineStr">
        <is>
          <t>全局/非空间</t>
        </is>
      </c>
      <c r="I190" s="63" t="inlineStr">
        <is>
          <t>default</t>
        </is>
      </c>
      <c r="J190" s="63" t="inlineStr">
        <is>
          <t>桌面与Android正式运行</t>
        </is>
      </c>
      <c r="K190" s="63" t="inlineStr">
        <is>
          <t>已完成</t>
        </is>
      </c>
      <c r="L190" s="63" t="inlineStr">
        <is>
          <t>P0</t>
        </is>
      </c>
      <c r="M190" s="63" t="inlineStr">
        <is>
          <t>v001</t>
        </is>
      </c>
      <c r="N190" s="63" t="inlineStr">
        <is>
          <t>44.1kHz / OGG Vorbis / stereo</t>
        </is>
      </c>
      <c r="O190" s="63" t="inlineStr">
        <is>
          <t>src/assets/audio/sfx/merchant_purchase_v001.ogg</t>
        </is>
      </c>
      <c r="P190" s="63" t="inlineStr">
        <is>
          <t>src/assets/audio/sfx/merchant_purchase.wav; src/音效接入说明.md</t>
        </is>
      </c>
      <c r="Q190" s="63" t="inlineStr">
        <is>
          <t>merchant_purchase; 音效; OGG; Android; 移动端</t>
        </is>
      </c>
      <c r="R190" s="63">
        <f>TEXTJOIN("|",TRUE,C190,D190,E190,F190,H190,I190)</f>
        <v/>
      </c>
      <c r="S190" s="63">
        <f>IF(COUNTIF($R$6:$R$204,R190)&gt;1,"重复","唯一")</f>
        <v/>
      </c>
      <c r="T190" s="63" t="inlineStr">
        <is>
          <t>ff71a229a012ea8ed985ab286ea01672af277dd33a62549dd080f1e9026d53c2</t>
        </is>
      </c>
      <c r="U190" s="63" t="inlineStr">
        <is>
          <t>Codex</t>
        </is>
      </c>
      <c r="V190" s="132" t="n">
        <v>46241</v>
      </c>
      <c r="W190" s="63" t="inlineStr">
        <is>
          <t>项目WAV母版转码</t>
        </is>
      </c>
      <c r="X190" s="63" t="inlineStr">
        <is>
          <t>正式运行OGG；WAV仅作母版；AudioManager事件=merchant_purchase；Android/桌面统一版本化路径，禁止旧音效回退。</t>
        </is>
      </c>
    </row>
    <row r="191" ht="44" customHeight="1">
      <c r="A191" s="63" t="inlineStr">
        <is>
          <t>AUD-SFX-PISTOL-FIRE</t>
        </is>
      </c>
      <c r="B191" s="63" t="inlineStr">
        <is>
          <t>手枪射击音效</t>
        </is>
      </c>
      <c r="C191" s="63" t="inlineStr">
        <is>
          <t>音频</t>
        </is>
      </c>
      <c r="D191" s="63" t="inlineStr">
        <is>
          <t>sfx</t>
        </is>
      </c>
      <c r="E191" s="63" t="inlineStr">
        <is>
          <t>pistol_fire</t>
        </is>
      </c>
      <c r="F191" s="63" t="inlineStr">
        <is>
          <t>runtime</t>
        </is>
      </c>
      <c r="G191" s="63" t="n"/>
      <c r="H191" s="63" t="inlineStr">
        <is>
          <t>全局/非空间</t>
        </is>
      </c>
      <c r="I191" s="63" t="inlineStr">
        <is>
          <t>default</t>
        </is>
      </c>
      <c r="J191" s="63" t="inlineStr">
        <is>
          <t>桌面与Android正式运行</t>
        </is>
      </c>
      <c r="K191" s="63" t="inlineStr">
        <is>
          <t>已完成</t>
        </is>
      </c>
      <c r="L191" s="63" t="inlineStr">
        <is>
          <t>P0</t>
        </is>
      </c>
      <c r="M191" s="63" t="inlineStr">
        <is>
          <t>v001</t>
        </is>
      </c>
      <c r="N191" s="63" t="inlineStr">
        <is>
          <t>44.1kHz / OGG Vorbis / stereo</t>
        </is>
      </c>
      <c r="O191" s="63" t="inlineStr">
        <is>
          <t>src/assets/audio/sfx/pistol_fire_v001.ogg</t>
        </is>
      </c>
      <c r="P191" s="63" t="inlineStr">
        <is>
          <t>src/assets/audio/sfx/pistol_fire.wav; src/音效接入说明.md</t>
        </is>
      </c>
      <c r="Q191" s="63" t="inlineStr">
        <is>
          <t>pistol_fire; 音效; OGG; Android; 移动端</t>
        </is>
      </c>
      <c r="R191" s="63">
        <f>TEXTJOIN("|",TRUE,C191,D191,E191,F191,H191,I191)</f>
        <v/>
      </c>
      <c r="S191" s="63">
        <f>IF(COUNTIF($R$6:$R$204,R191)&gt;1,"重复","唯一")</f>
        <v/>
      </c>
      <c r="T191" s="63" t="inlineStr">
        <is>
          <t>b2c39d4579cf13e32f98e79eb57b6ea0efeb5af7a497c60dc1acf94e8dd16937</t>
        </is>
      </c>
      <c r="U191" s="63" t="inlineStr">
        <is>
          <t>Codex</t>
        </is>
      </c>
      <c r="V191" s="132" t="n">
        <v>46241</v>
      </c>
      <c r="W191" s="63" t="inlineStr">
        <is>
          <t>项目WAV母版转码</t>
        </is>
      </c>
      <c r="X191" s="63" t="inlineStr">
        <is>
          <t>正式运行OGG；WAV仅作母版；AudioManager事件=pistol_fire；Android/桌面统一版本化路径，禁止旧音效回退。</t>
        </is>
      </c>
    </row>
    <row r="192" ht="44" customHeight="1">
      <c r="A192" s="63" t="inlineStr">
        <is>
          <t>AUD-SFX-PLAYER-DASH</t>
        </is>
      </c>
      <c r="B192" s="63" t="inlineStr">
        <is>
          <t>玩家冲刺音效</t>
        </is>
      </c>
      <c r="C192" s="63" t="inlineStr">
        <is>
          <t>音频</t>
        </is>
      </c>
      <c r="D192" s="63" t="inlineStr">
        <is>
          <t>sfx</t>
        </is>
      </c>
      <c r="E192" s="63" t="inlineStr">
        <is>
          <t>player_dash</t>
        </is>
      </c>
      <c r="F192" s="63" t="inlineStr">
        <is>
          <t>runtime</t>
        </is>
      </c>
      <c r="G192" s="63" t="n"/>
      <c r="H192" s="63" t="inlineStr">
        <is>
          <t>全局/非空间</t>
        </is>
      </c>
      <c r="I192" s="63" t="inlineStr">
        <is>
          <t>default</t>
        </is>
      </c>
      <c r="J192" s="63" t="inlineStr">
        <is>
          <t>桌面与Android正式运行</t>
        </is>
      </c>
      <c r="K192" s="63" t="inlineStr">
        <is>
          <t>已完成</t>
        </is>
      </c>
      <c r="L192" s="63" t="inlineStr">
        <is>
          <t>P0</t>
        </is>
      </c>
      <c r="M192" s="63" t="inlineStr">
        <is>
          <t>v001</t>
        </is>
      </c>
      <c r="N192" s="63" t="inlineStr">
        <is>
          <t>44.1kHz / OGG Vorbis / stereo</t>
        </is>
      </c>
      <c r="O192" s="63" t="inlineStr">
        <is>
          <t>src/assets/audio/sfx/player_dash_v001.ogg</t>
        </is>
      </c>
      <c r="P192" s="63" t="inlineStr">
        <is>
          <t>src/assets/audio/sfx/player_dash.wav; src/音效接入说明.md</t>
        </is>
      </c>
      <c r="Q192" s="63" t="inlineStr">
        <is>
          <t>player_dash; 音效; OGG; Android; 移动端</t>
        </is>
      </c>
      <c r="R192" s="63">
        <f>TEXTJOIN("|",TRUE,C192,D192,E192,F192,H192,I192)</f>
        <v/>
      </c>
      <c r="S192" s="63">
        <f>IF(COUNTIF($R$6:$R$204,R192)&gt;1,"重复","唯一")</f>
        <v/>
      </c>
      <c r="T192" s="63" t="inlineStr">
        <is>
          <t>5d437b11f4b79d593ded0045cf202542b44ac0eb7344561ec96c659ad9ea6930</t>
        </is>
      </c>
      <c r="U192" s="63" t="inlineStr">
        <is>
          <t>Codex</t>
        </is>
      </c>
      <c r="V192" s="132" t="n">
        <v>46241</v>
      </c>
      <c r="W192" s="63" t="inlineStr">
        <is>
          <t>项目WAV母版转码</t>
        </is>
      </c>
      <c r="X192" s="63" t="inlineStr">
        <is>
          <t>正式运行OGG；WAV仅作母版；AudioManager事件=player_dash；Android/桌面统一版本化路径，禁止旧音效回退。</t>
        </is>
      </c>
    </row>
    <row r="193" ht="44" customHeight="1">
      <c r="A193" s="63" t="inlineStr">
        <is>
          <t>AUD-SFX-PLAYER-HIT</t>
        </is>
      </c>
      <c r="B193" s="63" t="inlineStr">
        <is>
          <t>玩家受击音效</t>
        </is>
      </c>
      <c r="C193" s="63" t="inlineStr">
        <is>
          <t>音频</t>
        </is>
      </c>
      <c r="D193" s="63" t="inlineStr">
        <is>
          <t>sfx</t>
        </is>
      </c>
      <c r="E193" s="63" t="inlineStr">
        <is>
          <t>player_hit</t>
        </is>
      </c>
      <c r="F193" s="63" t="inlineStr">
        <is>
          <t>runtime</t>
        </is>
      </c>
      <c r="G193" s="63" t="n"/>
      <c r="H193" s="63" t="inlineStr">
        <is>
          <t>全局/非空间</t>
        </is>
      </c>
      <c r="I193" s="63" t="inlineStr">
        <is>
          <t>default</t>
        </is>
      </c>
      <c r="J193" s="63" t="inlineStr">
        <is>
          <t>桌面与Android正式运行</t>
        </is>
      </c>
      <c r="K193" s="63" t="inlineStr">
        <is>
          <t>已完成</t>
        </is>
      </c>
      <c r="L193" s="63" t="inlineStr">
        <is>
          <t>P0</t>
        </is>
      </c>
      <c r="M193" s="63" t="inlineStr">
        <is>
          <t>v001</t>
        </is>
      </c>
      <c r="N193" s="63" t="inlineStr">
        <is>
          <t>44.1kHz / OGG Vorbis / stereo</t>
        </is>
      </c>
      <c r="O193" s="63" t="inlineStr">
        <is>
          <t>src/assets/audio/sfx/player_hit_v001.ogg</t>
        </is>
      </c>
      <c r="P193" s="63" t="inlineStr">
        <is>
          <t>src/assets/audio/sfx/player_hit.wav; src/音效接入说明.md</t>
        </is>
      </c>
      <c r="Q193" s="63" t="inlineStr">
        <is>
          <t>player_hit; 音效; OGG; Android; 移动端</t>
        </is>
      </c>
      <c r="R193" s="63">
        <f>TEXTJOIN("|",TRUE,C193,D193,E193,F193,H193,I193)</f>
        <v/>
      </c>
      <c r="S193" s="63">
        <f>IF(COUNTIF($R$6:$R$204,R193)&gt;1,"重复","唯一")</f>
        <v/>
      </c>
      <c r="T193" s="63" t="inlineStr">
        <is>
          <t>aa5bec92c2734e64ae75245c0fcb165c915981cf77d107c579649c228fc50eb2</t>
        </is>
      </c>
      <c r="U193" s="63" t="inlineStr">
        <is>
          <t>Codex</t>
        </is>
      </c>
      <c r="V193" s="132" t="n">
        <v>46241</v>
      </c>
      <c r="W193" s="63" t="inlineStr">
        <is>
          <t>项目WAV母版转码</t>
        </is>
      </c>
      <c r="X193" s="63" t="inlineStr">
        <is>
          <t>正式运行OGG；WAV仅作母版；AudioManager事件=player_hit；Android/桌面统一版本化路径，禁止旧音效回退。</t>
        </is>
      </c>
    </row>
    <row r="194" ht="44" customHeight="1">
      <c r="A194" s="63" t="inlineStr">
        <is>
          <t>AUD-SFX-RELOAD</t>
        </is>
      </c>
      <c r="B194" s="63" t="inlineStr">
        <is>
          <t>换弹音效</t>
        </is>
      </c>
      <c r="C194" s="63" t="inlineStr">
        <is>
          <t>音频</t>
        </is>
      </c>
      <c r="D194" s="63" t="inlineStr">
        <is>
          <t>sfx</t>
        </is>
      </c>
      <c r="E194" s="63" t="inlineStr">
        <is>
          <t>reload</t>
        </is>
      </c>
      <c r="F194" s="63" t="inlineStr">
        <is>
          <t>runtime</t>
        </is>
      </c>
      <c r="G194" s="63" t="n"/>
      <c r="H194" s="63" t="inlineStr">
        <is>
          <t>全局/非空间</t>
        </is>
      </c>
      <c r="I194" s="63" t="inlineStr">
        <is>
          <t>default</t>
        </is>
      </c>
      <c r="J194" s="63" t="inlineStr">
        <is>
          <t>桌面与Android正式运行</t>
        </is>
      </c>
      <c r="K194" s="63" t="inlineStr">
        <is>
          <t>已完成</t>
        </is>
      </c>
      <c r="L194" s="63" t="inlineStr">
        <is>
          <t>P0</t>
        </is>
      </c>
      <c r="M194" s="63" t="inlineStr">
        <is>
          <t>v001</t>
        </is>
      </c>
      <c r="N194" s="63" t="inlineStr">
        <is>
          <t>44.1kHz / OGG Vorbis / stereo</t>
        </is>
      </c>
      <c r="O194" s="63" t="inlineStr">
        <is>
          <t>src/assets/audio/sfx/reload_v001.ogg</t>
        </is>
      </c>
      <c r="P194" s="63" t="inlineStr">
        <is>
          <t>src/assets/audio/sfx/reload.wav; src/音效接入说明.md</t>
        </is>
      </c>
      <c r="Q194" s="63" t="inlineStr">
        <is>
          <t>reload; 音效; OGG; Android; 移动端</t>
        </is>
      </c>
      <c r="R194" s="63">
        <f>TEXTJOIN("|",TRUE,C194,D194,E194,F194,H194,I194)</f>
        <v/>
      </c>
      <c r="S194" s="63">
        <f>IF(COUNTIF($R$6:$R$204,R194)&gt;1,"重复","唯一")</f>
        <v/>
      </c>
      <c r="T194" s="63" t="inlineStr">
        <is>
          <t>0d60be5b4b3e9955d34c69e5719ae8d3147d6e87d3ffa58beae8d2beae42d0c7</t>
        </is>
      </c>
      <c r="U194" s="63" t="inlineStr">
        <is>
          <t>Codex</t>
        </is>
      </c>
      <c r="V194" s="132" t="n">
        <v>46241</v>
      </c>
      <c r="W194" s="63" t="inlineStr">
        <is>
          <t>项目WAV母版转码</t>
        </is>
      </c>
      <c r="X194" s="63" t="inlineStr">
        <is>
          <t>正式运行OGG；WAV仅作母版；AudioManager事件=reload；Android/桌面统一版本化路径，禁止旧音效回退。</t>
        </is>
      </c>
    </row>
    <row r="195" ht="44" customHeight="1">
      <c r="A195" s="63" t="inlineStr">
        <is>
          <t>AUD-SFX-RIFLE-FIRE</t>
        </is>
      </c>
      <c r="B195" s="63" t="inlineStr">
        <is>
          <t>步枪射击音效</t>
        </is>
      </c>
      <c r="C195" s="63" t="inlineStr">
        <is>
          <t>音频</t>
        </is>
      </c>
      <c r="D195" s="63" t="inlineStr">
        <is>
          <t>sfx</t>
        </is>
      </c>
      <c r="E195" s="63" t="inlineStr">
        <is>
          <t>rifle_fire</t>
        </is>
      </c>
      <c r="F195" s="63" t="inlineStr">
        <is>
          <t>runtime</t>
        </is>
      </c>
      <c r="G195" s="63" t="n"/>
      <c r="H195" s="63" t="inlineStr">
        <is>
          <t>全局/非空间</t>
        </is>
      </c>
      <c r="I195" s="63" t="inlineStr">
        <is>
          <t>default</t>
        </is>
      </c>
      <c r="J195" s="63" t="inlineStr">
        <is>
          <t>桌面与Android正式运行</t>
        </is>
      </c>
      <c r="K195" s="63" t="inlineStr">
        <is>
          <t>已完成</t>
        </is>
      </c>
      <c r="L195" s="63" t="inlineStr">
        <is>
          <t>P0</t>
        </is>
      </c>
      <c r="M195" s="63" t="inlineStr">
        <is>
          <t>v001</t>
        </is>
      </c>
      <c r="N195" s="63" t="inlineStr">
        <is>
          <t>44.1kHz / OGG Vorbis / stereo</t>
        </is>
      </c>
      <c r="O195" s="63" t="inlineStr">
        <is>
          <t>src/assets/audio/sfx/rifle_fire_v001.ogg</t>
        </is>
      </c>
      <c r="P195" s="63" t="inlineStr">
        <is>
          <t>src/assets/audio/sfx/rifle_fire.wav; src/音效接入说明.md</t>
        </is>
      </c>
      <c r="Q195" s="63" t="inlineStr">
        <is>
          <t>rifle_fire; 音效; OGG; Android; 移动端</t>
        </is>
      </c>
      <c r="R195" s="63">
        <f>TEXTJOIN("|",TRUE,C195,D195,E195,F195,H195,I195)</f>
        <v/>
      </c>
      <c r="S195" s="63">
        <f>IF(COUNTIF($R$6:$R$204,R195)&gt;1,"重复","唯一")</f>
        <v/>
      </c>
      <c r="T195" s="63" t="inlineStr">
        <is>
          <t>c5b6cc8c2beb44f22c72c1d201b750dd79dc877ae88f0067ef246103948e0e33</t>
        </is>
      </c>
      <c r="U195" s="63" t="inlineStr">
        <is>
          <t>Codex</t>
        </is>
      </c>
      <c r="V195" s="132" t="n">
        <v>46241</v>
      </c>
      <c r="W195" s="63" t="inlineStr">
        <is>
          <t>项目WAV母版转码</t>
        </is>
      </c>
      <c r="X195" s="63" t="inlineStr">
        <is>
          <t>正式运行OGG；WAV仅作母版；AudioManager事件=rifle_fire；Android/桌面统一版本化路径，禁止旧音效回退。</t>
        </is>
      </c>
    </row>
    <row r="196" ht="44" customHeight="1">
      <c r="A196" s="63" t="inlineStr">
        <is>
          <t>AUD-SFX-SHOTGUN-FIRE</t>
        </is>
      </c>
      <c r="B196" s="63" t="inlineStr">
        <is>
          <t>霰弹枪射击音效</t>
        </is>
      </c>
      <c r="C196" s="63" t="inlineStr">
        <is>
          <t>音频</t>
        </is>
      </c>
      <c r="D196" s="63" t="inlineStr">
        <is>
          <t>sfx</t>
        </is>
      </c>
      <c r="E196" s="63" t="inlineStr">
        <is>
          <t>shotgun_fire</t>
        </is>
      </c>
      <c r="F196" s="63" t="inlineStr">
        <is>
          <t>runtime</t>
        </is>
      </c>
      <c r="G196" s="63" t="n"/>
      <c r="H196" s="63" t="inlineStr">
        <is>
          <t>全局/非空间</t>
        </is>
      </c>
      <c r="I196" s="63" t="inlineStr">
        <is>
          <t>default</t>
        </is>
      </c>
      <c r="J196" s="63" t="inlineStr">
        <is>
          <t>桌面与Android正式运行</t>
        </is>
      </c>
      <c r="K196" s="63" t="inlineStr">
        <is>
          <t>已完成</t>
        </is>
      </c>
      <c r="L196" s="63" t="inlineStr">
        <is>
          <t>P0</t>
        </is>
      </c>
      <c r="M196" s="63" t="inlineStr">
        <is>
          <t>v001</t>
        </is>
      </c>
      <c r="N196" s="63" t="inlineStr">
        <is>
          <t>44.1kHz / OGG Vorbis / stereo</t>
        </is>
      </c>
      <c r="O196" s="63" t="inlineStr">
        <is>
          <t>src/assets/audio/sfx/shotgun_fire_v001.ogg</t>
        </is>
      </c>
      <c r="P196" s="63" t="inlineStr">
        <is>
          <t>src/assets/audio/sfx/shotgun_fire.wav; src/音效接入说明.md</t>
        </is>
      </c>
      <c r="Q196" s="63" t="inlineStr">
        <is>
          <t>shotgun_fire; 音效; OGG; Android; 移动端</t>
        </is>
      </c>
      <c r="R196" s="63">
        <f>TEXTJOIN("|",TRUE,C196,D196,E196,F196,H196,I196)</f>
        <v/>
      </c>
      <c r="S196" s="63">
        <f>IF(COUNTIF($R$6:$R$204,R196)&gt;1,"重复","唯一")</f>
        <v/>
      </c>
      <c r="T196" s="63" t="inlineStr">
        <is>
          <t>e4b8feb67d9a438892183fa3a2e4afec8e3131235be342c02b1ce72e25767466</t>
        </is>
      </c>
      <c r="U196" s="63" t="inlineStr">
        <is>
          <t>Codex</t>
        </is>
      </c>
      <c r="V196" s="132" t="n">
        <v>46241</v>
      </c>
      <c r="W196" s="63" t="inlineStr">
        <is>
          <t>项目WAV母版转码</t>
        </is>
      </c>
      <c r="X196" s="63" t="inlineStr">
        <is>
          <t>正式运行OGG；WAV仅作母版；AudioManager事件=shotgun_fire；Android/桌面统一版本化路径，禁止旧音效回退。</t>
        </is>
      </c>
    </row>
    <row r="197" ht="44" customHeight="1">
      <c r="A197" s="63" t="inlineStr">
        <is>
          <t>AUD-SFX-SMG-FIRE</t>
        </is>
      </c>
      <c r="B197" s="63" t="inlineStr">
        <is>
          <t>冲锋枪射击音效</t>
        </is>
      </c>
      <c r="C197" s="63" t="inlineStr">
        <is>
          <t>音频</t>
        </is>
      </c>
      <c r="D197" s="63" t="inlineStr">
        <is>
          <t>sfx</t>
        </is>
      </c>
      <c r="E197" s="63" t="inlineStr">
        <is>
          <t>smg_fire</t>
        </is>
      </c>
      <c r="F197" s="63" t="inlineStr">
        <is>
          <t>runtime</t>
        </is>
      </c>
      <c r="G197" s="63" t="n"/>
      <c r="H197" s="63" t="inlineStr">
        <is>
          <t>全局/非空间</t>
        </is>
      </c>
      <c r="I197" s="63" t="inlineStr">
        <is>
          <t>default</t>
        </is>
      </c>
      <c r="J197" s="63" t="inlineStr">
        <is>
          <t>桌面与Android正式运行</t>
        </is>
      </c>
      <c r="K197" s="63" t="inlineStr">
        <is>
          <t>已完成</t>
        </is>
      </c>
      <c r="L197" s="63" t="inlineStr">
        <is>
          <t>P0</t>
        </is>
      </c>
      <c r="M197" s="63" t="inlineStr">
        <is>
          <t>v001</t>
        </is>
      </c>
      <c r="N197" s="63" t="inlineStr">
        <is>
          <t>44.1kHz / OGG Vorbis / stereo</t>
        </is>
      </c>
      <c r="O197" s="63" t="inlineStr">
        <is>
          <t>src/assets/audio/sfx/smg_fire_v001.ogg</t>
        </is>
      </c>
      <c r="P197" s="63" t="inlineStr">
        <is>
          <t>src/assets/audio/sfx/smg_fire.wav; src/音效接入说明.md</t>
        </is>
      </c>
      <c r="Q197" s="63" t="inlineStr">
        <is>
          <t>smg_fire; 音效; OGG; Android; 移动端</t>
        </is>
      </c>
      <c r="R197" s="63">
        <f>TEXTJOIN("|",TRUE,C197,D197,E197,F197,H197,I197)</f>
        <v/>
      </c>
      <c r="S197" s="63">
        <f>IF(COUNTIF($R$6:$R$204,R197)&gt;1,"重复","唯一")</f>
        <v/>
      </c>
      <c r="T197" s="63" t="inlineStr">
        <is>
          <t>282379aa6850e03dd6109928a22ad7792563768414ece93374c7cff725d306fa</t>
        </is>
      </c>
      <c r="U197" s="63" t="inlineStr">
        <is>
          <t>Codex</t>
        </is>
      </c>
      <c r="V197" s="132" t="n">
        <v>46241</v>
      </c>
      <c r="W197" s="63" t="inlineStr">
        <is>
          <t>项目WAV母版转码</t>
        </is>
      </c>
      <c r="X197" s="63" t="inlineStr">
        <is>
          <t>正式运行OGG；WAV仅作母版；AudioManager事件=smg_fire；Android/桌面统一版本化路径，禁止旧音效回退。</t>
        </is>
      </c>
    </row>
    <row r="198" ht="44" customHeight="1">
      <c r="A198" s="63" t="inlineStr">
        <is>
          <t>AUD-SFX-SNIPER-FIRE</t>
        </is>
      </c>
      <c r="B198" s="63" t="inlineStr">
        <is>
          <t>狙击枪射击音效</t>
        </is>
      </c>
      <c r="C198" s="63" t="inlineStr">
        <is>
          <t>音频</t>
        </is>
      </c>
      <c r="D198" s="63" t="inlineStr">
        <is>
          <t>sfx</t>
        </is>
      </c>
      <c r="E198" s="63" t="inlineStr">
        <is>
          <t>sniper_fire</t>
        </is>
      </c>
      <c r="F198" s="63" t="inlineStr">
        <is>
          <t>runtime</t>
        </is>
      </c>
      <c r="G198" s="63" t="n"/>
      <c r="H198" s="63" t="inlineStr">
        <is>
          <t>全局/非空间</t>
        </is>
      </c>
      <c r="I198" s="63" t="inlineStr">
        <is>
          <t>default</t>
        </is>
      </c>
      <c r="J198" s="63" t="inlineStr">
        <is>
          <t>桌面与Android正式运行</t>
        </is>
      </c>
      <c r="K198" s="63" t="inlineStr">
        <is>
          <t>已完成</t>
        </is>
      </c>
      <c r="L198" s="63" t="inlineStr">
        <is>
          <t>P0</t>
        </is>
      </c>
      <c r="M198" s="63" t="inlineStr">
        <is>
          <t>v001</t>
        </is>
      </c>
      <c r="N198" s="63" t="inlineStr">
        <is>
          <t>44.1kHz / OGG Vorbis / stereo</t>
        </is>
      </c>
      <c r="O198" s="63" t="inlineStr">
        <is>
          <t>src/assets/audio/sfx/sniper_fire_v001.ogg</t>
        </is>
      </c>
      <c r="P198" s="63" t="inlineStr">
        <is>
          <t>src/assets/audio/sfx/sniper_fire.wav; src/音效接入说明.md</t>
        </is>
      </c>
      <c r="Q198" s="63" t="inlineStr">
        <is>
          <t>sniper_fire; 音效; OGG; Android; 移动端</t>
        </is>
      </c>
      <c r="R198" s="63">
        <f>TEXTJOIN("|",TRUE,C198,D198,E198,F198,H198,I198)</f>
        <v/>
      </c>
      <c r="S198" s="63">
        <f>IF(COUNTIF($R$6:$R$204,R198)&gt;1,"重复","唯一")</f>
        <v/>
      </c>
      <c r="T198" s="63" t="inlineStr">
        <is>
          <t>0d5161b3b8faece3024ad618916c203cd3d274d3b373af7bcbbd22baa0ab3968</t>
        </is>
      </c>
      <c r="U198" s="63" t="inlineStr">
        <is>
          <t>Codex</t>
        </is>
      </c>
      <c r="V198" s="132" t="n">
        <v>46241</v>
      </c>
      <c r="W198" s="63" t="inlineStr">
        <is>
          <t>项目WAV母版转码</t>
        </is>
      </c>
      <c r="X198" s="63" t="inlineStr">
        <is>
          <t>正式运行OGG；WAV仅作母版；AudioManager事件=sniper_fire；Android/桌面统一版本化路径，禁止旧音效回退。</t>
        </is>
      </c>
    </row>
    <row r="199" ht="44" customHeight="1">
      <c r="A199" s="63" t="inlineStr">
        <is>
          <t>AUD-SFX-SOUL-PICKUP</t>
        </is>
      </c>
      <c r="B199" s="63" t="inlineStr">
        <is>
          <t>魂球拾取音效</t>
        </is>
      </c>
      <c r="C199" s="63" t="inlineStr">
        <is>
          <t>音频</t>
        </is>
      </c>
      <c r="D199" s="63" t="inlineStr">
        <is>
          <t>sfx</t>
        </is>
      </c>
      <c r="E199" s="63" t="inlineStr">
        <is>
          <t>soul_pickup</t>
        </is>
      </c>
      <c r="F199" s="63" t="inlineStr">
        <is>
          <t>runtime</t>
        </is>
      </c>
      <c r="G199" s="63" t="n"/>
      <c r="H199" s="63" t="inlineStr">
        <is>
          <t>全局/非空间</t>
        </is>
      </c>
      <c r="I199" s="63" t="inlineStr">
        <is>
          <t>default</t>
        </is>
      </c>
      <c r="J199" s="63" t="inlineStr">
        <is>
          <t>桌面与Android正式运行</t>
        </is>
      </c>
      <c r="K199" s="63" t="inlineStr">
        <is>
          <t>已完成</t>
        </is>
      </c>
      <c r="L199" s="63" t="inlineStr">
        <is>
          <t>P0</t>
        </is>
      </c>
      <c r="M199" s="63" t="inlineStr">
        <is>
          <t>v001</t>
        </is>
      </c>
      <c r="N199" s="63" t="inlineStr">
        <is>
          <t>44.1kHz / OGG Vorbis / stereo</t>
        </is>
      </c>
      <c r="O199" s="63" t="inlineStr">
        <is>
          <t>src/assets/audio/sfx/soul_pickup_v001.ogg</t>
        </is>
      </c>
      <c r="P199" s="63" t="inlineStr">
        <is>
          <t>src/assets/audio/sfx/soul_pickup.wav; src/音效接入说明.md</t>
        </is>
      </c>
      <c r="Q199" s="63" t="inlineStr">
        <is>
          <t>soul_pickup; 音效; OGG; Android; 移动端</t>
        </is>
      </c>
      <c r="R199" s="63">
        <f>TEXTJOIN("|",TRUE,C199,D199,E199,F199,H199,I199)</f>
        <v/>
      </c>
      <c r="S199" s="63">
        <f>IF(COUNTIF($R$6:$R$204,R199)&gt;1,"重复","唯一")</f>
        <v/>
      </c>
      <c r="T199" s="63" t="inlineStr">
        <is>
          <t>c9f24f23f1c4e8ad28a5ee97e9b11efd00e53bf706faa0655cba4f78b68e76ff</t>
        </is>
      </c>
      <c r="U199" s="63" t="inlineStr">
        <is>
          <t>Codex</t>
        </is>
      </c>
      <c r="V199" s="132" t="n">
        <v>46241</v>
      </c>
      <c r="W199" s="63" t="inlineStr">
        <is>
          <t>项目WAV母版转码</t>
        </is>
      </c>
      <c r="X199" s="63" t="inlineStr">
        <is>
          <t>正式运行OGG；WAV仅作母版；AudioManager事件=soul_pickup；Android/桌面统一版本化路径，禁止旧音效回退。</t>
        </is>
      </c>
    </row>
    <row r="200" ht="44" customHeight="1">
      <c r="A200" s="63" t="inlineStr">
        <is>
          <t>AUD-SFX-UI-CLICK</t>
        </is>
      </c>
      <c r="B200" s="63" t="inlineStr">
        <is>
          <t>UI点击音效</t>
        </is>
      </c>
      <c r="C200" s="63" t="inlineStr">
        <is>
          <t>音频</t>
        </is>
      </c>
      <c r="D200" s="63" t="inlineStr">
        <is>
          <t>sfx</t>
        </is>
      </c>
      <c r="E200" s="63" t="inlineStr">
        <is>
          <t>ui_click</t>
        </is>
      </c>
      <c r="F200" s="63" t="inlineStr">
        <is>
          <t>runtime</t>
        </is>
      </c>
      <c r="G200" s="63" t="n"/>
      <c r="H200" s="63" t="inlineStr">
        <is>
          <t>全局/非空间</t>
        </is>
      </c>
      <c r="I200" s="63" t="inlineStr">
        <is>
          <t>default</t>
        </is>
      </c>
      <c r="J200" s="63" t="inlineStr">
        <is>
          <t>桌面与Android正式运行</t>
        </is>
      </c>
      <c r="K200" s="63" t="inlineStr">
        <is>
          <t>已完成</t>
        </is>
      </c>
      <c r="L200" s="63" t="inlineStr">
        <is>
          <t>P0</t>
        </is>
      </c>
      <c r="M200" s="63" t="inlineStr">
        <is>
          <t>v001</t>
        </is>
      </c>
      <c r="N200" s="63" t="inlineStr">
        <is>
          <t>44.1kHz / OGG Vorbis / stereo</t>
        </is>
      </c>
      <c r="O200" s="63" t="inlineStr">
        <is>
          <t>src/assets/audio/sfx/ui_click_v001.ogg</t>
        </is>
      </c>
      <c r="P200" s="63" t="inlineStr">
        <is>
          <t>src/assets/audio/sfx/ui_click.wav; src/音效接入说明.md</t>
        </is>
      </c>
      <c r="Q200" s="63" t="inlineStr">
        <is>
          <t>ui_click; 音效; OGG; Android; 移动端</t>
        </is>
      </c>
      <c r="R200" s="63">
        <f>TEXTJOIN("|",TRUE,C200,D200,E200,F200,H200,I200)</f>
        <v/>
      </c>
      <c r="S200" s="63">
        <f>IF(COUNTIF($R$6:$R$204,R200)&gt;1,"重复","唯一")</f>
        <v/>
      </c>
      <c r="T200" s="63" t="inlineStr">
        <is>
          <t>a19f1bec70959ea5fd4715ee292080f9932fc3835b060b713a00fc19822fc3a5</t>
        </is>
      </c>
      <c r="U200" s="63" t="inlineStr">
        <is>
          <t>Codex</t>
        </is>
      </c>
      <c r="V200" s="132" t="n">
        <v>46241</v>
      </c>
      <c r="W200" s="63" t="inlineStr">
        <is>
          <t>项目WAV母版转码</t>
        </is>
      </c>
      <c r="X200" s="63" t="inlineStr">
        <is>
          <t>正式运行OGG；WAV仅作母版；AudioManager事件=ui_click；Android/桌面统一版本化路径，禁止旧音效回退。</t>
        </is>
      </c>
    </row>
    <row r="201" ht="44" customHeight="1">
      <c r="A201" s="63" t="inlineStr">
        <is>
          <t>AUD-SFX-UI-ERROR</t>
        </is>
      </c>
      <c r="B201" s="63" t="inlineStr">
        <is>
          <t>UI错误音效</t>
        </is>
      </c>
      <c r="C201" s="63" t="inlineStr">
        <is>
          <t>音频</t>
        </is>
      </c>
      <c r="D201" s="63" t="inlineStr">
        <is>
          <t>sfx</t>
        </is>
      </c>
      <c r="E201" s="63" t="inlineStr">
        <is>
          <t>ui_error</t>
        </is>
      </c>
      <c r="F201" s="63" t="inlineStr">
        <is>
          <t>runtime</t>
        </is>
      </c>
      <c r="G201" s="63" t="n"/>
      <c r="H201" s="63" t="inlineStr">
        <is>
          <t>全局/非空间</t>
        </is>
      </c>
      <c r="I201" s="63" t="inlineStr">
        <is>
          <t>default</t>
        </is>
      </c>
      <c r="J201" s="63" t="inlineStr">
        <is>
          <t>桌面与Android正式运行</t>
        </is>
      </c>
      <c r="K201" s="63" t="inlineStr">
        <is>
          <t>已完成</t>
        </is>
      </c>
      <c r="L201" s="63" t="inlineStr">
        <is>
          <t>P0</t>
        </is>
      </c>
      <c r="M201" s="63" t="inlineStr">
        <is>
          <t>v001</t>
        </is>
      </c>
      <c r="N201" s="63" t="inlineStr">
        <is>
          <t>44.1kHz / OGG Vorbis / stereo</t>
        </is>
      </c>
      <c r="O201" s="63" t="inlineStr">
        <is>
          <t>src/assets/audio/sfx/ui_error_v001.ogg</t>
        </is>
      </c>
      <c r="P201" s="63" t="inlineStr">
        <is>
          <t>src/assets/audio/sfx/ui_error.wav; src/音效接入说明.md</t>
        </is>
      </c>
      <c r="Q201" s="63" t="inlineStr">
        <is>
          <t>ui_error; 音效; OGG; Android; 移动端</t>
        </is>
      </c>
      <c r="R201" s="63">
        <f>TEXTJOIN("|",TRUE,C201,D201,E201,F201,H201,I201)</f>
        <v/>
      </c>
      <c r="S201" s="63">
        <f>IF(COUNTIF($R$6:$R$204,R201)&gt;1,"重复","唯一")</f>
        <v/>
      </c>
      <c r="T201" s="63" t="inlineStr">
        <is>
          <t>eeb07b8cc575869b8d560c929431d8beb43eb533c9900403df6beb9bb83b9b5e</t>
        </is>
      </c>
      <c r="U201" s="63" t="inlineStr">
        <is>
          <t>Codex</t>
        </is>
      </c>
      <c r="V201" s="132" t="n">
        <v>46241</v>
      </c>
      <c r="W201" s="63" t="inlineStr">
        <is>
          <t>项目WAV母版转码</t>
        </is>
      </c>
      <c r="X201" s="63" t="inlineStr">
        <is>
          <t>正式运行OGG；WAV仅作母版；AudioManager事件=ui_error；Android/桌面统一版本化路径，禁止旧音效回退。</t>
        </is>
      </c>
    </row>
    <row r="202" ht="44" customHeight="1">
      <c r="A202" s="63" t="inlineStr">
        <is>
          <t>AUD-SFX-UI-HOVER</t>
        </is>
      </c>
      <c r="B202" s="63" t="inlineStr">
        <is>
          <t>UI悬停音效</t>
        </is>
      </c>
      <c r="C202" s="63" t="inlineStr">
        <is>
          <t>音频</t>
        </is>
      </c>
      <c r="D202" s="63" t="inlineStr">
        <is>
          <t>sfx</t>
        </is>
      </c>
      <c r="E202" s="63" t="inlineStr">
        <is>
          <t>ui_hover</t>
        </is>
      </c>
      <c r="F202" s="63" t="inlineStr">
        <is>
          <t>runtime</t>
        </is>
      </c>
      <c r="G202" s="63" t="n"/>
      <c r="H202" s="63" t="inlineStr">
        <is>
          <t>全局/非空间</t>
        </is>
      </c>
      <c r="I202" s="63" t="inlineStr">
        <is>
          <t>default</t>
        </is>
      </c>
      <c r="J202" s="63" t="inlineStr">
        <is>
          <t>桌面与Android正式运行</t>
        </is>
      </c>
      <c r="K202" s="63" t="inlineStr">
        <is>
          <t>已完成</t>
        </is>
      </c>
      <c r="L202" s="63" t="inlineStr">
        <is>
          <t>P0</t>
        </is>
      </c>
      <c r="M202" s="63" t="inlineStr">
        <is>
          <t>v001</t>
        </is>
      </c>
      <c r="N202" s="63" t="inlineStr">
        <is>
          <t>44.1kHz / OGG Vorbis / stereo</t>
        </is>
      </c>
      <c r="O202" s="63" t="inlineStr">
        <is>
          <t>src/assets/audio/sfx/ui_hover_v001.ogg</t>
        </is>
      </c>
      <c r="P202" s="63" t="inlineStr">
        <is>
          <t>src/assets/audio/sfx/ui_hover.wav; src/音效接入说明.md</t>
        </is>
      </c>
      <c r="Q202" s="63" t="inlineStr">
        <is>
          <t>ui_hover; 音效; OGG; Android; 移动端</t>
        </is>
      </c>
      <c r="R202" s="63">
        <f>TEXTJOIN("|",TRUE,C202,D202,E202,F202,H202,I202)</f>
        <v/>
      </c>
      <c r="S202" s="63">
        <f>IF(COUNTIF($R$6:$R$204,R202)&gt;1,"重复","唯一")</f>
        <v/>
      </c>
      <c r="T202" s="63" t="inlineStr">
        <is>
          <t>edb43f0a80a9833364555c052e01e898d39396bef925566cbadf34e009877bcb</t>
        </is>
      </c>
      <c r="U202" s="63" t="inlineStr">
        <is>
          <t>Codex</t>
        </is>
      </c>
      <c r="V202" s="132" t="n">
        <v>46241</v>
      </c>
      <c r="W202" s="63" t="inlineStr">
        <is>
          <t>项目WAV母版转码</t>
        </is>
      </c>
      <c r="X202" s="63" t="inlineStr">
        <is>
          <t>正式运行OGG；WAV仅作母版；AudioManager事件=ui_hover；Android/桌面统一版本化路径，禁止旧音效回退。</t>
        </is>
      </c>
    </row>
    <row r="203" ht="44" customHeight="1">
      <c r="A203" s="63" t="inlineStr">
        <is>
          <t>AUD-SFX-WAVE-CLEAR</t>
        </is>
      </c>
      <c r="B203" s="63" t="inlineStr">
        <is>
          <t>波次完成音效</t>
        </is>
      </c>
      <c r="C203" s="63" t="inlineStr">
        <is>
          <t>音频</t>
        </is>
      </c>
      <c r="D203" s="63" t="inlineStr">
        <is>
          <t>sfx</t>
        </is>
      </c>
      <c r="E203" s="63" t="inlineStr">
        <is>
          <t>wave_clear</t>
        </is>
      </c>
      <c r="F203" s="63" t="inlineStr">
        <is>
          <t>runtime</t>
        </is>
      </c>
      <c r="G203" s="63" t="n"/>
      <c r="H203" s="63" t="inlineStr">
        <is>
          <t>全局/非空间</t>
        </is>
      </c>
      <c r="I203" s="63" t="inlineStr">
        <is>
          <t>default</t>
        </is>
      </c>
      <c r="J203" s="63" t="inlineStr">
        <is>
          <t>桌面与Android正式运行</t>
        </is>
      </c>
      <c r="K203" s="63" t="inlineStr">
        <is>
          <t>已完成</t>
        </is>
      </c>
      <c r="L203" s="63" t="inlineStr">
        <is>
          <t>P0</t>
        </is>
      </c>
      <c r="M203" s="63" t="inlineStr">
        <is>
          <t>v001</t>
        </is>
      </c>
      <c r="N203" s="63" t="inlineStr">
        <is>
          <t>44.1kHz / OGG Vorbis / stereo</t>
        </is>
      </c>
      <c r="O203" s="63" t="inlineStr">
        <is>
          <t>src/assets/audio/sfx/wave_clear_v001.ogg</t>
        </is>
      </c>
      <c r="P203" s="63" t="inlineStr">
        <is>
          <t>src/assets/audio/sfx/wave_clear.wav; src/音效接入说明.md</t>
        </is>
      </c>
      <c r="Q203" s="63" t="inlineStr">
        <is>
          <t>wave_clear; 音效; OGG; Android; 移动端</t>
        </is>
      </c>
      <c r="R203" s="63">
        <f>TEXTJOIN("|",TRUE,C203,D203,E203,F203,H203,I203)</f>
        <v/>
      </c>
      <c r="S203" s="63">
        <f>IF(COUNTIF($R$6:$R$204,R203)&gt;1,"重复","唯一")</f>
        <v/>
      </c>
      <c r="T203" s="63" t="inlineStr">
        <is>
          <t>aa4d315fd2914681fc9a44533dc4470186f3b3349e88782a9d4a00730b5377a2</t>
        </is>
      </c>
      <c r="U203" s="63" t="inlineStr">
        <is>
          <t>Codex</t>
        </is>
      </c>
      <c r="V203" s="132" t="n">
        <v>46241</v>
      </c>
      <c r="W203" s="63" t="inlineStr">
        <is>
          <t>项目WAV母版转码</t>
        </is>
      </c>
      <c r="X203" s="63" t="inlineStr">
        <is>
          <t>正式运行OGG；WAV仅作母版；AudioManager事件=wave_clear；Android/桌面统一版本化路径，禁止旧音效回退。</t>
        </is>
      </c>
    </row>
    <row r="204" ht="44" customHeight="1">
      <c r="A204" s="63" t="inlineStr">
        <is>
          <t>AUD-SFX-WAVE-START</t>
        </is>
      </c>
      <c r="B204" s="63" t="inlineStr">
        <is>
          <t>波次开始音效</t>
        </is>
      </c>
      <c r="C204" s="63" t="inlineStr">
        <is>
          <t>音频</t>
        </is>
      </c>
      <c r="D204" s="63" t="inlineStr">
        <is>
          <t>sfx</t>
        </is>
      </c>
      <c r="E204" s="63" t="inlineStr">
        <is>
          <t>wave_start</t>
        </is>
      </c>
      <c r="F204" s="63" t="inlineStr">
        <is>
          <t>runtime</t>
        </is>
      </c>
      <c r="G204" s="63" t="n"/>
      <c r="H204" s="63" t="inlineStr">
        <is>
          <t>全局/非空间</t>
        </is>
      </c>
      <c r="I204" s="63" t="inlineStr">
        <is>
          <t>default</t>
        </is>
      </c>
      <c r="J204" s="63" t="inlineStr">
        <is>
          <t>桌面与Android正式运行</t>
        </is>
      </c>
      <c r="K204" s="63" t="inlineStr">
        <is>
          <t>已完成</t>
        </is>
      </c>
      <c r="L204" s="63" t="inlineStr">
        <is>
          <t>P0</t>
        </is>
      </c>
      <c r="M204" s="63" t="inlineStr">
        <is>
          <t>v001</t>
        </is>
      </c>
      <c r="N204" s="63" t="inlineStr">
        <is>
          <t>44.1kHz / OGG Vorbis / stereo</t>
        </is>
      </c>
      <c r="O204" s="63" t="inlineStr">
        <is>
          <t>src/assets/audio/sfx/wave_start_v001.ogg</t>
        </is>
      </c>
      <c r="P204" s="63" t="inlineStr">
        <is>
          <t>src/assets/audio/sfx/wave_start.wav; src/音效接入说明.md</t>
        </is>
      </c>
      <c r="Q204" s="63" t="inlineStr">
        <is>
          <t>wave_start; 音效; OGG; Android; 移动端</t>
        </is>
      </c>
      <c r="R204" s="63">
        <f>TEXTJOIN("|",TRUE,C204,D204,E204,F204,H204,I204)</f>
        <v/>
      </c>
      <c r="S204" s="63">
        <f>IF(COUNTIF($R$6:$R$204,R204)&gt;1,"重复","唯一")</f>
        <v/>
      </c>
      <c r="T204" s="63" t="inlineStr">
        <is>
          <t>be26cec7935eda95510b606cfc8bbebc5fe6f6d4310008a363d889f4bbef6083</t>
        </is>
      </c>
      <c r="U204" s="63" t="inlineStr">
        <is>
          <t>Codex</t>
        </is>
      </c>
      <c r="V204" s="132" t="n">
        <v>46241</v>
      </c>
      <c r="W204" s="63" t="inlineStr">
        <is>
          <t>项目WAV母版转码</t>
        </is>
      </c>
      <c r="X204" s="63" t="inlineStr">
        <is>
          <t>正式运行OGG；WAV仅作母版；AudioManager事件=wave_start；Android/桌面统一版本化路径，禁止旧音效回退。</t>
        </is>
      </c>
    </row>
    <row r="205">
      <c r="A205" t="inlineStr">
        <is>
          <t>CHR-PLY-CAPSULE01-3D-BUNNY01-LOWER-BODY-SOCKET</t>
        </is>
      </c>
      <c r="B205" t="inlineStr">
        <is>
          <t>兔子主角下身配件挂点</t>
        </is>
      </c>
      <c r="C205" t="inlineStr">
        <is>
          <t>角色</t>
        </is>
      </c>
      <c r="D205" t="inlineStr">
        <is>
          <t>player_accessory_socket</t>
        </is>
      </c>
      <c r="E205" t="inlineStr">
        <is>
          <t>player_capsule01</t>
        </is>
      </c>
      <c r="F205" t="inlineStr">
        <is>
          <t>lower_body_socket_3d_bunny01</t>
        </is>
      </c>
      <c r="G205" t="inlineStr">
        <is>
          <t>CHR-PLY-CAPSULE01-3D-BUNNY01-BODY</t>
        </is>
      </c>
      <c r="H205" t="inlineStr">
        <is>
          <t>俯视3D</t>
        </is>
      </c>
      <c r="I205" t="inlineStr">
        <is>
          <t>default</t>
        </is>
      </c>
      <c r="J205" t="inlineStr">
        <is>
          <t>3D玩家下身配件</t>
        </is>
      </c>
      <c r="K205" t="inlineStr">
        <is>
          <t>原型已接入</t>
        </is>
      </c>
      <c r="L205" t="inlineStr">
        <is>
          <t>P0</t>
        </is>
      </c>
      <c r="M205" t="inlineStr">
        <is>
          <t>v006</t>
        </is>
      </c>
      <c r="N205" t="inlineStr">
        <is>
          <t>Marker3D；BodyJoint local=(0,0.14,0)</t>
        </is>
      </c>
      <c r="O205" t="inlineStr">
        <is>
          <t>assets/art/characters/player/chr_player_capsule01_3d/variants/bunny01/chr_player_capsule01_bunny01_root_top3d_v006.tscn</t>
        </is>
      </c>
      <c r="P205" t="inlineStr">
        <is>
          <t>src/player3d/PlayerAvatar3D.gd; tests/verification/verify_player3d_lower_body_socket_flow.tscn</t>
        </is>
      </c>
      <c r="Q205" t="inlineStr">
        <is>
          <t>下身挂点;腰部挂点;裙子;裙摆;腰甲;LowerBodySocket;lower_body</t>
        </is>
      </c>
      <c r="R205">
        <f>LOWER(TRIM(C205)&amp;"|"&amp;TRIM(D205)&amp;"|"&amp;TRIM(E205)&amp;"|"&amp;TRIM(F205)&amp;"|"&amp;TRIM(H205)&amp;"|"&amp;TRIM(I205))</f>
        <v/>
      </c>
      <c r="S205">
        <f>IF(A205="","",IF(COUNTIF($R:$R,R205)&gt;1,"重复","唯一"))</f>
        <v/>
      </c>
      <c r="U205" t="inlineStr">
        <is>
          <t>Codex</t>
        </is>
      </c>
      <c r="V205" s="131" t="n">
        <v>46243</v>
      </c>
      <c r="W205" t="inlineStr">
        <is>
          <t>原创程序挂点</t>
        </is>
      </c>
      <c r="X205" t="inlineStr">
        <is>
          <t>BodyJoint子节点；只承载裙摆、腰甲和下摆等表现附件；继承身体位置/旋转/缩放，不改变碰撞、移动、伤害或状态机。</t>
        </is>
      </c>
    </row>
    <row r="206">
      <c r="A206" t="inlineStr">
        <is>
          <t>WPN-MELEE-BP-GREATBLADE</t>
        </is>
      </c>
      <c r="B206" t="inlineStr">
        <is>
          <t>巨型工业断刃程序原型</t>
        </is>
      </c>
      <c r="C206" t="inlineStr">
        <is>
          <t>武器</t>
        </is>
      </c>
      <c r="D206" t="inlineStr">
        <is>
          <t>melee</t>
        </is>
      </c>
      <c r="E206" t="inlineStr">
        <is>
          <t>bp_greatblade</t>
        </is>
      </c>
      <c r="F206" t="inlineStr">
        <is>
          <t>root</t>
        </is>
      </c>
      <c r="H206" t="inlineStr">
        <is>
          <t>俯视3D</t>
        </is>
      </c>
      <c r="I206" t="inlineStr">
        <is>
          <t>default / three_step_combo</t>
        </is>
      </c>
      <c r="J206" t="inlineStr">
        <is>
          <t>手持/背负/地面/背包图标/表现页</t>
        </is>
      </c>
      <c r="K206" t="inlineStr">
        <is>
          <t>程序占位</t>
        </is>
      </c>
      <c r="L206" t="inlineStr">
        <is>
          <t>P0</t>
        </is>
      </c>
      <c r="M206" t="inlineStr">
        <is>
          <t>v001</t>
        </is>
      </c>
      <c r="N206" t="inlineStr">
        <is>
          <t>程序Mesh；0.82×0.30×2.42m；无碰撞</t>
        </is>
      </c>
      <c r="O206" t="inlineStr">
        <is>
          <t>assets/art/weapons/melee_3d/wpn_melee_greatblade_root_top3d_v001.tscn</t>
        </is>
      </c>
      <c r="P206" t="inlineStr">
        <is>
          <t>src/combat3d/MeleeWeaponVisual3D.gd; src/player3d/melee/PlayerMeleeCombat3D.gd</t>
        </is>
      </c>
      <c r="Q206" t="inlineStr">
        <is>
          <t>近战;大型武器;工业断刃;三段连击;greatblade;melee</t>
        </is>
      </c>
      <c r="R206" t="inlineStr">
        <is>
          <t>武器|melee|bp_greatblade|root|俯视3d|default / three_step_combo</t>
        </is>
      </c>
      <c r="S206" t="inlineStr">
        <is>
          <t>唯一</t>
        </is>
      </c>
      <c r="U206" t="inlineStr">
        <is>
          <t>Codex</t>
        </is>
      </c>
      <c r="V206" s="131" t="n">
        <v>46244</v>
      </c>
      <c r="W206" t="inlineStr">
        <is>
          <t>原创程序原型</t>
        </is>
      </c>
      <c r="X206" t="inlineStr">
        <is>
          <t>总长2.42m；双手重型持握；四态动作子状态机；三段池化弧光/命中爆点与专属挥砍/冲击音频已接入；最终美术替换保留握柄原点/local -Z与稳定ID。</t>
        </is>
      </c>
    </row>
    <row r="207">
      <c r="A207" t="inlineStr">
        <is>
          <t>WPN-MELEE-BP-WARAXE</t>
        </is>
      </c>
      <c r="B207" t="inlineStr">
        <is>
          <t>攻城裂甲斧程序原型</t>
        </is>
      </c>
      <c r="C207" t="inlineStr">
        <is>
          <t>武器</t>
        </is>
      </c>
      <c r="D207" t="inlineStr">
        <is>
          <t>melee</t>
        </is>
      </c>
      <c r="E207" t="inlineStr">
        <is>
          <t>bp_waraxe</t>
        </is>
      </c>
      <c r="F207" t="inlineStr">
        <is>
          <t>root</t>
        </is>
      </c>
      <c r="H207" t="inlineStr">
        <is>
          <t>俯视3D</t>
        </is>
      </c>
      <c r="I207" t="inlineStr">
        <is>
          <t>default / three_step_combo</t>
        </is>
      </c>
      <c r="J207" t="inlineStr">
        <is>
          <t>手持/背负/地面/背包图标/表现页</t>
        </is>
      </c>
      <c r="K207" t="inlineStr">
        <is>
          <t>程序占位</t>
        </is>
      </c>
      <c r="L207" t="inlineStr">
        <is>
          <t>P0</t>
        </is>
      </c>
      <c r="M207" t="inlineStr">
        <is>
          <t>v001</t>
        </is>
      </c>
      <c r="N207" t="inlineStr">
        <is>
          <t>程序Mesh；1.18×0.34×2.62m；无碰撞</t>
        </is>
      </c>
      <c r="O207" t="inlineStr">
        <is>
          <t>assets/art/weapons/melee_3d/wpn_melee_waraxe_root_top3d_v001.tscn</t>
        </is>
      </c>
      <c r="P207" t="inlineStr">
        <is>
          <t>src/combat3d/MeleeWeaponVisual3D.gd; src/player3d/melee/PlayerMeleeCombat3D.gd</t>
        </is>
      </c>
      <c r="Q207" t="inlineStr">
        <is>
          <t>近战;大型武器;攻城斧;三段连击;waraxe;melee</t>
        </is>
      </c>
      <c r="R207" t="inlineStr">
        <is>
          <t>武器|melee|bp_waraxe|root|俯视3d|default / three_step_combo</t>
        </is>
      </c>
      <c r="S207" t="inlineStr">
        <is>
          <t>唯一</t>
        </is>
      </c>
      <c r="U207" t="inlineStr">
        <is>
          <t>Codex</t>
        </is>
      </c>
      <c r="V207" s="131" t="n">
        <v>46244</v>
      </c>
      <c r="W207" t="inlineStr">
        <is>
          <t>原创程序原型</t>
        </is>
      </c>
      <c r="X207" t="inlineStr">
        <is>
          <t>总长2.62m；高伤高击退；四态动作子状态机；第三段最大弧光并降低音高/提高冲击响度；最终美术替换保留握柄原点/local -Z与稳定ID。</t>
        </is>
      </c>
    </row>
    <row r="208">
      <c r="A208" t="inlineStr">
        <is>
          <t>AUD-SFX-MELEE-IMPACT</t>
        </is>
      </c>
      <c r="B208" t="inlineStr">
        <is>
          <t>近战命中主层音效</t>
        </is>
      </c>
      <c r="C208" t="inlineStr">
        <is>
          <t>音频</t>
        </is>
      </c>
      <c r="D208" t="inlineStr">
        <is>
          <t>sfx</t>
        </is>
      </c>
      <c r="E208" t="inlineStr">
        <is>
          <t>melee_impact</t>
        </is>
      </c>
      <c r="F208" t="inlineStr">
        <is>
          <t>runtime</t>
        </is>
      </c>
      <c r="H208" t="inlineStr">
        <is>
          <t>全局/非空间</t>
        </is>
      </c>
      <c r="I208" t="inlineStr">
        <is>
          <t>default</t>
        </is>
      </c>
      <c r="J208" t="inlineStr">
        <is>
          <t>桌面与Android正式运行</t>
        </is>
      </c>
      <c r="K208" t="inlineStr">
        <is>
          <t>已完成</t>
        </is>
      </c>
      <c r="L208" t="inlineStr">
        <is>
          <t>P0</t>
        </is>
      </c>
      <c r="M208" t="inlineStr">
        <is>
          <t>v001</t>
        </is>
      </c>
      <c r="N208" t="inlineStr">
        <is>
          <t>44.1kHz / OGG Vorbis / stereo</t>
        </is>
      </c>
      <c r="O208" t="inlineStr">
        <is>
          <t>src/assets/audio/sfx/melee_impact_v001.ogg</t>
        </is>
      </c>
      <c r="P208" t="inlineStr">
        <is>
          <t>src/assets/audio/sfx/melee_impact.wav; src/音效接入说明.md</t>
        </is>
      </c>
      <c r="Q208" t="inlineStr">
        <is>
          <t>melee_impact; 近战命中; 打击; 冲击; OGG; Android</t>
        </is>
      </c>
      <c r="R208">
        <f>TEXTJOIN("|",TRUE,C208,D208,E208,F208,H208,I208)</f>
        <v/>
      </c>
      <c r="S208" t="inlineStr">
        <is>
          <t>唯一</t>
        </is>
      </c>
      <c r="T208" t="inlineStr">
        <is>
          <t>adef9ec927d3d54967c605bfd3b779237e4f2b2b4430c30b4b656d4a204db8f8</t>
        </is>
      </c>
      <c r="U208" t="inlineStr">
        <is>
          <t>Codex</t>
        </is>
      </c>
      <c r="V208" t="n">
        <v>46244</v>
      </c>
      <c r="W208" t="inlineStr">
        <is>
          <t>原创程序合成母版</t>
        </is>
      </c>
      <c r="X208" t="inlineStr">
        <is>
          <t>正式运行OGG；WAV为原创程序合成母版；AudioManager事件=melee_impact；攻击级单次播放，敌人enemy_hit/crit_hit仍逐目标负责材质接触层。</t>
        </is>
      </c>
    </row>
    <row r="209">
      <c r="A209" t="inlineStr">
        <is>
          <t>AUD-SFX-MELEE-SWING</t>
        </is>
      </c>
      <c r="B209" t="inlineStr">
        <is>
          <t>近战挥砍空气层音效</t>
        </is>
      </c>
      <c r="C209" t="inlineStr">
        <is>
          <t>音频</t>
        </is>
      </c>
      <c r="D209" t="inlineStr">
        <is>
          <t>sfx</t>
        </is>
      </c>
      <c r="E209" t="inlineStr">
        <is>
          <t>melee_swing</t>
        </is>
      </c>
      <c r="F209" t="inlineStr">
        <is>
          <t>runtime</t>
        </is>
      </c>
      <c r="H209" t="inlineStr">
        <is>
          <t>全局/非空间</t>
        </is>
      </c>
      <c r="I209" t="inlineStr">
        <is>
          <t>default</t>
        </is>
      </c>
      <c r="J209" t="inlineStr">
        <is>
          <t>桌面与Android正式运行</t>
        </is>
      </c>
      <c r="K209" t="inlineStr">
        <is>
          <t>已完成</t>
        </is>
      </c>
      <c r="L209" t="inlineStr">
        <is>
          <t>P0</t>
        </is>
      </c>
      <c r="M209" t="inlineStr">
        <is>
          <t>v001</t>
        </is>
      </c>
      <c r="N209" t="inlineStr">
        <is>
          <t>44.1kHz / OGG Vorbis / stereo</t>
        </is>
      </c>
      <c r="O209" t="inlineStr">
        <is>
          <t>src/assets/audio/sfx/melee_swing_v001.ogg</t>
        </is>
      </c>
      <c r="P209" t="inlineStr">
        <is>
          <t>src/assets/audio/sfx/melee_swing.wav; src/音效接入说明.md</t>
        </is>
      </c>
      <c r="Q209" t="inlineStr">
        <is>
          <t>melee_swing; 近战挥砍; 切风; 空气层; OGG; Android</t>
        </is>
      </c>
      <c r="R209">
        <f>TEXTJOIN("|",TRUE,C209,D209,E209,F209,H209,I209)</f>
        <v/>
      </c>
      <c r="S209" t="inlineStr">
        <is>
          <t>唯一</t>
        </is>
      </c>
      <c r="T209" t="inlineStr">
        <is>
          <t>a3deeeeae55f1944ccf5df07167dad6c5cc4ac2869cf7b397383ce9828cfdad4</t>
        </is>
      </c>
      <c r="U209" t="inlineStr">
        <is>
          <t>Codex</t>
        </is>
      </c>
      <c r="V209" t="n">
        <v>46244</v>
      </c>
      <c r="W209" t="inlineStr">
        <is>
          <t>原创程序合成母版</t>
        </is>
      </c>
      <c r="X209" t="inlineStr">
        <is>
          <t>正式运行OGG；WAV为原创程序合成母版；AudioManager事件=melee_swing；每段active一次，按连段与武器类型固定调整音高/响度。</t>
        </is>
      </c>
    </row>
    <row r="210">
      <c r="A210" t="inlineStr">
        <is>
          <t>WPN-MELEE-BP-BASEBALL-BAT</t>
        </is>
      </c>
      <c r="B210" t="inlineStr">
        <is>
          <t>废土棒球棍程序原型</t>
        </is>
      </c>
      <c r="C210" t="inlineStr">
        <is>
          <t>武器</t>
        </is>
      </c>
      <c r="D210" t="inlineStr">
        <is>
          <t>melee</t>
        </is>
      </c>
      <c r="E210" t="inlineStr">
        <is>
          <t>bp_baseball_bat</t>
        </is>
      </c>
      <c r="F210" t="inlineStr">
        <is>
          <t>root</t>
        </is>
      </c>
      <c r="H210" t="inlineStr">
        <is>
          <t>俯视3D</t>
        </is>
      </c>
      <c r="I210" t="inlineStr">
        <is>
          <t>default / three_step_combo</t>
        </is>
      </c>
      <c r="J210" t="inlineStr">
        <is>
          <t>手持/背负/地面/背包图标/表现页/基地贩卖机</t>
        </is>
      </c>
      <c r="K210" t="inlineStr">
        <is>
          <t>程序占位</t>
        </is>
      </c>
      <c r="L210" t="inlineStr">
        <is>
          <t>P0</t>
        </is>
      </c>
      <c r="M210" t="inlineStr">
        <is>
          <t>v001</t>
        </is>
      </c>
      <c r="N210" t="inlineStr">
        <is>
          <t>程序Mesh；0.28×0.28×1.48m；无碰撞</t>
        </is>
      </c>
      <c r="O210" t="inlineStr">
        <is>
          <t>assets/art/weapons/melee_3d/wpn_melee_baseball_bat_root_top3d_v001.tscn</t>
        </is>
      </c>
      <c r="P210" t="inlineStr">
        <is>
          <t>src/combat3d/MeleeWeaponVisual3D.gd; src/player3d/melee/PlayerMeleeCombat3D.gd; tests/verification/verify_weapon_attachment_inventory_flow.gd</t>
        </is>
      </c>
      <c r="Q210" t="inlineStr">
        <is>
          <t>近战;初级武器;棒球棍;三段连击;baseball_bat;melee;基地贩卖机</t>
        </is>
      </c>
      <c r="R210">
        <f>LOWER(TRIM(C210)&amp;"|"&amp;TRIM(D210)&amp;"|"&amp;TRIM(E210)&amp;"|"&amp;TRIM(F210)&amp;"|"&amp;TRIM(H210)&amp;"|"&amp;TRIM(I210))</f>
        <v/>
      </c>
      <c r="S210" t="inlineStr">
        <is>
          <t>唯一</t>
        </is>
      </c>
      <c r="T210" t="inlineStr">
        <is>
          <t>700ecf26ca26d653967db40dbe48f8572387ae63b43a1428aa54721c25ca7b0a</t>
        </is>
      </c>
      <c r="U210" t="inlineStr">
        <is>
          <t>Codex</t>
        </is>
      </c>
      <c r="V210" t="n">
        <v>46244</v>
      </c>
      <c r="W210" t="inlineStr">
        <is>
          <t>原创程序原型</t>
        </is>
      </c>
      <c r="X210" t="inlineStr">
        <is>
          <t>基地45魂初级近战；三段快速挥击、第三段强化击退；复用近战四态、弧光/命中VFX和版本化音频。最终美术替换须保留握柄原点/local -Z与稳定ID。</t>
        </is>
      </c>
    </row>
    <row r="211">
      <c r="A211" s="37" t="inlineStr">
        <is>
          <t>WPN-GUN-FUTURE-MEGAPHONE-CANNON-3D</t>
        </is>
      </c>
      <c r="B211" s="37" t="inlineStr">
        <is>
          <t>扩音器加农炮</t>
        </is>
      </c>
      <c r="C211" s="37" t="inlineStr">
        <is>
          <t>武器</t>
        </is>
      </c>
      <c r="D211" s="37" t="inlineStr">
        <is>
          <t>gunbody</t>
        </is>
      </c>
      <c r="E211" s="37" t="inlineStr">
        <is>
          <t>future_megaphone_cannon</t>
        </is>
      </c>
      <c r="F211" s="37" t="inlineStr">
        <is>
          <t>root</t>
        </is>
      </c>
      <c r="G211" s="37" t="n"/>
      <c r="H211" s="37" t="inlineStr">
        <is>
          <t>俯视3D / local -Z 枪口</t>
        </is>
      </c>
      <c r="I211" s="37" t="inlineStr">
        <is>
          <t>default / 标准握把与8类挂点</t>
        </is>
      </c>
      <c r="J211" s="37" t="inlineStr">
        <is>
          <t>未来枪械池/独立资产</t>
        </is>
      </c>
      <c r="K211" s="37" t="inlineStr">
        <is>
          <t>正式美术已入库/待玩法映射</t>
        </is>
      </c>
      <c r="L211" s="37" t="inlineStr">
        <is>
          <t>P2</t>
        </is>
      </c>
      <c r="M211" s="37" t="inlineStr">
        <is>
          <t>v001</t>
        </is>
      </c>
      <c r="N211" s="37" t="inlineStr">
        <is>
          <t>握把原点；local -Z枪口；3材质；独立GLB/PackedScene</t>
        </is>
      </c>
      <c r="O211" s="37" t="inlineStr">
        <is>
          <t>assets/art/weapons/weapon_3d/runtime/megaphone_cannon/wpn_megaphone_cannon_root_top3d_v001.tscn</t>
        </is>
      </c>
      <c r="P211" s="37" t="inlineStr">
        <is>
          <t>assets/art/weapons/weapon_3d/source/megaphone_cannon/wpn_megaphone_cannon_source_v001.blend</t>
        </is>
      </c>
      <c r="Q211" s="37" t="inlineStr">
        <is>
          <t>megaphone_cannon; 扩音器加农炮; 未来枪械; 通用挂点; 多巴胺配色</t>
        </is>
      </c>
      <c r="R211" s="37">
        <f>LOWER(TRIM(C211)&amp;"|"&amp;TRIM(D211)&amp;"|"&amp;TRIM(E211)&amp;"|"&amp;TRIM(F211)&amp;"|"&amp;TRIM(H211)&amp;"|"&amp;TRIM(I211))</f>
        <v/>
      </c>
      <c r="S211" s="37" t="inlineStr">
        <is>
          <t>唯一</t>
        </is>
      </c>
      <c r="T211" s="37" t="inlineStr">
        <is>
          <t>6b8f58fe196a685db9c492e0376e6fa46400fc83329ec64b27493d4217aad3c2</t>
        </is>
      </c>
      <c r="U211" s="37" t="inlineStr">
        <is>
          <t>Codex</t>
        </is>
      </c>
      <c r="V211" s="128" t="n">
        <v>46244</v>
      </c>
      <c r="W211" s="37" t="inlineStr">
        <is>
          <t>用户自制Blender资产</t>
        </is>
      </c>
      <c r="X211" s="37" t="inlineStr">
        <is>
          <t>暂不绑定现有蓝图ID；已独立导入并统一Grip/Muzzle/Scope/Magazine/Stock/Tactical等节点。</t>
        </is>
      </c>
    </row>
    <row r="212">
      <c r="A212" s="37" t="inlineStr">
        <is>
          <t>WPN-GUN-FUTURE-GUITAR-BLASTER-3D</t>
        </is>
      </c>
      <c r="B212" s="37" t="inlineStr">
        <is>
          <t>吉他爆能枪</t>
        </is>
      </c>
      <c r="C212" s="37" t="inlineStr">
        <is>
          <t>武器</t>
        </is>
      </c>
      <c r="D212" s="37" t="inlineStr">
        <is>
          <t>gunbody</t>
        </is>
      </c>
      <c r="E212" s="37" t="inlineStr">
        <is>
          <t>future_guitar_blaster</t>
        </is>
      </c>
      <c r="F212" s="37" t="inlineStr">
        <is>
          <t>root</t>
        </is>
      </c>
      <c r="G212" s="37" t="n"/>
      <c r="H212" s="37" t="inlineStr">
        <is>
          <t>俯视3D / local -Z 枪口</t>
        </is>
      </c>
      <c r="I212" s="37" t="inlineStr">
        <is>
          <t>default / 标准握把与8类挂点</t>
        </is>
      </c>
      <c r="J212" s="37" t="inlineStr">
        <is>
          <t>未来枪械池/独立资产</t>
        </is>
      </c>
      <c r="K212" s="37" t="inlineStr">
        <is>
          <t>正式美术已入库/待玩法映射</t>
        </is>
      </c>
      <c r="L212" s="37" t="inlineStr">
        <is>
          <t>P2</t>
        </is>
      </c>
      <c r="M212" s="37" t="inlineStr">
        <is>
          <t>v001</t>
        </is>
      </c>
      <c r="N212" s="37" t="inlineStr">
        <is>
          <t>握把原点；local -Z枪口；3材质；独立GLB/PackedScene</t>
        </is>
      </c>
      <c r="O212" s="37" t="inlineStr">
        <is>
          <t>assets/art/weapons/weapon_3d/runtime/guitar_blaster/wpn_guitar_blaster_root_top3d_v001.tscn</t>
        </is>
      </c>
      <c r="P212" s="37" t="inlineStr">
        <is>
          <t>assets/art/weapons/weapon_3d/source/guitar_blaster/wpn_guitar_blaster_source_v001.blend</t>
        </is>
      </c>
      <c r="Q212" s="37" t="inlineStr">
        <is>
          <t>guitar_blaster; 吉他爆能枪; 未来枪械; 通用挂点; 多巴胺配色</t>
        </is>
      </c>
      <c r="R212" s="37">
        <f>LOWER(TRIM(C212)&amp;"|"&amp;TRIM(D212)&amp;"|"&amp;TRIM(E212)&amp;"|"&amp;TRIM(F212)&amp;"|"&amp;TRIM(H212)&amp;"|"&amp;TRIM(I212))</f>
        <v/>
      </c>
      <c r="S212" s="37" t="inlineStr">
        <is>
          <t>唯一</t>
        </is>
      </c>
      <c r="T212" s="37" t="inlineStr">
        <is>
          <t>b82adc9dde68d6ed983b7a99be35b4d4cbc5101a3f28e06ba27440a4f04688aa</t>
        </is>
      </c>
      <c r="U212" s="37" t="inlineStr">
        <is>
          <t>Codex</t>
        </is>
      </c>
      <c r="V212" s="128" t="n">
        <v>46244</v>
      </c>
      <c r="W212" s="37" t="inlineStr">
        <is>
          <t>用户自制Blender资产</t>
        </is>
      </c>
      <c r="X212" s="37" t="inlineStr">
        <is>
          <t>暂不绑定现有蓝图ID；已独立导入并统一Grip/Muzzle/Scope/Magazine/Stock/Tactical等节点。</t>
        </is>
      </c>
    </row>
    <row r="213">
      <c r="A213" s="37" t="inlineStr">
        <is>
          <t>WPN-GUN-FUTURE-SPATULA-RIFLE-3D</t>
        </is>
      </c>
      <c r="B213" s="37" t="inlineStr">
        <is>
          <t>锅铲步枪</t>
        </is>
      </c>
      <c r="C213" s="37" t="inlineStr">
        <is>
          <t>武器</t>
        </is>
      </c>
      <c r="D213" s="37" t="inlineStr">
        <is>
          <t>gunbody</t>
        </is>
      </c>
      <c r="E213" s="37" t="inlineStr">
        <is>
          <t>future_spatula_rifle</t>
        </is>
      </c>
      <c r="F213" s="37" t="inlineStr">
        <is>
          <t>root</t>
        </is>
      </c>
      <c r="G213" s="37" t="n"/>
      <c r="H213" s="37" t="inlineStr">
        <is>
          <t>俯视3D / local -Z 枪口</t>
        </is>
      </c>
      <c r="I213" s="37" t="inlineStr">
        <is>
          <t>default / 标准握把与8类挂点</t>
        </is>
      </c>
      <c r="J213" s="37" t="inlineStr">
        <is>
          <t>未来枪械池/独立资产</t>
        </is>
      </c>
      <c r="K213" s="37" t="inlineStr">
        <is>
          <t>正式美术已入库/待玩法映射</t>
        </is>
      </c>
      <c r="L213" s="37" t="inlineStr">
        <is>
          <t>P2</t>
        </is>
      </c>
      <c r="M213" s="37" t="inlineStr">
        <is>
          <t>v001</t>
        </is>
      </c>
      <c r="N213" s="37" t="inlineStr">
        <is>
          <t>握把原点；local -Z枪口；3材质；独立GLB/PackedScene</t>
        </is>
      </c>
      <c r="O213" s="37" t="inlineStr">
        <is>
          <t>assets/art/weapons/weapon_3d/runtime/spatula_rifle/wpn_spatula_rifle_root_top3d_v001.tscn</t>
        </is>
      </c>
      <c r="P213" s="37" t="inlineStr">
        <is>
          <t>assets/art/weapons/weapon_3d/source/spatula_rifle/wpn_spatula_rifle_source_v001.blend</t>
        </is>
      </c>
      <c r="Q213" s="37" t="inlineStr">
        <is>
          <t>spatula_rifle; 锅铲步枪; 未来枪械; 通用挂点; 多巴胺配色</t>
        </is>
      </c>
      <c r="R213" s="37">
        <f>LOWER(TRIM(C213)&amp;"|"&amp;TRIM(D213)&amp;"|"&amp;TRIM(E213)&amp;"|"&amp;TRIM(F213)&amp;"|"&amp;TRIM(H213)&amp;"|"&amp;TRIM(I213))</f>
        <v/>
      </c>
      <c r="S213" s="37" t="inlineStr">
        <is>
          <t>唯一</t>
        </is>
      </c>
      <c r="T213" s="37" t="inlineStr">
        <is>
          <t>8af70da0fa51e700cfda37a6d5417967285074dc502b461fe0428b257cf0b075</t>
        </is>
      </c>
      <c r="U213" s="37" t="inlineStr">
        <is>
          <t>Codex</t>
        </is>
      </c>
      <c r="V213" s="128" t="n">
        <v>46244</v>
      </c>
      <c r="W213" s="37" t="inlineStr">
        <is>
          <t>用户自制Blender资产</t>
        </is>
      </c>
      <c r="X213" s="37" t="inlineStr">
        <is>
          <t>暂不绑定现有蓝图ID；已独立导入并统一Grip/Muzzle/Scope/Magazine/Stock/Tactical等节点。</t>
        </is>
      </c>
    </row>
    <row r="214">
      <c r="A214" s="37" t="inlineStr">
        <is>
          <t>WPN-GUN-FUTURE-FRYING-PAN-CANNON-3D</t>
        </is>
      </c>
      <c r="B214" s="37" t="inlineStr">
        <is>
          <t>平底锅加农炮</t>
        </is>
      </c>
      <c r="C214" s="37" t="inlineStr">
        <is>
          <t>武器</t>
        </is>
      </c>
      <c r="D214" s="37" t="inlineStr">
        <is>
          <t>gunbody</t>
        </is>
      </c>
      <c r="E214" s="37" t="inlineStr">
        <is>
          <t>future_frying_pan_cannon</t>
        </is>
      </c>
      <c r="F214" s="37" t="inlineStr">
        <is>
          <t>root</t>
        </is>
      </c>
      <c r="G214" s="37" t="n"/>
      <c r="H214" s="37" t="inlineStr">
        <is>
          <t>俯视3D / local -Z 枪口</t>
        </is>
      </c>
      <c r="I214" s="37" t="inlineStr">
        <is>
          <t>default / 标准握把与8类挂点</t>
        </is>
      </c>
      <c r="J214" s="37" t="inlineStr">
        <is>
          <t>未来枪械池/独立资产</t>
        </is>
      </c>
      <c r="K214" s="37" t="inlineStr">
        <is>
          <t>正式美术已入库/待玩法映射</t>
        </is>
      </c>
      <c r="L214" s="37" t="inlineStr">
        <is>
          <t>P2</t>
        </is>
      </c>
      <c r="M214" s="37" t="inlineStr">
        <is>
          <t>v001</t>
        </is>
      </c>
      <c r="N214" s="37" t="inlineStr">
        <is>
          <t>握把原点；local -Z枪口；3材质；独立GLB/PackedScene</t>
        </is>
      </c>
      <c r="O214" s="37" t="inlineStr">
        <is>
          <t>assets/art/weapons/weapon_3d/runtime/frying_pan_cannon/wpn_frying_pan_cannon_root_top3d_v001.tscn</t>
        </is>
      </c>
      <c r="P214" s="37" t="inlineStr">
        <is>
          <t>assets/art/weapons/weapon_3d/source/frying_pan_cannon/wpn_frying_pan_cannon_source_v001.blend</t>
        </is>
      </c>
      <c r="Q214" s="37" t="inlineStr">
        <is>
          <t>frying_pan_cannon; 平底锅加农炮; 未来枪械; 通用挂点; 多巴胺配色</t>
        </is>
      </c>
      <c r="R214" s="37">
        <f>LOWER(TRIM(C214)&amp;"|"&amp;TRIM(D214)&amp;"|"&amp;TRIM(E214)&amp;"|"&amp;TRIM(F214)&amp;"|"&amp;TRIM(H214)&amp;"|"&amp;TRIM(I214))</f>
        <v/>
      </c>
      <c r="S214" s="37" t="inlineStr">
        <is>
          <t>唯一</t>
        </is>
      </c>
      <c r="T214" s="37" t="inlineStr">
        <is>
          <t>074036c4f15d6d08ef091734e6058f756b9fb7dab8fb0e3277cf6ced3841f6fe</t>
        </is>
      </c>
      <c r="U214" s="37" t="inlineStr">
        <is>
          <t>Codex</t>
        </is>
      </c>
      <c r="V214" s="128" t="n">
        <v>46244</v>
      </c>
      <c r="W214" s="37" t="inlineStr">
        <is>
          <t>用户自制Blender资产</t>
        </is>
      </c>
      <c r="X214" s="37" t="inlineStr">
        <is>
          <t>暂不绑定现有蓝图ID；已独立导入并统一Grip/Muzzle/Scope/Magazine/Stock/Tactical等节点。</t>
        </is>
      </c>
    </row>
    <row r="215">
      <c r="A215" s="37" t="inlineStr">
        <is>
          <t>WPN-GUN-FUTURE-SCOPE-CANNON-3D</t>
        </is>
      </c>
      <c r="B215" s="37" t="inlineStr">
        <is>
          <t>瞄准镜加农炮</t>
        </is>
      </c>
      <c r="C215" s="37" t="inlineStr">
        <is>
          <t>武器</t>
        </is>
      </c>
      <c r="D215" s="37" t="inlineStr">
        <is>
          <t>gunbody</t>
        </is>
      </c>
      <c r="E215" s="37" t="inlineStr">
        <is>
          <t>future_scope_cannon</t>
        </is>
      </c>
      <c r="F215" s="37" t="inlineStr">
        <is>
          <t>root</t>
        </is>
      </c>
      <c r="G215" s="37" t="n"/>
      <c r="H215" s="37" t="inlineStr">
        <is>
          <t>俯视3D / local -Z 枪口</t>
        </is>
      </c>
      <c r="I215" s="37" t="inlineStr">
        <is>
          <t>default / 标准握把与8类挂点</t>
        </is>
      </c>
      <c r="J215" s="37" t="inlineStr">
        <is>
          <t>未来枪械池/独立资产</t>
        </is>
      </c>
      <c r="K215" s="37" t="inlineStr">
        <is>
          <t>正式美术已入库/待玩法映射</t>
        </is>
      </c>
      <c r="L215" s="37" t="inlineStr">
        <is>
          <t>P2</t>
        </is>
      </c>
      <c r="M215" s="37" t="inlineStr">
        <is>
          <t>v001</t>
        </is>
      </c>
      <c r="N215" s="37" t="inlineStr">
        <is>
          <t>握把原点；local -Z枪口；3材质；独立GLB/PackedScene</t>
        </is>
      </c>
      <c r="O215" s="37" t="inlineStr">
        <is>
          <t>assets/art/weapons/weapon_3d/runtime/scope_cannon/wpn_scope_cannon_root_top3d_v001.tscn</t>
        </is>
      </c>
      <c r="P215" s="37" t="inlineStr">
        <is>
          <t>assets/art/weapons/weapon_3d/source/scope_cannon/wpn_scope_cannon_source_v001.blend</t>
        </is>
      </c>
      <c r="Q215" s="37" t="inlineStr">
        <is>
          <t>scope_cannon; 瞄准镜加农炮; 未来枪械; 通用挂点; 多巴胺配色</t>
        </is>
      </c>
      <c r="R215" s="37">
        <f>LOWER(TRIM(C215)&amp;"|"&amp;TRIM(D215)&amp;"|"&amp;TRIM(E215)&amp;"|"&amp;TRIM(F215)&amp;"|"&amp;TRIM(H215)&amp;"|"&amp;TRIM(I215))</f>
        <v/>
      </c>
      <c r="S215" s="37" t="inlineStr">
        <is>
          <t>唯一</t>
        </is>
      </c>
      <c r="T215" s="37" t="inlineStr">
        <is>
          <t>ba54d1e1126c7416a870f88fc1a4ed16336e1894e0d401807c09b36f7f6d2aab</t>
        </is>
      </c>
      <c r="U215" s="37" t="inlineStr">
        <is>
          <t>Codex</t>
        </is>
      </c>
      <c r="V215" s="128" t="n">
        <v>46244</v>
      </c>
      <c r="W215" s="37" t="inlineStr">
        <is>
          <t>用户自制Blender资产</t>
        </is>
      </c>
      <c r="X215" s="37" t="inlineStr">
        <is>
          <t>暂不绑定现有蓝图ID；已独立导入并统一Grip/Muzzle/Scope/Magazine/Stock/Tactical等节点。</t>
        </is>
      </c>
    </row>
    <row r="216">
      <c r="A216" s="37" t="inlineStr">
        <is>
          <t>WPN-GUN-FUTURE-POPCORN-BLASTER-3D</t>
        </is>
      </c>
      <c r="B216" s="37" t="inlineStr">
        <is>
          <t>爆米花爆能枪</t>
        </is>
      </c>
      <c r="C216" s="37" t="inlineStr">
        <is>
          <t>武器</t>
        </is>
      </c>
      <c r="D216" s="37" t="inlineStr">
        <is>
          <t>gunbody</t>
        </is>
      </c>
      <c r="E216" s="37" t="inlineStr">
        <is>
          <t>future_popcorn_blaster</t>
        </is>
      </c>
      <c r="F216" s="37" t="inlineStr">
        <is>
          <t>root</t>
        </is>
      </c>
      <c r="G216" s="37" t="n"/>
      <c r="H216" s="37" t="inlineStr">
        <is>
          <t>俯视3D / local -Z 枪口</t>
        </is>
      </c>
      <c r="I216" s="37" t="inlineStr">
        <is>
          <t>default / 标准握把与8类挂点</t>
        </is>
      </c>
      <c r="J216" s="37" t="inlineStr">
        <is>
          <t>未来枪械池/独立资产</t>
        </is>
      </c>
      <c r="K216" s="37" t="inlineStr">
        <is>
          <t>正式美术已入库/待玩法映射</t>
        </is>
      </c>
      <c r="L216" s="37" t="inlineStr">
        <is>
          <t>P2</t>
        </is>
      </c>
      <c r="M216" s="37" t="inlineStr">
        <is>
          <t>v001</t>
        </is>
      </c>
      <c r="N216" s="37" t="inlineStr">
        <is>
          <t>握把原点；local -Z枪口；3材质；独立GLB/PackedScene</t>
        </is>
      </c>
      <c r="O216" s="37" t="inlineStr">
        <is>
          <t>assets/art/weapons/weapon_3d/runtime/popcorn_blaster/wpn_popcorn_blaster_root_top3d_v001.tscn</t>
        </is>
      </c>
      <c r="P216" s="37" t="inlineStr">
        <is>
          <t>assets/art/weapons/weapon_3d/source/popcorn_blaster/wpn_popcorn_blaster_source_v001.blend</t>
        </is>
      </c>
      <c r="Q216" s="37" t="inlineStr">
        <is>
          <t>popcorn_blaster; 爆米花爆能枪; 未来枪械; 通用挂点; 多巴胺配色</t>
        </is>
      </c>
      <c r="R216" s="37">
        <f>LOWER(TRIM(C216)&amp;"|"&amp;TRIM(D216)&amp;"|"&amp;TRIM(E216)&amp;"|"&amp;TRIM(F216)&amp;"|"&amp;TRIM(H216)&amp;"|"&amp;TRIM(I216))</f>
        <v/>
      </c>
      <c r="S216" s="37" t="inlineStr">
        <is>
          <t>唯一</t>
        </is>
      </c>
      <c r="T216" s="37" t="inlineStr">
        <is>
          <t>c77c7025542191f825a2141b8dc63b0f1d99767e26127533c0f40d2566733b4a</t>
        </is>
      </c>
      <c r="U216" s="37" t="inlineStr">
        <is>
          <t>Codex</t>
        </is>
      </c>
      <c r="V216" s="128" t="n">
        <v>46244</v>
      </c>
      <c r="W216" s="37" t="inlineStr">
        <is>
          <t>用户自制Blender资产</t>
        </is>
      </c>
      <c r="X216" s="37" t="inlineStr">
        <is>
          <t>暂不绑定现有蓝图ID；已独立导入并统一Grip/Muzzle/Scope/Magazine/Stock/Tactical等节点。</t>
        </is>
      </c>
    </row>
    <row r="217">
      <c r="A217" s="37" t="inlineStr">
        <is>
          <t>WPN-GUN-FUTURE-SODA-STRAW-BLASTER-3D</t>
        </is>
      </c>
      <c r="B217" s="37" t="inlineStr">
        <is>
          <t>饮料管爆能枪</t>
        </is>
      </c>
      <c r="C217" s="37" t="inlineStr">
        <is>
          <t>武器</t>
        </is>
      </c>
      <c r="D217" s="37" t="inlineStr">
        <is>
          <t>gunbody</t>
        </is>
      </c>
      <c r="E217" s="37" t="inlineStr">
        <is>
          <t>future_soda_straw_blaster</t>
        </is>
      </c>
      <c r="F217" s="37" t="inlineStr">
        <is>
          <t>root</t>
        </is>
      </c>
      <c r="G217" s="37" t="n"/>
      <c r="H217" s="37" t="inlineStr">
        <is>
          <t>俯视3D / local -Z 枪口</t>
        </is>
      </c>
      <c r="I217" s="37" t="inlineStr">
        <is>
          <t>default / 标准握把与8类挂点</t>
        </is>
      </c>
      <c r="J217" s="37" t="inlineStr">
        <is>
          <t>未来枪械池/独立资产</t>
        </is>
      </c>
      <c r="K217" s="37" t="inlineStr">
        <is>
          <t>正式美术已入库/待玩法映射</t>
        </is>
      </c>
      <c r="L217" s="37" t="inlineStr">
        <is>
          <t>P2</t>
        </is>
      </c>
      <c r="M217" s="37" t="inlineStr">
        <is>
          <t>v001</t>
        </is>
      </c>
      <c r="N217" s="37" t="inlineStr">
        <is>
          <t>握把原点；local -Z枪口；3材质；独立GLB/PackedScene</t>
        </is>
      </c>
      <c r="O217" s="37" t="inlineStr">
        <is>
          <t>assets/art/weapons/weapon_3d/runtime/soda_straw_blaster/wpn_soda_straw_blaster_root_top3d_v001.tscn</t>
        </is>
      </c>
      <c r="P217" s="37" t="inlineStr">
        <is>
          <t>assets/art/weapons/weapon_3d/source/soda_straw_blaster/wpn_soda_straw_blaster_source_v001.blend</t>
        </is>
      </c>
      <c r="Q217" s="37" t="inlineStr">
        <is>
          <t>soda_straw_blaster; 饮料管爆能枪; 未来枪械; 通用挂点; 多巴胺配色</t>
        </is>
      </c>
      <c r="R217" s="37">
        <f>LOWER(TRIM(C217)&amp;"|"&amp;TRIM(D217)&amp;"|"&amp;TRIM(E217)&amp;"|"&amp;TRIM(F217)&amp;"|"&amp;TRIM(H217)&amp;"|"&amp;TRIM(I217))</f>
        <v/>
      </c>
      <c r="S217" s="37" t="inlineStr">
        <is>
          <t>唯一</t>
        </is>
      </c>
      <c r="T217" s="37" t="inlineStr">
        <is>
          <t>2eb1414de9012265d7e3661c04584b1f6277df86c9bc85cbfbdf92a582b4c38b</t>
        </is>
      </c>
      <c r="U217" s="37" t="inlineStr">
        <is>
          <t>Codex</t>
        </is>
      </c>
      <c r="V217" s="128" t="n">
        <v>46244</v>
      </c>
      <c r="W217" s="37" t="inlineStr">
        <is>
          <t>用户自制Blender资产</t>
        </is>
      </c>
      <c r="X217" s="37" t="inlineStr">
        <is>
          <t>暂不绑定现有蓝图ID；已独立导入并统一Grip/Muzzle/Scope/Magazine/Stock/Tactical等节点。</t>
        </is>
      </c>
    </row>
    <row r="218">
      <c r="A218" s="37" t="inlineStr">
        <is>
          <t>WPN-GUN-FUTURE-CROCODILE-CANNON-3D</t>
        </is>
      </c>
      <c r="B218" s="37" t="inlineStr">
        <is>
          <t>鳄鱼加农炮</t>
        </is>
      </c>
      <c r="C218" s="37" t="inlineStr">
        <is>
          <t>武器</t>
        </is>
      </c>
      <c r="D218" s="37" t="inlineStr">
        <is>
          <t>gunbody</t>
        </is>
      </c>
      <c r="E218" s="37" t="inlineStr">
        <is>
          <t>future_crocodile_cannon</t>
        </is>
      </c>
      <c r="F218" s="37" t="inlineStr">
        <is>
          <t>root</t>
        </is>
      </c>
      <c r="G218" s="37" t="n"/>
      <c r="H218" s="37" t="inlineStr">
        <is>
          <t>俯视3D / local -Z 枪口</t>
        </is>
      </c>
      <c r="I218" s="37" t="inlineStr">
        <is>
          <t>default / 标准握把与8类挂点</t>
        </is>
      </c>
      <c r="J218" s="37" t="inlineStr">
        <is>
          <t>未来枪械池/独立资产</t>
        </is>
      </c>
      <c r="K218" s="37" t="inlineStr">
        <is>
          <t>正式美术已入库/待玩法映射</t>
        </is>
      </c>
      <c r="L218" s="37" t="inlineStr">
        <is>
          <t>P2</t>
        </is>
      </c>
      <c r="M218" s="37" t="inlineStr">
        <is>
          <t>v001</t>
        </is>
      </c>
      <c r="N218" s="37" t="inlineStr">
        <is>
          <t>握把原点；local -Z枪口；3材质；独立GLB/PackedScene</t>
        </is>
      </c>
      <c r="O218" s="37" t="inlineStr">
        <is>
          <t>assets/art/weapons/weapon_3d/runtime/crocodile_cannon/wpn_crocodile_cannon_root_top3d_v001.tscn</t>
        </is>
      </c>
      <c r="P218" s="37" t="inlineStr">
        <is>
          <t>assets/art/weapons/weapon_3d/source/crocodile_cannon/wpn_crocodile_cannon_source_v001.blend</t>
        </is>
      </c>
      <c r="Q218" s="37" t="inlineStr">
        <is>
          <t>crocodile_cannon; 鳄鱼加农炮; 未来枪械; 通用挂点; 多巴胺配色</t>
        </is>
      </c>
      <c r="R218" s="37">
        <f>LOWER(TRIM(C218)&amp;"|"&amp;TRIM(D218)&amp;"|"&amp;TRIM(E218)&amp;"|"&amp;TRIM(F218)&amp;"|"&amp;TRIM(H218)&amp;"|"&amp;TRIM(I218))</f>
        <v/>
      </c>
      <c r="S218" s="37" t="inlineStr">
        <is>
          <t>唯一</t>
        </is>
      </c>
      <c r="T218" s="37" t="inlineStr">
        <is>
          <t>3e46907368f74bcfffd4443b84ff094baf76fa6ab210da9f001114d5002e8f52</t>
        </is>
      </c>
      <c r="U218" s="37" t="inlineStr">
        <is>
          <t>Codex</t>
        </is>
      </c>
      <c r="V218" s="128" t="n">
        <v>46244</v>
      </c>
      <c r="W218" s="37" t="inlineStr">
        <is>
          <t>用户自制Blender资产</t>
        </is>
      </c>
      <c r="X218" s="37" t="inlineStr">
        <is>
          <t>暂不绑定现有蓝图ID；已独立导入并统一Grip/Muzzle/Scope/Magazine/Stock/Tactical等节点。</t>
        </is>
      </c>
    </row>
    <row r="219">
      <c r="A219" s="37" t="inlineStr">
        <is>
          <t>WPN-GUN-FUTURE-CAMERA-BLASTER-3D</t>
        </is>
      </c>
      <c r="B219" s="37" t="inlineStr">
        <is>
          <t>相机爆能枪</t>
        </is>
      </c>
      <c r="C219" s="37" t="inlineStr">
        <is>
          <t>武器</t>
        </is>
      </c>
      <c r="D219" s="37" t="inlineStr">
        <is>
          <t>gunbody</t>
        </is>
      </c>
      <c r="E219" s="37" t="inlineStr">
        <is>
          <t>future_camera_blaster</t>
        </is>
      </c>
      <c r="F219" s="37" t="inlineStr">
        <is>
          <t>root</t>
        </is>
      </c>
      <c r="G219" s="37" t="n"/>
      <c r="H219" s="37" t="inlineStr">
        <is>
          <t>俯视3D / local -Z 枪口</t>
        </is>
      </c>
      <c r="I219" s="37" t="inlineStr">
        <is>
          <t>default / 标准握把与8类挂点</t>
        </is>
      </c>
      <c r="J219" s="37" t="inlineStr">
        <is>
          <t>未来枪械池/独立资产</t>
        </is>
      </c>
      <c r="K219" s="37" t="inlineStr">
        <is>
          <t>正式美术已入库/待玩法映射</t>
        </is>
      </c>
      <c r="L219" s="37" t="inlineStr">
        <is>
          <t>P2</t>
        </is>
      </c>
      <c r="M219" s="37" t="inlineStr">
        <is>
          <t>v001</t>
        </is>
      </c>
      <c r="N219" s="37" t="inlineStr">
        <is>
          <t>握把原点；local -Z枪口；3材质；独立GLB/PackedScene</t>
        </is>
      </c>
      <c r="O219" s="37" t="inlineStr">
        <is>
          <t>assets/art/weapons/weapon_3d/runtime/camera_blaster/wpn_camera_blaster_root_top3d_v001.tscn</t>
        </is>
      </c>
      <c r="P219" s="37" t="inlineStr">
        <is>
          <t>assets/art/weapons/weapon_3d/source/camera_blaster/wpn_camera_blaster_source_v001.blend</t>
        </is>
      </c>
      <c r="Q219" s="37" t="inlineStr">
        <is>
          <t>camera_blaster; 相机爆能枪; 未来枪械; 通用挂点; 多巴胺配色</t>
        </is>
      </c>
      <c r="R219" s="37">
        <f>LOWER(TRIM(C219)&amp;"|"&amp;TRIM(D219)&amp;"|"&amp;TRIM(E219)&amp;"|"&amp;TRIM(F219)&amp;"|"&amp;TRIM(H219)&amp;"|"&amp;TRIM(I219))</f>
        <v/>
      </c>
      <c r="S219" s="37" t="inlineStr">
        <is>
          <t>唯一</t>
        </is>
      </c>
      <c r="T219" s="37" t="inlineStr">
        <is>
          <t>3d49c92df382e0c4d7020a3486c366fcfc21de7d77b8753db2ab3fb6812d55d3</t>
        </is>
      </c>
      <c r="U219" s="37" t="inlineStr">
        <is>
          <t>Codex</t>
        </is>
      </c>
      <c r="V219" s="128" t="n">
        <v>46244</v>
      </c>
      <c r="W219" s="37" t="inlineStr">
        <is>
          <t>用户自制Blender资产</t>
        </is>
      </c>
      <c r="X219" s="37" t="inlineStr">
        <is>
          <t>暂不绑定现有蓝图ID；已独立导入并统一Grip/Muzzle/Scope/Magazine/Stock/Tactical等节点。</t>
        </is>
      </c>
    </row>
    <row r="220">
      <c r="A220" s="37" t="inlineStr">
        <is>
          <t>WPN-GUN-FUTURE-TISSUE-BOX-CANNON-3D</t>
        </is>
      </c>
      <c r="B220" s="37" t="inlineStr">
        <is>
          <t>纸巾盒加农炮</t>
        </is>
      </c>
      <c r="C220" s="37" t="inlineStr">
        <is>
          <t>武器</t>
        </is>
      </c>
      <c r="D220" s="37" t="inlineStr">
        <is>
          <t>gunbody</t>
        </is>
      </c>
      <c r="E220" s="37" t="inlineStr">
        <is>
          <t>future_tissue_box_cannon</t>
        </is>
      </c>
      <c r="F220" s="37" t="inlineStr">
        <is>
          <t>root</t>
        </is>
      </c>
      <c r="G220" s="37" t="n"/>
      <c r="H220" s="37" t="inlineStr">
        <is>
          <t>俯视3D / local -Z 枪口</t>
        </is>
      </c>
      <c r="I220" s="37" t="inlineStr">
        <is>
          <t>default / 标准握把与8类挂点</t>
        </is>
      </c>
      <c r="J220" s="37" t="inlineStr">
        <is>
          <t>未来枪械池/独立资产</t>
        </is>
      </c>
      <c r="K220" s="37" t="inlineStr">
        <is>
          <t>正式美术已入库/待玩法映射</t>
        </is>
      </c>
      <c r="L220" s="37" t="inlineStr">
        <is>
          <t>P2</t>
        </is>
      </c>
      <c r="M220" s="37" t="inlineStr">
        <is>
          <t>v001</t>
        </is>
      </c>
      <c r="N220" s="37" t="inlineStr">
        <is>
          <t>握把原点；local -Z枪口；3材质；独立GLB/PackedScene</t>
        </is>
      </c>
      <c r="O220" s="37" t="inlineStr">
        <is>
          <t>assets/art/weapons/weapon_3d/runtime/tissue_box_cannon/wpn_tissue_box_cannon_root_top3d_v001.tscn</t>
        </is>
      </c>
      <c r="P220" s="37" t="inlineStr">
        <is>
          <t>assets/art/weapons/weapon_3d/source/tissue_box_cannon/wpn_tissue_box_cannon_source_v001.blend</t>
        </is>
      </c>
      <c r="Q220" s="37" t="inlineStr">
        <is>
          <t>tissue_box_cannon; 纸巾盒加农炮; 未来枪械; 通用挂点; 多巴胺配色</t>
        </is>
      </c>
      <c r="R220" s="37">
        <f>LOWER(TRIM(C220)&amp;"|"&amp;TRIM(D220)&amp;"|"&amp;TRIM(E220)&amp;"|"&amp;TRIM(F220)&amp;"|"&amp;TRIM(H220)&amp;"|"&amp;TRIM(I220))</f>
        <v/>
      </c>
      <c r="S220" s="37" t="inlineStr">
        <is>
          <t>唯一</t>
        </is>
      </c>
      <c r="T220" s="37" t="inlineStr">
        <is>
          <t>a67bef33133915e6909001de78052739943d123fb8d37456b344023923a3f946</t>
        </is>
      </c>
      <c r="U220" s="37" t="inlineStr">
        <is>
          <t>Codex</t>
        </is>
      </c>
      <c r="V220" s="128" t="n">
        <v>46244</v>
      </c>
      <c r="W220" s="37" t="inlineStr">
        <is>
          <t>用户自制Blender资产</t>
        </is>
      </c>
      <c r="X220" s="37" t="inlineStr">
        <is>
          <t>暂不绑定现有蓝图ID；已独立导入并统一Grip/Muzzle/Scope/Magazine/Stock/Tactical等节点。</t>
        </is>
      </c>
    </row>
    <row r="221">
      <c r="A221" s="37" t="inlineStr">
        <is>
          <t>WPN-GUN-FUTURE-FAN-BLASTER-3D</t>
        </is>
      </c>
      <c r="B221" s="37" t="inlineStr">
        <is>
          <t>风扇爆能枪</t>
        </is>
      </c>
      <c r="C221" s="37" t="inlineStr">
        <is>
          <t>武器</t>
        </is>
      </c>
      <c r="D221" s="37" t="inlineStr">
        <is>
          <t>gunbody</t>
        </is>
      </c>
      <c r="E221" s="37" t="inlineStr">
        <is>
          <t>future_fan_blaster</t>
        </is>
      </c>
      <c r="F221" s="37" t="inlineStr">
        <is>
          <t>root</t>
        </is>
      </c>
      <c r="G221" s="37" t="n"/>
      <c r="H221" s="37" t="inlineStr">
        <is>
          <t>俯视3D / local -Z 枪口</t>
        </is>
      </c>
      <c r="I221" s="37" t="inlineStr">
        <is>
          <t>default / 标准握把与8类挂点</t>
        </is>
      </c>
      <c r="J221" s="37" t="inlineStr">
        <is>
          <t>未来枪械池/独立资产</t>
        </is>
      </c>
      <c r="K221" s="37" t="inlineStr">
        <is>
          <t>正式美术已入库/待玩法映射</t>
        </is>
      </c>
      <c r="L221" s="37" t="inlineStr">
        <is>
          <t>P2</t>
        </is>
      </c>
      <c r="M221" s="37" t="inlineStr">
        <is>
          <t>v001</t>
        </is>
      </c>
      <c r="N221" s="37" t="inlineStr">
        <is>
          <t>握把原点；local -Z枪口；3材质；独立GLB/PackedScene</t>
        </is>
      </c>
      <c r="O221" s="37" t="inlineStr">
        <is>
          <t>assets/art/weapons/weapon_3d/runtime/fan_blaster/wpn_fan_blaster_root_top3d_v001.tscn</t>
        </is>
      </c>
      <c r="P221" s="37" t="inlineStr">
        <is>
          <t>assets/art/weapons/weapon_3d/source/fan_blaster/wpn_fan_blaster_source_v001.blend</t>
        </is>
      </c>
      <c r="Q221" s="37" t="inlineStr">
        <is>
          <t>fan_blaster; 风扇爆能枪; 未来枪械; 通用挂点; 多巴胺配色</t>
        </is>
      </c>
      <c r="R221" s="37">
        <f>LOWER(TRIM(C221)&amp;"|"&amp;TRIM(D221)&amp;"|"&amp;TRIM(E221)&amp;"|"&amp;TRIM(F221)&amp;"|"&amp;TRIM(H221)&amp;"|"&amp;TRIM(I221))</f>
        <v/>
      </c>
      <c r="S221" s="37" t="inlineStr">
        <is>
          <t>唯一</t>
        </is>
      </c>
      <c r="T221" s="37" t="inlineStr">
        <is>
          <t>bde9a97ec8a373fc6677db0bc1f96a386dfa157c936e648895a85b44faa56e39</t>
        </is>
      </c>
      <c r="U221" s="37" t="inlineStr">
        <is>
          <t>Codex</t>
        </is>
      </c>
      <c r="V221" s="128" t="n">
        <v>46244</v>
      </c>
      <c r="W221" s="37" t="inlineStr">
        <is>
          <t>用户自制Blender资产</t>
        </is>
      </c>
      <c r="X221" s="37" t="inlineStr">
        <is>
          <t>暂不绑定现有蓝图ID；已独立导入并统一Grip/Muzzle/Scope/Magazine/Stock/Tactical等节点。</t>
        </is>
      </c>
    </row>
    <row r="222">
      <c r="A222" s="123" t="inlineStr">
        <is>
          <t>PRP-BASE-LOCKER-STATION-3D</t>
        </is>
      </c>
      <c r="B222" s="118" t="inlineStr">
        <is>
          <t>赛博储物站</t>
        </is>
      </c>
      <c r="C222" s="118" t="inlineStr">
        <is>
          <t>3D道具</t>
        </is>
      </c>
      <c r="D222" s="118" t="inlineStr">
        <is>
          <t>base_facility</t>
        </is>
      </c>
      <c r="E222" s="118" t="inlineStr">
        <is>
          <t>vault</t>
        </is>
      </c>
      <c r="F222" s="118" t="inlineStr">
        <is>
          <t>root</t>
        </is>
      </c>
      <c r="G222" s="118" t="inlineStr">
        <is>
          <t>PRP-BASE-FACILITY-3D</t>
        </is>
      </c>
      <c r="H222" s="118" t="inlineStr">
        <is>
          <t>Top3D / local -Z 正面</t>
        </is>
      </c>
      <c r="I222" s="118" t="inlineStr">
        <is>
          <t>default / ??????</t>
        </is>
      </c>
      <c r="J222" s="118" t="inlineStr">
        <is>
          <t>99??????????</t>
        </is>
      </c>
      <c r="K222" s="118" t="inlineStr">
        <is>
          <t>????/???</t>
        </is>
      </c>
      <c r="L222" s="118" t="inlineStr">
        <is>
          <t>P2</t>
        </is>
      </c>
      <c r="M222" s="118" t="inlineStr">
        <is>
          <t>v004</t>
        </is>
      </c>
      <c r="N222" s="118" t="inlineStr">
        <is>
          <t>4材质；主体/自发光分离；独立GLB/PackedScene</t>
        </is>
      </c>
      <c r="O222" s="118" t="inlineStr">
        <is>
          <t>assets/art/props/base_world_3d/runtime/locker_station/prp_base_locker_station_root_top3d_v001.tscn</t>
        </is>
      </c>
      <c r="P222" s="118" t="inlineStr">
        <is>
          <t>assets/art/props/base_world_3d/source/locker_station/prp_base_locker_station_source_v004.blend</t>
        </is>
      </c>
      <c r="Q222" s="118" t="inlineStr">
        <is>
          <t>vault; ???; ?????; ????</t>
        </is>
      </c>
      <c r="R222" s="118">
        <f>LOWER(TRIM(C222)&amp;"|"&amp;TRIM(D222)&amp;"|"&amp;TRIM(E222)&amp;"|"&amp;TRIM(F222)&amp;"|"&amp;TRIM(H222)&amp;"|"&amp;TRIM(I222))</f>
        <v/>
      </c>
      <c r="S222" s="118" t="inlineStr">
        <is>
          <t>唯一</t>
        </is>
      </c>
      <c r="T222" s="118" t="inlineStr">
        <is>
          <t>b4aa2b142d31798ba8d040f4a3bbc4f0abbdbb69e070ab422d0be6bc9e48ade2</t>
        </is>
      </c>
      <c r="U222" s="118" t="inlineStr">
        <is>
          <t>Codex</t>
        </is>
      </c>
      <c r="V222" s="133" t="n">
        <v>46245</v>
      </c>
      <c r="W222" s="118" t="inlineStr">
        <is>
          <t>用户自制Blender资产</t>
        </is>
      </c>
      <c r="X222" s="118" t="inlineStr">
        <is>
          <t>2026-08-11????99?????????BaseFacility3D??vault?VaultMenu???????????Visual??180?????-Z???</t>
        </is>
      </c>
    </row>
    <row r="223">
      <c r="A223" s="123" t="inlineStr">
        <is>
          <t>PRP-BASE-RETRO-TV-STATION-3D</t>
        </is>
      </c>
      <c r="B223" s="118" t="inlineStr">
        <is>
          <t>复古游戏电视站</t>
        </is>
      </c>
      <c r="C223" s="118" t="inlineStr">
        <is>
          <t>3D道具</t>
        </is>
      </c>
      <c r="D223" s="118" t="inlineStr">
        <is>
          <t>base_facility</t>
        </is>
      </c>
      <c r="E223" s="118" t="inlineStr">
        <is>
          <t>fate_collection</t>
        </is>
      </c>
      <c r="F223" s="118" t="inlineStr">
        <is>
          <t>root</t>
        </is>
      </c>
      <c r="G223" s="118" t="inlineStr">
        <is>
          <t>PRP-BASE-FACILITY-3D</t>
        </is>
      </c>
      <c r="H223" s="118" t="inlineStr">
        <is>
          <t>Top3D / local -Z 正面</t>
        </is>
      </c>
      <c r="I223" s="118" t="inlineStr">
        <is>
          <t>default / ??????</t>
        </is>
      </c>
      <c r="J223" s="118" t="inlineStr">
        <is>
          <t>99?????????????</t>
        </is>
      </c>
      <c r="K223" s="118" t="inlineStr">
        <is>
          <t>????/???</t>
        </is>
      </c>
      <c r="L223" s="118" t="inlineStr">
        <is>
          <t>P2</t>
        </is>
      </c>
      <c r="M223" s="118" t="inlineStr">
        <is>
          <t>v004</t>
        </is>
      </c>
      <c r="N223" s="118" t="inlineStr">
        <is>
          <t>4材质；主体/自发光分离；独立GLB/PackedScene</t>
        </is>
      </c>
      <c r="O223" s="118" t="inlineStr">
        <is>
          <t>assets/art/props/base_world_3d/runtime/retro_tv_station/prp_base_retro_tv_station_root_top3d_v001.tscn</t>
        </is>
      </c>
      <c r="P223" s="118" t="inlineStr">
        <is>
          <t>assets/art/props/base_world_3d/source/retro_tv_station/prp_base_retro_tv_station_source_v004.blend</t>
        </is>
      </c>
      <c r="Q223" s="118" t="inlineStr">
        <is>
          <t>fate_collection; ??????; ???????; ????</t>
        </is>
      </c>
      <c r="R223" s="118">
        <f>LOWER(TRIM(C223)&amp;"|"&amp;TRIM(D223)&amp;"|"&amp;TRIM(E223)&amp;"|"&amp;TRIM(F223)&amp;"|"&amp;TRIM(H223)&amp;"|"&amp;TRIM(I223))</f>
        <v/>
      </c>
      <c r="S223" s="118" t="inlineStr">
        <is>
          <t>唯一</t>
        </is>
      </c>
      <c r="T223" s="118" t="inlineStr">
        <is>
          <t>fed2c5ff578efd3771f369126bd5c57f7cf2904db5faf4c8071d1802c749ba52</t>
        </is>
      </c>
      <c r="U223" s="118" t="inlineStr">
        <is>
          <t>Codex</t>
        </is>
      </c>
      <c r="V223" s="133" t="n">
        <v>46245</v>
      </c>
      <c r="W223" s="118" t="inlineStr">
        <is>
          <t>用户自制Blender资产</t>
        </is>
      </c>
      <c r="X223" s="118" t="inlineStr">
        <is>
          <t>2026-08-11????99????????????BaseFacility3D??fate_collection?FateCardCollectionMenu???????????Visual??180?????-Z???</t>
        </is>
      </c>
    </row>
    <row r="224">
      <c r="A224" s="123" t="inlineStr">
        <is>
          <t>PRP-BASE-WORKSHOP-STOOL-3D</t>
        </is>
      </c>
      <c r="B224" s="118" t="inlineStr">
        <is>
          <t>赛博维修圆凳</t>
        </is>
      </c>
      <c r="C224" s="118" t="inlineStr">
        <is>
          <t>3D道具</t>
        </is>
      </c>
      <c r="D224" s="118" t="inlineStr">
        <is>
          <t>decor_prop</t>
        </is>
      </c>
      <c r="E224" s="118" t="inlineStr">
        <is>
          <t>workshop_stool</t>
        </is>
      </c>
      <c r="F224" s="118" t="inlineStr">
        <is>
          <t>root</t>
        </is>
      </c>
      <c r="G224" s="118" t="n"/>
      <c r="H224" s="118" t="inlineStr">
        <is>
          <t>Top3D / local -Z 正面</t>
        </is>
      </c>
      <c r="I224" s="118" t="inlineStr">
        <is>
          <t>default / 独立装饰场景</t>
        </is>
      </c>
      <c r="J224" s="118" t="inlineStr">
        <is>
          <t>基地99层美术布置层</t>
        </is>
      </c>
      <c r="K224" s="118" t="inlineStr">
        <is>
          <t>正式美术已接入</t>
        </is>
      </c>
      <c r="L224" s="118" t="inlineStr">
        <is>
          <t>P2</t>
        </is>
      </c>
      <c r="M224" s="118" t="inlineStr">
        <is>
          <t>v001</t>
        </is>
      </c>
      <c r="N224" s="118" t="inlineStr">
        <is>
          <t>最多4材质；独立GLB/PackedScene；无交互碰撞</t>
        </is>
      </c>
      <c r="O224" s="118" t="inlineStr">
        <is>
          <t>assets/art/props/base_world_3d/runtime/workshop_stool/prp_base_workshop_stool_root_top3d_v001.tscn</t>
        </is>
      </c>
      <c r="P224" s="118" t="inlineStr">
        <is>
          <t>assets/art/props/base_world_3d/source/workshop_stool/prp_base_workshop_stool_source_v001.blend</t>
        </is>
      </c>
      <c r="Q224" s="118" t="inlineStr">
        <is>
          <t>workshop_stool; 赛博维修圆凳; 独立座椅; 可移动装饰</t>
        </is>
      </c>
      <c r="R224" s="118">
        <f>LOWER(TRIM(C224)&amp;"|"&amp;TRIM(D224)&amp;"|"&amp;TRIM(E224)&amp;"|"&amp;TRIM(F224)&amp;"|"&amp;TRIM(H224)&amp;"|"&amp;TRIM(I224))</f>
        <v/>
      </c>
      <c r="S224" s="118" t="inlineStr">
        <is>
          <t>唯一</t>
        </is>
      </c>
      <c r="T224" s="118" t="inlineStr">
        <is>
          <t>a09164b2f643c3b0b4b1794bd57f4b82a9e2d839f3986ad27f86a7e5381fd2b2</t>
        </is>
      </c>
      <c r="U224" s="118" t="inlineStr">
        <is>
          <t>Codex</t>
        </is>
      </c>
      <c r="V224" s="133" t="n">
        <v>46244</v>
      </c>
      <c r="W224" s="118" t="inlineStr">
        <is>
          <t>用户自制Blender资产</t>
        </is>
      </c>
      <c r="X224" s="118" t="inlineStr">
        <is>
          <t>已从对应设施主体拆出；在场景装饰集合中独立摆放，不绑定facility_id。</t>
        </is>
      </c>
    </row>
    <row r="225">
      <c r="A225" s="123" t="inlineStr">
        <is>
          <t>PRP-BASE-MISSION-COMMAND-CHAIR-3D</t>
        </is>
      </c>
      <c r="B225" s="118" t="inlineStr">
        <is>
          <t>战术指挥椅</t>
        </is>
      </c>
      <c r="C225" s="118" t="inlineStr">
        <is>
          <t>3D道具</t>
        </is>
      </c>
      <c r="D225" s="118" t="inlineStr">
        <is>
          <t>decor_prop</t>
        </is>
      </c>
      <c r="E225" s="118" t="inlineStr">
        <is>
          <t>mission_command_chair</t>
        </is>
      </c>
      <c r="F225" s="118" t="inlineStr">
        <is>
          <t>root</t>
        </is>
      </c>
      <c r="G225" s="118" t="n"/>
      <c r="H225" s="118" t="inlineStr">
        <is>
          <t>Top3D / local -Z 正面</t>
        </is>
      </c>
      <c r="I225" s="118" t="inlineStr">
        <is>
          <t>default / 独立装饰场景</t>
        </is>
      </c>
      <c r="J225" s="118" t="inlineStr">
        <is>
          <t>基地99层美术布置层</t>
        </is>
      </c>
      <c r="K225" s="118" t="inlineStr">
        <is>
          <t>正式美术已接入</t>
        </is>
      </c>
      <c r="L225" s="118" t="inlineStr">
        <is>
          <t>P2</t>
        </is>
      </c>
      <c r="M225" s="118" t="inlineStr">
        <is>
          <t>v001</t>
        </is>
      </c>
      <c r="N225" s="118" t="inlineStr">
        <is>
          <t>最多4材质；独立GLB/PackedScene；无交互碰撞</t>
        </is>
      </c>
      <c r="O225" s="118" t="inlineStr">
        <is>
          <t>assets/art/props/base_world_3d/runtime/mission_command_chair/prp_base_mission_command_chair_root_top3d_v001.tscn</t>
        </is>
      </c>
      <c r="P225" s="118" t="inlineStr">
        <is>
          <t>assets/art/props/base_world_3d/source/mission_command_chair/prp_base_mission_command_chair_source_v001.blend</t>
        </is>
      </c>
      <c r="Q225" s="118" t="inlineStr">
        <is>
          <t>mission_command_chair; 战术指挥椅; 独立座椅; 可移动装饰</t>
        </is>
      </c>
      <c r="R225" s="118">
        <f>LOWER(TRIM(C225)&amp;"|"&amp;TRIM(D225)&amp;"|"&amp;TRIM(E225)&amp;"|"&amp;TRIM(F225)&amp;"|"&amp;TRIM(H225)&amp;"|"&amp;TRIM(I225))</f>
        <v/>
      </c>
      <c r="S225" s="118" t="inlineStr">
        <is>
          <t>唯一</t>
        </is>
      </c>
      <c r="T225" s="118" t="inlineStr">
        <is>
          <t>f16271a4dc234ea59385ceaee8d8e9ff4ec906af391b4b9dbc2d6a0e720811d3</t>
        </is>
      </c>
      <c r="U225" s="118" t="inlineStr">
        <is>
          <t>Codex</t>
        </is>
      </c>
      <c r="V225" s="133" t="n">
        <v>46244</v>
      </c>
      <c r="W225" s="118" t="inlineStr">
        <is>
          <t>用户自制Blender资产</t>
        </is>
      </c>
      <c r="X225" s="118" t="inlineStr">
        <is>
          <t>已从对应设施主体拆出；在场景装饰集合中独立摆放，不绑定facility_id。</t>
        </is>
      </c>
    </row>
  </sheetData>
  <mergeCells count="2">
    <mergeCell ref="A1:X2"/>
    <mergeCell ref="A3:X3"/>
  </mergeCells>
  <conditionalFormatting sqref="S6:S112">
    <cfRule type="containsText" priority="1" operator="containsText" dxfId="0" text="重复"/>
  </conditionalFormatting>
  <conditionalFormatting sqref="K6:K112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112" showDropDown="0" showInputMessage="0" showErrorMessage="0" allowBlank="0" type="list">
      <formula1>"角色,敌人,枪械,道具,场景,场景道具,UI,特效,音频"</formula1>
    </dataValidation>
    <dataValidation sqref="K6:K132" showDropDown="0" showInputMessage="0" showErrorMessage="0" allowBlank="0" type="list">
      <formula1>"已完成,原型已接入,程序占位,待制作,待核对,弃用"</formula1>
    </dataValidation>
    <dataValidation sqref="L6:L132" showDropDown="0" showInputMessage="0" showErrorMessage="0" allowBlank="0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42" customWidth="1" min="3" max="3"/>
    <col width="15" customWidth="1" min="4" max="4"/>
    <col width="44" customWidth="1" min="5" max="5"/>
    <col width="14" customWidth="1" min="6" max="6"/>
    <col width="34" customWidth="1" min="7" max="7"/>
    <col width="19" customWidth="1" min="8" max="8"/>
    <col width="6" customWidth="1" min="9" max="9"/>
    <col width="26" customWidth="1" min="10" max="10"/>
    <col width="20" customWidth="1" min="11" max="11"/>
    <col width="8" customWidth="1" min="12" max="12"/>
    <col width="42" customWidth="1" min="13" max="13"/>
  </cols>
  <sheetData>
    <row r="1" ht="25" customHeight="1">
      <c r="A1" s="3" t="inlineStr">
        <is>
          <t>角色组件与挂点契约</t>
        </is>
      </c>
    </row>
    <row r="2" ht="12" customHeight="1"/>
    <row r="3" ht="23" customHeight="1">
      <c r="A3" s="6" t="inlineStr">
        <is>
          <t>每个角色优先复用这些槽；允许缺少某槽，但禁止把手臂烘焙回 body，武器永远挂 weapon_socket</t>
        </is>
      </c>
    </row>
    <row r="5" ht="32" customHeight="1">
      <c r="A5" s="28" t="inlineStr">
        <is>
          <t>角色ID</t>
        </is>
      </c>
      <c r="B5" s="29" t="inlineStr">
        <is>
          <t>组件槽</t>
        </is>
      </c>
      <c r="C5" s="29" t="inlineStr">
        <is>
          <t>节点路径</t>
        </is>
      </c>
      <c r="D5" s="29" t="inlineStr">
        <is>
          <t>父槽</t>
        </is>
      </c>
      <c r="E5" s="29" t="inlineStr">
        <is>
          <t>纹理路径</t>
        </is>
      </c>
      <c r="F5" s="29" t="inlineStr">
        <is>
          <t>运行时尺寸</t>
        </is>
      </c>
      <c r="G5" s="29" t="inlineStr">
        <is>
          <t>局部位置</t>
        </is>
      </c>
      <c r="H5" s="29" t="inlineStr">
        <is>
          <t>旋转/翻转</t>
        </is>
      </c>
      <c r="I5" s="29" t="inlineStr">
        <is>
          <t>Z</t>
        </is>
      </c>
      <c r="J5" s="29" t="inlineStr">
        <is>
          <t>动画职责</t>
        </is>
      </c>
      <c r="K5" s="29" t="inlineStr">
        <is>
          <t>换装边界</t>
        </is>
      </c>
      <c r="L5" s="29" t="inlineStr">
        <is>
          <t>必需</t>
        </is>
      </c>
      <c r="M5" s="30" t="inlineStr">
        <is>
          <t>备注</t>
        </is>
      </c>
    </row>
    <row r="6">
      <c r="A6" s="36" t="inlineStr">
        <is>
          <t>player_capsule01</t>
        </is>
      </c>
      <c r="B6" s="36" t="inlineStr">
        <is>
          <t>body</t>
        </is>
      </c>
      <c r="C6" s="36" t="inlineStr">
        <is>
          <t>PixelComponents/Body</t>
        </is>
      </c>
      <c r="D6" s="36" t="inlineStr">
        <is>
          <t>root</t>
        </is>
      </c>
      <c r="E6" s="36" t="inlineStr">
        <is>
          <t>assets/art/characters/player/chr_player_capsule01/components/chr_player_capsule01_body_side_v001.png</t>
        </is>
      </c>
      <c r="F6" s="36" t="inlineStr">
        <is>
          <t>32×35</t>
        </is>
      </c>
      <c r="G6" s="36" t="inlineStr">
        <is>
          <t>(0, 7)</t>
        </is>
      </c>
      <c r="H6" s="36" t="inlineStr">
        <is>
          <t>随朝向 flip_h</t>
        </is>
      </c>
      <c r="I6" s="36" t="n">
        <v>1</v>
      </c>
      <c r="J6" s="36" t="inlineStr">
        <is>
          <t>呼吸/移动压缩/死亡倾倒</t>
        </is>
      </c>
      <c r="K6" s="36" t="inlineStr">
        <is>
          <t>防护服主体</t>
        </is>
      </c>
      <c r="L6" s="36" t="inlineStr">
        <is>
          <t>是</t>
        </is>
      </c>
      <c r="M6" s="36" t="inlineStr">
        <is>
          <t>已退役（2026-08-09）：旧2D节点/纹理/Marker2D已删除；仅作历史组件记录，禁止运行时引用。</t>
        </is>
      </c>
    </row>
    <row r="7">
      <c r="A7" s="37" t="inlineStr">
        <is>
          <t>player_capsule01</t>
        </is>
      </c>
      <c r="B7" s="37" t="inlineStr">
        <is>
          <t>scarf</t>
        </is>
      </c>
      <c r="C7" s="37" t="inlineStr">
        <is>
          <t>PixelComponents/Scarf</t>
        </is>
      </c>
      <c r="D7" s="37" t="inlineStr">
        <is>
          <t>root</t>
        </is>
      </c>
      <c r="E7" s="37" t="inlineStr">
        <is>
          <t>assets/art/characters/player/chr_player_capsule01/components/chr_player_capsule01_scarf_side_v001.png</t>
        </is>
      </c>
      <c r="F7" s="37" t="inlineStr">
        <is>
          <t>26×14</t>
        </is>
      </c>
      <c r="G7" s="37" t="inlineStr">
        <is>
          <t>(0, -8)</t>
        </is>
      </c>
      <c r="H7" s="37" t="inlineStr">
        <is>
          <t>flip_h + 轻摆</t>
        </is>
      </c>
      <c r="I7" s="37" t="n">
        <v>2</v>
      </c>
      <c r="J7" s="37" t="inlineStr">
        <is>
          <t>移动滞后/冲刺飘动</t>
        </is>
      </c>
      <c r="K7" s="37" t="inlineStr">
        <is>
          <t>身份配件</t>
        </is>
      </c>
      <c r="L7" s="37" t="inlineStr">
        <is>
          <t>否</t>
        </is>
      </c>
      <c r="M7" s="37" t="inlineStr">
        <is>
          <t>已退役（2026-08-09）：旧2D节点/纹理/Marker2D已删除；仅作历史组件记录，禁止运行时引用。</t>
        </is>
      </c>
    </row>
    <row r="8">
      <c r="A8" s="37" t="inlineStr">
        <is>
          <t>player_capsule01</t>
        </is>
      </c>
      <c r="B8" s="37" t="inlineStr">
        <is>
          <t>head</t>
        </is>
      </c>
      <c r="C8" s="37" t="inlineStr">
        <is>
          <t>PixelComponents/Head</t>
        </is>
      </c>
      <c r="D8" s="37" t="inlineStr">
        <is>
          <t>root</t>
        </is>
      </c>
      <c r="E8" s="37" t="inlineStr">
        <is>
          <t>assets/art/characters/player/chr_player_capsule01/components/chr_player_capsule01_head_side_v001.png</t>
        </is>
      </c>
      <c r="F8" s="37" t="inlineStr">
        <is>
          <t>28×24</t>
        </is>
      </c>
      <c r="G8" s="37" t="inlineStr">
        <is>
          <t>(0, -19)</t>
        </is>
      </c>
      <c r="H8" s="37" t="inlineStr">
        <is>
          <t>随朝向 flip_h</t>
        </is>
      </c>
      <c r="I8" s="37" t="n">
        <v>3</v>
      </c>
      <c r="J8" s="37" t="inlineStr">
        <is>
          <t>朝向/受击/死亡</t>
        </is>
      </c>
      <c r="K8" s="37" t="inlineStr">
        <is>
          <t>头壳/传感器</t>
        </is>
      </c>
      <c r="L8" s="37" t="inlineStr">
        <is>
          <t>是</t>
        </is>
      </c>
      <c r="M8" s="37" t="inlineStr">
        <is>
          <t>已退役（2026-08-09）：旧2D节点/纹理/Marker2D已删除；仅作历史组件记录，禁止运行时引用。</t>
        </is>
      </c>
    </row>
    <row r="9">
      <c r="A9" s="37" t="inlineStr">
        <is>
          <t>player_capsule01</t>
        </is>
      </c>
      <c r="B9" s="37" t="inlineStr">
        <is>
          <t>hand_l_source</t>
        </is>
      </c>
      <c r="C9" s="37" t="inlineStr">
        <is>
          <t>不实例化</t>
        </is>
      </c>
      <c r="D9" s="37" t="inlineStr">
        <is>
          <t>root</t>
        </is>
      </c>
      <c r="E9" s="37" t="inlineStr">
        <is>
          <t>assets/art/characters/player/chr_player_capsule01/components/chr_player_capsule01_hand_l_side_v001.png</t>
        </is>
      </c>
      <c r="F9" s="37" t="inlineStr">
        <is>
          <t>22×21</t>
        </is>
      </c>
      <c r="G9" s="37" t="inlineStr">
        <is>
          <t>不适用</t>
        </is>
      </c>
      <c r="H9" s="37" t="inlineStr">
        <is>
          <t>不适用</t>
        </is>
      </c>
      <c r="I9" s="37" t="n">
        <v>4</v>
      </c>
      <c r="J9" s="37" t="inlineStr">
        <is>
          <t>停用；仅保留源文件</t>
        </is>
      </c>
      <c r="K9" s="37" t="inlineStr">
        <is>
          <t>历史副手源</t>
        </is>
      </c>
      <c r="L9" s="37" t="inlineStr">
        <is>
          <t>否</t>
        </is>
      </c>
      <c r="M9" s="37" t="inlineStr">
        <is>
          <t>已退役（2026-08-09）：旧2D节点/纹理/Marker2D已删除；仅作历史组件记录，禁止运行时引用。</t>
        </is>
      </c>
    </row>
    <row r="10">
      <c r="A10" s="37" t="inlineStr">
        <is>
          <t>player_capsule01</t>
        </is>
      </c>
      <c r="B10" s="37" t="inlineStr">
        <is>
          <t>hand</t>
        </is>
      </c>
      <c r="C10" s="37" t="inlineStr">
        <is>
          <t>PixelComponents/Hand</t>
        </is>
      </c>
      <c r="D10" s="37" t="inlineStr">
        <is>
          <t>root</t>
        </is>
      </c>
      <c r="E10" s="37" t="inlineStr">
        <is>
          <t>assets/art/characters/player/chr_player_capsule01/components/chr_player_capsule01_hand_r_side_v001.png</t>
        </is>
      </c>
      <c r="F10" s="37" t="inlineStr">
        <is>
          <t>22×17</t>
        </is>
      </c>
      <c r="G10" s="37" t="inlineStr">
        <is>
          <t>(-19, 0)/(19, 0)</t>
        </is>
      </c>
      <c r="H10" s="37" t="inlineStr">
        <is>
          <t>随身体 flip_h；不连续旋转</t>
        </is>
      </c>
      <c r="I10" s="37" t="n">
        <v>5</v>
      </c>
      <c r="J10" s="37" t="inlineStr">
        <is>
          <t>随身体左右换边；局部距离固定</t>
        </is>
      </c>
      <c r="K10" s="37" t="inlineStr">
        <is>
          <t>唯一握持手</t>
        </is>
      </c>
      <c r="L10" s="37" t="inlineStr">
        <is>
          <t>是</t>
        </is>
      </c>
      <c r="M10" s="37" t="inlineStr">
        <is>
          <t>已退役（2026-08-09）：旧2D节点/纹理/Marker2D已删除；仅作历史组件记录，禁止运行时引用。</t>
        </is>
      </c>
    </row>
    <row r="11">
      <c r="A11" s="37" t="inlineStr">
        <is>
          <t>player_capsule01</t>
        </is>
      </c>
      <c r="B11" s="37" t="inlineStr">
        <is>
          <t>weapon_socket</t>
        </is>
      </c>
      <c r="C11" s="37" t="inlineStr">
        <is>
          <t>Player/WeaponAnchor</t>
        </is>
      </c>
      <c r="D11" s="37" t="inlineStr">
        <is>
          <t>player_root</t>
        </is>
      </c>
      <c r="E11" s="37" t="inlineStr">
        <is>
          <t>无纹理</t>
        </is>
      </c>
      <c r="F11" s="37" t="inlineStr">
        <is>
          <t>Marker2D</t>
        </is>
      </c>
      <c r="G11" s="37" t="inlineStr">
        <is>
          <t>(-24, 0)/(24, 0)</t>
        </is>
      </c>
      <c r="H11" s="37" t="inlineStr">
        <is>
          <t>挂点随身体换边；枪械跟随 aim_direction</t>
        </is>
      </c>
      <c r="I11" s="37" t="n">
        <v>6</v>
      </c>
      <c r="J11" s="37" t="inlineStr">
        <is>
          <t>枪械挂载/枪口特效</t>
        </is>
      </c>
      <c r="K11" s="37" t="inlineStr">
        <is>
          <t>武器系统</t>
        </is>
      </c>
      <c r="L11" s="37" t="inlineStr">
        <is>
          <t>是</t>
        </is>
      </c>
      <c r="M11" s="37" t="inlineStr">
        <is>
          <t>已退役（2026-08-09）：旧2D节点/纹理/Marker2D已删除；仅作历史组件记录，禁止运行时引用。</t>
        </is>
      </c>
    </row>
    <row r="12">
      <c r="A12" s="37" t="inlineStr">
        <is>
          <t>template</t>
        </is>
      </c>
      <c r="B12" s="37" t="inlineStr">
        <is>
          <t>accessory_back</t>
        </is>
      </c>
      <c r="C12" s="37" t="inlineStr">
        <is>
          <t>PixelComponents/AccessoryBack</t>
        </is>
      </c>
      <c r="D12" s="37" t="inlineStr">
        <is>
          <t>root</t>
        </is>
      </c>
      <c r="E12" s="37" t="inlineStr">
        <is>
          <t>按需</t>
        </is>
      </c>
      <c r="F12" s="37" t="inlineStr">
        <is>
          <t>按需</t>
        </is>
      </c>
      <c r="G12" s="37" t="inlineStr">
        <is>
          <t>按需</t>
        </is>
      </c>
      <c r="H12" s="37" t="inlineStr">
        <is>
          <t>随朝向</t>
        </is>
      </c>
      <c r="I12" s="37" t="n">
        <v>0</v>
      </c>
      <c r="J12" s="37" t="inlineStr">
        <is>
          <t>披风/背包/长围巾尾</t>
        </is>
      </c>
      <c r="K12" s="37" t="inlineStr">
        <is>
          <t>背部配件</t>
        </is>
      </c>
      <c r="L12" s="37" t="inlineStr">
        <is>
          <t>否</t>
        </is>
      </c>
      <c r="M12" s="37" t="inlineStr">
        <is>
          <t>避免与 body 合图</t>
        </is>
      </c>
    </row>
    <row r="13">
      <c r="A13" s="37" t="inlineStr">
        <is>
          <t>template</t>
        </is>
      </c>
      <c r="B13" s="37" t="inlineStr">
        <is>
          <t>accessory_front</t>
        </is>
      </c>
      <c r="C13" s="37" t="inlineStr">
        <is>
          <t>PixelComponents/AccessoryFront</t>
        </is>
      </c>
      <c r="D13" s="37" t="inlineStr">
        <is>
          <t>root</t>
        </is>
      </c>
      <c r="E13" s="37" t="inlineStr">
        <is>
          <t>按需</t>
        </is>
      </c>
      <c r="F13" s="37" t="inlineStr">
        <is>
          <t>按需</t>
        </is>
      </c>
      <c r="G13" s="37" t="inlineStr">
        <is>
          <t>按需</t>
        </is>
      </c>
      <c r="H13" s="37" t="inlineStr">
        <is>
          <t>随朝向</t>
        </is>
      </c>
      <c r="I13" s="37" t="n">
        <v>6</v>
      </c>
      <c r="J13" s="37" t="inlineStr">
        <is>
          <t>徽章/护盾/前景饰物</t>
        </is>
      </c>
      <c r="K13" s="37" t="inlineStr">
        <is>
          <t>前景配件</t>
        </is>
      </c>
      <c r="L13" s="37" t="inlineStr">
        <is>
          <t>否</t>
        </is>
      </c>
      <c r="M13" s="37" t="inlineStr">
        <is>
          <t>必要时高于双手</t>
        </is>
      </c>
    </row>
    <row r="14" ht="38" customHeight="1">
      <c r="A14" s="63" t="inlineStr">
        <is>
          <t>player_capsule01_3d</t>
        </is>
      </c>
      <c r="B14" s="63" t="inlineStr">
        <is>
          <t>root</t>
        </is>
      </c>
      <c r="C14" s="63" t="inlineStr">
        <is>
          <t>Avatar3D/CapsuleAvatar3D/VisualRoot</t>
        </is>
      </c>
      <c r="D14" s="63" t="inlineStr">
        <is>
          <t>player_root</t>
        </is>
      </c>
      <c r="E14" s="63" t="inlineStr">
        <is>
          <t>assets/art/characters/player/chr_player_capsule01_3d/chr_player_capsule01_root_top3d_v001.tscn</t>
        </is>
      </c>
      <c r="F14" s="63" t="inlineStr">
        <is>
          <t>Node3D</t>
        </is>
      </c>
      <c r="G14" s="63" t="inlineStr">
        <is>
          <t>(0,0,0)</t>
        </is>
      </c>
      <c r="H14" s="63" t="inlineStr">
        <is>
          <t>整体随准星绕Y轴</t>
        </is>
      </c>
      <c r="I14" s="63" t="n">
        <v>0</v>
      </c>
      <c r="J14" s="63" t="inlineStr">
        <is>
          <t>六态整体 + reloading/firing/charging/knockback覆盖</t>
        </is>
      </c>
      <c r="K14" s="63" t="inlineStr">
        <is>
          <t>3D表现根</t>
        </is>
      </c>
      <c r="L14" s="63" t="inlineStr">
        <is>
          <t>是</t>
        </is>
      </c>
      <c r="M14" s="63" t="inlineStr">
        <is>
          <t>正式3D表现根；旧2D胶囊已完成退役，不再属于兼容范围。</t>
        </is>
      </c>
    </row>
    <row r="15" ht="38" customHeight="1">
      <c r="A15" s="63" t="inlineStr">
        <is>
          <t>player_capsule01_3d</t>
        </is>
      </c>
      <c r="B15" s="63" t="inlineStr">
        <is>
          <t>body</t>
        </is>
      </c>
      <c r="C15" s="63" t="inlineStr">
        <is>
          <t>VisualRoot/Body</t>
        </is>
      </c>
      <c r="D15" s="63" t="inlineStr">
        <is>
          <t>root</t>
        </is>
      </c>
      <c r="E15" s="63" t="inlineStr">
        <is>
          <t>assets/art/characters/player/chr_player_capsule01_3d/chr_player_capsule01_root_top3d_v001.tscn</t>
        </is>
      </c>
      <c r="F15" s="63" t="inlineStr">
        <is>
          <t>BoxMesh + 子件</t>
        </is>
      </c>
      <c r="G15" s="63" t="inlineStr">
        <is>
          <t>(0,0.76,0.02)</t>
        </is>
      </c>
      <c r="H15" s="63" t="inlineStr">
        <is>
          <t>随root</t>
        </is>
      </c>
      <c r="I15" s="63" t="n">
        <v>1</v>
      </c>
      <c r="J15" s="63" t="inlineStr">
        <is>
          <t>呼吸/移动压缩/射击前探/死亡倾倒</t>
        </is>
      </c>
      <c r="K15" s="63" t="inlineStr">
        <is>
          <t>方形猫身</t>
        </is>
      </c>
      <c r="L15" s="63" t="inlineStr">
        <is>
          <t>是</t>
        </is>
      </c>
      <c r="M15" s="63" t="inlineStr">
        <is>
          <t>BodyShell + BellyPatch；方形主轮廓</t>
        </is>
      </c>
    </row>
    <row r="16" ht="38" customHeight="1">
      <c r="A16" s="63" t="inlineStr">
        <is>
          <t>player_capsule01_3d</t>
        </is>
      </c>
      <c r="B16" s="63" t="inlineStr">
        <is>
          <t>head</t>
        </is>
      </c>
      <c r="C16" s="63" t="inlineStr">
        <is>
          <t>VisualRoot/Head</t>
        </is>
      </c>
      <c r="D16" s="63" t="inlineStr">
        <is>
          <t>root</t>
        </is>
      </c>
      <c r="E16" s="63" t="inlineStr">
        <is>
          <t>assets/art/characters/player/chr_player_capsule01_3d/chr_player_capsule01_root_top3d_v001.tscn</t>
        </is>
      </c>
      <c r="F16" s="63" t="inlineStr">
        <is>
          <t>BoxMesh + 子件</t>
        </is>
      </c>
      <c r="G16" s="63" t="inlineStr">
        <is>
          <t>(0,1.72,-0.08)</t>
        </is>
      </c>
      <c r="H16" s="63" t="inlineStr">
        <is>
          <t>随root</t>
        </is>
      </c>
      <c r="I16" s="63" t="n">
        <v>3</v>
      </c>
      <c r="J16" s="63" t="inlineStr">
        <is>
          <t>移动反相滞后/后坐/受击/死亡</t>
        </is>
      </c>
      <c r="K16" s="63" t="inlineStr">
        <is>
          <t>方形猫头</t>
        </is>
      </c>
      <c r="L16" s="63" t="inlineStr">
        <is>
          <t>是</t>
        </is>
      </c>
      <c r="M16" s="63" t="inlineStr">
        <is>
          <t>无嘴无鼻；Eyes与Ears固定归Head</t>
        </is>
      </c>
    </row>
    <row r="17" ht="38" customHeight="1">
      <c r="A17" s="63" t="inlineStr">
        <is>
          <t>player_capsule01_3d</t>
        </is>
      </c>
      <c r="B17" s="63" t="inlineStr">
        <is>
          <t>hand</t>
        </is>
      </c>
      <c r="C17" s="63" t="inlineStr">
        <is>
          <t>VisualRoot/Hand</t>
        </is>
      </c>
      <c r="D17" s="63" t="inlineStr">
        <is>
          <t>root</t>
        </is>
      </c>
      <c r="E17" s="63" t="inlineStr">
        <is>
          <t>assets/art/characters/player/chr_player_capsule01_3d/chr_player_capsule01_root_top3d_v001.tscn</t>
        </is>
      </c>
      <c r="F17" s="63" t="inlineStr">
        <is>
          <t>BoxMesh</t>
        </is>
      </c>
      <c r="G17" s="63" t="inlineStr">
        <is>
          <t>(0.60,1.10,-0.30)</t>
        </is>
      </c>
      <c r="H17" s="63" t="inlineStr">
        <is>
          <t>随root；动作同相</t>
        </is>
      </c>
      <c r="I17" s="63" t="n">
        <v>4</v>
      </c>
      <c r="J17" s="63" t="inlineStr">
        <is>
          <t>移动/换弹/射击/蓄力/击飞保持握持</t>
        </is>
      </c>
      <c r="K17" s="63" t="inlineStr">
        <is>
          <t>唯一悬浮手</t>
        </is>
      </c>
      <c r="L17" s="63" t="inlineStr">
        <is>
          <t>是</t>
        </is>
      </c>
      <c r="M17" s="63" t="inlineStr">
        <is>
          <t>无手臂、无第二手；与WeaponSocket固定相对向量</t>
        </is>
      </c>
    </row>
    <row r="18" ht="38" customHeight="1">
      <c r="A18" s="63" t="inlineStr">
        <is>
          <t>player_capsule01_3d</t>
        </is>
      </c>
      <c r="B18" s="63" t="inlineStr">
        <is>
          <t>feet</t>
        </is>
      </c>
      <c r="C18" s="63" t="inlineStr">
        <is>
          <t>VisualRoot/Feet</t>
        </is>
      </c>
      <c r="D18" s="63" t="inlineStr">
        <is>
          <t>root</t>
        </is>
      </c>
      <c r="E18" s="63" t="inlineStr">
        <is>
          <t>assets/art/characters/player/chr_player_capsule01_3d/chr_player_capsule01_root_top3d_v001.tscn</t>
        </is>
      </c>
      <c r="F18" s="63" t="inlineStr">
        <is>
          <t>BoxMesh×2</t>
        </is>
      </c>
      <c r="G18" s="63" t="inlineStr">
        <is>
          <t>(0,0.22,-0.02)</t>
        </is>
      </c>
      <c r="H18" s="63" t="inlineStr">
        <is>
          <t>随root；FootL/R交替</t>
        </is>
      </c>
      <c r="I18" s="63" t="n">
        <v>1</v>
      </c>
      <c r="J18" s="63" t="inlineStr">
        <is>
          <t>moving交替抬脚；冲刺/受击/死亡随整体</t>
        </is>
      </c>
      <c r="K18" s="63" t="inlineStr">
        <is>
          <t>双脚主模块</t>
        </is>
      </c>
      <c r="L18" s="63" t="inlineStr">
        <is>
          <t>是</t>
        </is>
      </c>
      <c r="M18" s="63" t="inlineStr">
        <is>
          <t>FootL/FootR属于同一可替换Feet模块</t>
        </is>
      </c>
    </row>
    <row r="19" ht="38" customHeight="1">
      <c r="A19" s="63" t="inlineStr">
        <is>
          <t>player_capsule01_3d</t>
        </is>
      </c>
      <c r="B19" s="63" t="inlineStr">
        <is>
          <t>eyes</t>
        </is>
      </c>
      <c r="C19" s="63" t="inlineStr">
        <is>
          <t>VisualRoot/Head/Eyes</t>
        </is>
      </c>
      <c r="D19" s="63" t="inlineStr">
        <is>
          <t>head</t>
        </is>
      </c>
      <c r="E19" s="63" t="inlineStr">
        <is>
          <t>assets/art/characters/player/chr_player_capsule01_3d/chr_player_capsule01_root_top3d_v001.tscn</t>
        </is>
      </c>
      <c r="F19" s="63" t="inlineStr">
        <is>
          <t>BoxMesh×2</t>
        </is>
      </c>
      <c r="G19" s="63" t="inlineStr">
        <is>
          <t>(0,-0.03,-0.56)</t>
        </is>
      </c>
      <c r="H19" s="63" t="inlineStr">
        <is>
          <t>继承Head</t>
        </is>
      </c>
      <c r="I19" s="63" t="n">
        <v>4</v>
      </c>
      <c r="J19" s="63" t="inlineStr">
        <is>
          <t>随头部滞后/后坐/受击</t>
        </is>
      </c>
      <c r="K19" s="63" t="inlineStr">
        <is>
          <t>面部配件</t>
        </is>
      </c>
      <c r="L19" s="63" t="inlineStr">
        <is>
          <t>是</t>
        </is>
      </c>
      <c r="M19" s="63" t="inlineStr">
        <is>
          <t>EyeL/EyeR；深色窄矩形豆豆眼；无嘴</t>
        </is>
      </c>
    </row>
    <row r="20" ht="38" customHeight="1">
      <c r="A20" s="63" t="inlineStr">
        <is>
          <t>player_capsule01_3d</t>
        </is>
      </c>
      <c r="B20" s="63" t="inlineStr">
        <is>
          <t>ears</t>
        </is>
      </c>
      <c r="C20" s="63" t="inlineStr">
        <is>
          <t>VisualRoot/Head/Ears</t>
        </is>
      </c>
      <c r="D20" s="63" t="inlineStr">
        <is>
          <t>head</t>
        </is>
      </c>
      <c r="E20" s="63" t="inlineStr">
        <is>
          <t>assets/art/characters/player/chr_player_capsule01_3d/chr_player_capsule01_root_top3d_v001.tscn</t>
        </is>
      </c>
      <c r="F20" s="63" t="inlineStr">
        <is>
          <t>三边CylinderMesh×4</t>
        </is>
      </c>
      <c r="G20" s="63" t="inlineStr">
        <is>
          <t>沿Head顶部</t>
        </is>
      </c>
      <c r="H20" s="63" t="inlineStr">
        <is>
          <t>继承Head</t>
        </is>
      </c>
      <c r="I20" s="63" t="n">
        <v>4</v>
      </c>
      <c r="J20" s="63" t="inlineStr">
        <is>
          <t>随头部滞后/后坐/受击</t>
        </is>
      </c>
      <c r="K20" s="63" t="inlineStr">
        <is>
          <t>头部配件</t>
        </is>
      </c>
      <c r="L20" s="63" t="inlineStr">
        <is>
          <t>是</t>
        </is>
      </c>
      <c r="M20" s="63" t="inlineStr">
        <is>
          <t>EarL/EarR各含Inner；三角形语言</t>
        </is>
      </c>
    </row>
    <row r="21" ht="38" customHeight="1">
      <c r="A21" s="63" t="inlineStr">
        <is>
          <t>player_capsule01_3d</t>
        </is>
      </c>
      <c r="B21" s="63" t="inlineStr">
        <is>
          <t>tail_stub</t>
        </is>
      </c>
      <c r="C21" s="63" t="inlineStr">
        <is>
          <t>VisualRoot/Body/TailStub</t>
        </is>
      </c>
      <c r="D21" s="63" t="inlineStr">
        <is>
          <t>body</t>
        </is>
      </c>
      <c r="E21" s="63" t="inlineStr">
        <is>
          <t>assets/art/characters/player/chr_player_capsule01_3d/chr_player_capsule01_root_top3d_v001.tscn</t>
        </is>
      </c>
      <c r="F21" s="63" t="inlineStr">
        <is>
          <t>SphereMesh</t>
        </is>
      </c>
      <c r="G21" s="63" t="inlineStr">
        <is>
          <t>(-0.51,-0.02,0.24)</t>
        </is>
      </c>
      <c r="H21" s="63" t="inlineStr">
        <is>
          <t>继承Body + 轻摆</t>
        </is>
      </c>
      <c r="I21" s="63" t="n">
        <v>2</v>
      </c>
      <c r="J21" s="63" t="inlineStr">
        <is>
          <t>moving轻摆/弹性缩放</t>
        </is>
      </c>
      <c r="K21" s="63" t="inlineStr">
        <is>
          <t>身体配件</t>
        </is>
      </c>
      <c r="L21" s="63" t="inlineStr">
        <is>
          <t>是</t>
        </is>
      </c>
      <c r="M21" s="63" t="inlineStr">
        <is>
          <t>唯一圆形例外；短圆尾团，禁止长尾</t>
        </is>
      </c>
    </row>
    <row r="22" ht="38" customHeight="1">
      <c r="A22" s="63" t="inlineStr">
        <is>
          <t>player_capsule01_3d</t>
        </is>
      </c>
      <c r="B22" s="63" t="inlineStr">
        <is>
          <t>weapon_socket</t>
        </is>
      </c>
      <c r="C22" s="63" t="inlineStr">
        <is>
          <t>VisualRoot/WeaponSocket</t>
        </is>
      </c>
      <c r="D22" s="63" t="inlineStr">
        <is>
          <t>root</t>
        </is>
      </c>
      <c r="E22" s="63" t="inlineStr">
        <is>
          <t>无纹理</t>
        </is>
      </c>
      <c r="F22" s="63" t="inlineStr">
        <is>
          <t>Marker3D</t>
        </is>
      </c>
      <c r="G22" s="63" t="inlineStr">
        <is>
          <t>(0.60,1.15,-0.42)</t>
        </is>
      </c>
      <c r="H22" s="63" t="inlineStr">
        <is>
          <t>随root；动作同相</t>
        </is>
      </c>
      <c r="I22" s="63" t="n">
        <v>5</v>
      </c>
      <c r="J22" s="63" t="inlineStr">
        <is>
          <t>枪械挂载/枪口特效</t>
        </is>
      </c>
      <c r="K22" s="63" t="inlineStr">
        <is>
          <t>武器系统</t>
        </is>
      </c>
      <c r="L22" s="63" t="inlineStr">
        <is>
          <t>是</t>
        </is>
      </c>
      <c r="M22" s="63" t="inlineStr">
        <is>
          <t>与唯一手全动作固定局部关系；枪模layer 2</t>
        </is>
      </c>
    </row>
    <row r="23" ht="38" customHeight="1">
      <c r="A23" s="63" t="inlineStr">
        <is>
          <t>player_capsule01_3d</t>
        </is>
      </c>
      <c r="B23" s="63" t="inlineStr">
        <is>
          <t>reload_progress</t>
        </is>
      </c>
      <c r="C23" s="63" t="inlineStr">
        <is>
          <t>ReloadProgress3D</t>
        </is>
      </c>
      <c r="D23" s="63" t="inlineStr">
        <is>
          <t>player_root</t>
        </is>
      </c>
      <c r="E23" s="63" t="inlineStr">
        <is>
          <t>assets/art/characters/player/chr_player_capsule01_3d/chr_player_capsule01_root_top3d_v001.tscn</t>
        </is>
      </c>
      <c r="F23" s="63" t="inlineStr">
        <is>
          <t>QuadMesh×2</t>
        </is>
      </c>
      <c r="G23" s="63" t="inlineStr">
        <is>
          <t>(0,2.92,0.06)</t>
        </is>
      </c>
      <c r="H23" s="63" t="inlineStr">
        <is>
          <t>朝向相机；不随VisualRoot旋转</t>
        </is>
      </c>
      <c r="I23" s="63" t="n">
        <v>6</v>
      </c>
      <c r="J23" s="63" t="inlineStr">
        <is>
          <t>读取真实换弹进度</t>
        </is>
      </c>
      <c r="K23" s="63" t="inlineStr">
        <is>
          <t>状态UI子组件</t>
        </is>
      </c>
      <c r="L23" s="63" t="inlineStr">
        <is>
          <t>是</t>
        </is>
      </c>
      <c r="M23" s="63" t="inlineStr">
        <is>
          <t>高于猫耳；无独立计时器/SubViewport</t>
        </is>
      </c>
    </row>
    <row r="24" ht="38" customHeight="1">
      <c r="A24" s="63" t="inlineStr">
        <is>
          <t>player_capsule01_3d</t>
        </is>
      </c>
      <c r="B24" s="63" t="inlineStr">
        <is>
          <t>body_diy</t>
        </is>
      </c>
      <c r="C24" s="63" t="inlineStr">
        <is>
          <t>VisualRoot/Body</t>
        </is>
      </c>
      <c r="D24" s="63" t="inlineStr">
        <is>
          <t>root</t>
        </is>
      </c>
      <c r="E24" s="63" t="inlineStr">
        <is>
          <t>无独立纹理/程序材质</t>
        </is>
      </c>
      <c r="F24" s="63" t="inlineStr">
        <is>
          <t>4种配色</t>
        </is>
      </c>
      <c r="G24" s="63" t="inlineStr">
        <is>
          <t>沿Body</t>
        </is>
      </c>
      <c r="H24" s="63" t="inlineStr">
        <is>
          <t>随root</t>
        </is>
      </c>
      <c r="I24" s="63" t="n">
        <v>1</v>
      </c>
      <c r="J24" s="63" t="inlineStr">
        <is>
          <t>继承身体动态</t>
        </is>
      </c>
      <c r="K24" s="63" t="inlineStr">
        <is>
          <t>身体外观</t>
        </is>
      </c>
      <c r="L24" s="63" t="inlineStr">
        <is>
          <t>是</t>
        </is>
      </c>
      <c r="M24" s="63" t="inlineStr">
        <is>
          <t>cat_orange + 旧三色兼容</t>
        </is>
      </c>
    </row>
    <row r="25" ht="38" customHeight="1">
      <c r="A25" s="63" t="inlineStr">
        <is>
          <t>player_capsule01_3d</t>
        </is>
      </c>
      <c r="B25" s="63" t="inlineStr">
        <is>
          <t>head_diy</t>
        </is>
      </c>
      <c r="C25" s="63" t="inlineStr">
        <is>
          <t>VisualRoot/Head</t>
        </is>
      </c>
      <c r="D25" s="63" t="inlineStr">
        <is>
          <t>root</t>
        </is>
      </c>
      <c r="E25" s="63" t="inlineStr">
        <is>
          <t>无独立纹理/程序材质</t>
        </is>
      </c>
      <c r="F25" s="63" t="inlineStr">
        <is>
          <t>4种配色</t>
        </is>
      </c>
      <c r="G25" s="63" t="inlineStr">
        <is>
          <t>沿Head</t>
        </is>
      </c>
      <c r="H25" s="63" t="inlineStr">
        <is>
          <t>随root</t>
        </is>
      </c>
      <c r="I25" s="63" t="n">
        <v>3</v>
      </c>
      <c r="J25" s="63" t="inlineStr">
        <is>
          <t>继承头部动态</t>
        </is>
      </c>
      <c r="K25" s="63" t="inlineStr">
        <is>
          <t>头部外观</t>
        </is>
      </c>
      <c r="L25" s="63" t="inlineStr">
        <is>
          <t>是</t>
        </is>
      </c>
      <c r="M25" s="63" t="inlineStr">
        <is>
          <t>cat_orange + 旧三色兼容；双眼/双耳节点不变</t>
        </is>
      </c>
    </row>
    <row r="26" ht="38" customHeight="1">
      <c r="A26" s="63" t="inlineStr">
        <is>
          <t>player_capsule01_3d</t>
        </is>
      </c>
      <c r="B26" s="63" t="inlineStr">
        <is>
          <t>hand_diy</t>
        </is>
      </c>
      <c r="C26" s="63" t="inlineStr">
        <is>
          <t>VisualRoot/Hand</t>
        </is>
      </c>
      <c r="D26" s="63" t="inlineStr">
        <is>
          <t>root</t>
        </is>
      </c>
      <c r="E26" s="63" t="inlineStr">
        <is>
          <t>无独立纹理/程序材质</t>
        </is>
      </c>
      <c r="F26" s="63" t="inlineStr">
        <is>
          <t>4种配色</t>
        </is>
      </c>
      <c r="G26" s="63" t="inlineStr">
        <is>
          <t>(0.60,1.10,-0.30)</t>
        </is>
      </c>
      <c r="H26" s="63" t="inlineStr">
        <is>
          <t>随root+同相动作</t>
        </is>
      </c>
      <c r="I26" s="63" t="n">
        <v>4</v>
      </c>
      <c r="J26" s="63" t="inlineStr">
        <is>
          <t>抓握压缩；与socket同相</t>
        </is>
      </c>
      <c r="K26" s="63" t="inlineStr">
        <is>
          <t>唯一手外观</t>
        </is>
      </c>
      <c r="L26" s="63" t="inlineStr">
        <is>
          <t>是</t>
        </is>
      </c>
      <c r="M26" s="63" t="inlineStr">
        <is>
          <t>cat_orange + 旧三色兼容</t>
        </is>
      </c>
    </row>
    <row r="27" ht="38" customHeight="1">
      <c r="A27" s="63" t="inlineStr">
        <is>
          <t>player_capsule01_3d</t>
        </is>
      </c>
      <c r="B27" s="63" t="inlineStr">
        <is>
          <t>feet_diy</t>
        </is>
      </c>
      <c r="C27" s="63" t="inlineStr">
        <is>
          <t>VisualRoot/Feet</t>
        </is>
      </c>
      <c r="D27" s="63" t="inlineStr">
        <is>
          <t>root</t>
        </is>
      </c>
      <c r="E27" s="63" t="inlineStr">
        <is>
          <t>无独立纹理/程序材质</t>
        </is>
      </c>
      <c r="F27" s="63" t="inlineStr">
        <is>
          <t>4种配色</t>
        </is>
      </c>
      <c r="G27" s="63" t="inlineStr">
        <is>
          <t>沿Feet</t>
        </is>
      </c>
      <c r="H27" s="63" t="inlineStr">
        <is>
          <t>随root+交替步态</t>
        </is>
      </c>
      <c r="I27" s="63" t="n">
        <v>1</v>
      </c>
      <c r="J27" s="63" t="inlineStr">
        <is>
          <t>FootL/R交替抬起</t>
        </is>
      </c>
      <c r="K27" s="63" t="inlineStr">
        <is>
          <t>脚部外观</t>
        </is>
      </c>
      <c r="L27" s="63" t="inlineStr">
        <is>
          <t>是</t>
        </is>
      </c>
      <c r="M27" s="63" t="inlineStr">
        <is>
          <t>cat_orange / boot_sand / boot_cobalt / boot_teal</t>
        </is>
      </c>
    </row>
    <row r="28" ht="38" customHeight="1">
      <c r="A28" s="63" t="inlineStr">
        <is>
          <t>player_capsule01_3d</t>
        </is>
      </c>
      <c r="B28" s="63" t="inlineStr">
        <is>
          <t>hat</t>
        </is>
      </c>
      <c r="C28" s="63" t="inlineStr">
        <is>
          <t>VisualRoot/Head/Wearables/Hat*</t>
        </is>
      </c>
      <c r="D28" s="63" t="inlineStr">
        <is>
          <t>head</t>
        </is>
      </c>
      <c r="E28" s="63" t="inlineStr">
        <is>
          <t>无独立纹理/程序网格</t>
        </is>
      </c>
      <c r="F28" s="63" t="inlineStr">
        <is>
          <t>3种帽型</t>
        </is>
      </c>
      <c r="G28" s="63" t="inlineStr">
        <is>
          <t>沿Head</t>
        </is>
      </c>
      <c r="H28" s="63" t="inlineStr">
        <is>
          <t>继承Head</t>
        </is>
      </c>
      <c r="I28" s="63" t="n">
        <v>5</v>
      </c>
      <c r="J28" s="63" t="inlineStr">
        <is>
          <t>头部滞后/受击/死亡</t>
        </is>
      </c>
      <c r="K28" s="63" t="inlineStr">
        <is>
          <t>头部外戴件</t>
        </is>
      </c>
      <c r="L28" s="63" t="inlineStr">
        <is>
          <t>否</t>
        </is>
      </c>
      <c r="M28" s="63" t="inlineStr">
        <is>
          <t>可选；layer2，禁投影/GI；不得替代猫耳节点</t>
        </is>
      </c>
    </row>
    <row r="29" ht="38" customHeight="1">
      <c r="A29" s="63" t="inlineStr">
        <is>
          <t>player_capsule01_3d</t>
        </is>
      </c>
      <c r="B29" s="63" t="inlineStr">
        <is>
          <t>glasses</t>
        </is>
      </c>
      <c r="C29" s="63" t="inlineStr">
        <is>
          <t>VisualRoot/Head/Wearables/Glasses*</t>
        </is>
      </c>
      <c r="D29" s="63" t="inlineStr">
        <is>
          <t>head</t>
        </is>
      </c>
      <c r="E29" s="63" t="inlineStr">
        <is>
          <t>无独立纹理/程序网格</t>
        </is>
      </c>
      <c r="F29" s="63" t="inlineStr">
        <is>
          <t>3种护目件</t>
        </is>
      </c>
      <c r="G29" s="63" t="inlineStr">
        <is>
          <t>沿Head前侧</t>
        </is>
      </c>
      <c r="H29" s="63" t="inlineStr">
        <is>
          <t>继承Head</t>
        </is>
      </c>
      <c r="I29" s="63" t="n">
        <v>5</v>
      </c>
      <c r="J29" s="63" t="inlineStr">
        <is>
          <t>头部滞后/受击/死亡</t>
        </is>
      </c>
      <c r="K29" s="63" t="inlineStr">
        <is>
          <t>护目件</t>
        </is>
      </c>
      <c r="L29" s="63" t="inlineStr">
        <is>
          <t>否</t>
        </is>
      </c>
      <c r="M29" s="63" t="inlineStr">
        <is>
          <t>可选；layer2；允许太阳/室内灯外部投影；玩家三灯不产生自身投影；GI禁用。</t>
        </is>
      </c>
    </row>
    <row r="30" ht="38" customHeight="1">
      <c r="A30" s="63" t="inlineStr">
        <is>
          <t>player_capsule01_3d</t>
        </is>
      </c>
      <c r="B30" s="63" t="inlineStr">
        <is>
          <t>scarf_legacy</t>
        </is>
      </c>
      <c r="C30" s="63" t="inlineStr">
        <is>
          <t>VisualRoot/Scarf</t>
        </is>
      </c>
      <c r="D30" s="63" t="inlineStr">
        <is>
          <t>root</t>
        </is>
      </c>
      <c r="E30" s="63" t="inlineStr">
        <is>
          <t>assets/art/characters/player/chr_player_capsule01_3d/chr_player_capsule01_root_top3d_v001.tscn</t>
        </is>
      </c>
      <c r="F30" s="63" t="inlineStr">
        <is>
          <t>隐藏兼容节点</t>
        </is>
      </c>
      <c r="G30" s="63" t="inlineStr">
        <is>
          <t>(0,1.32,0)</t>
        </is>
      </c>
      <c r="H30" s="63" t="inlineStr">
        <is>
          <t>随root</t>
        </is>
      </c>
      <c r="I30" s="63" t="n">
        <v>2</v>
      </c>
      <c r="J30" s="63" t="inlineStr">
        <is>
          <t>不参与当前轮廓</t>
        </is>
      </c>
      <c r="K30" s="63" t="inlineStr">
        <is>
          <t>旧场景兼容</t>
        </is>
      </c>
      <c r="L30" s="63" t="inlineStr">
        <is>
          <t>否</t>
        </is>
      </c>
      <c r="M30" s="63" t="inlineStr">
        <is>
          <t>可选；layer2；允许太阳/室内灯外部投影；玩家三灯不产生自身投影；GI禁用。</t>
        </is>
      </c>
    </row>
    <row r="31" ht="104" customHeight="1">
      <c r="A31" s="70" t="inlineStr">
        <is>
          <t>player_capsule01_bunny01_3d</t>
        </is>
      </c>
      <c r="B31" s="70" t="inlineStr">
        <is>
          <t>root</t>
        </is>
      </c>
      <c r="C31" s="70" t="inlineStr">
        <is>
          <t>Avatar3D/VisualRoot/BunnyRig</t>
        </is>
      </c>
      <c r="D31" s="70" t="inlineStr">
        <is>
          <t>player_root</t>
        </is>
      </c>
      <c r="E31" s="70" t="inlineStr">
        <is>
          <t>assets/art/characters/player/chr_player_capsule01_3d/variants/bunny01/chr_player_capsule01_bunny01_root_top3d_v006.tscn</t>
        </is>
      </c>
      <c r="F31" s="70" t="inlineStr">
        <is>
          <t>Node3D刚性骨架 / 完整视觉1.500m</t>
        </is>
      </c>
      <c r="G31" s="70" t="inlineStr">
        <is>
          <t>(0,0,0)</t>
        </is>
      </c>
      <c r="H31" s="70" t="inlineStr">
        <is>
          <t>整体随准星绕Y轴</t>
        </is>
      </c>
      <c r="I31" s="70" t="n">
        <v>0</v>
      </c>
      <c r="J31" s="70" t="inlineStr">
        <is>
          <t>八态整体 + falling收束/landing压缩回弹 + 动作覆盖</t>
        </is>
      </c>
      <c r="K31" s="70" t="inlineStr">
        <is>
          <t>Godot骨架根</t>
        </is>
      </c>
      <c r="L31" s="70" t="inlineStr">
        <is>
          <t>是</t>
        </is>
      </c>
      <c r="M31" s="70" t="inlineStr">
        <is>
          <t>v0.1：v006真实1.5m分体网格与AssetID不变；玩法碰撞位于Player3D/VirtualCollisionCapsule（height=1.5m、radius=0.34m）。falling/landing复用既有Body/Head/Hands/Feet/EarSocket关节。</t>
        </is>
      </c>
    </row>
    <row r="32" ht="104" customHeight="1">
      <c r="A32" s="70" t="inlineStr">
        <is>
          <t>player_capsule01_bunny01_3d</t>
        </is>
      </c>
      <c r="B32" s="70" t="inlineStr">
        <is>
          <t>body</t>
        </is>
      </c>
      <c r="C32" s="70" t="inlineStr">
        <is>
          <t>VisualRoot/BunnyRig/BodyJoint/Model</t>
        </is>
      </c>
      <c r="D32" s="70" t="inlineStr">
        <is>
          <t>BunnyRig</t>
        </is>
      </c>
      <c r="E32" s="70" t="inlineStr">
        <is>
          <t>assets/art/characters/player/chr_player_capsule01_3d/variants/bunny01/components/chr_player_capsule01_bunny01_body_top3d_v006.glb</t>
        </is>
      </c>
      <c r="F32" s="70" t="inlineStr">
        <is>
          <t>pivot-local GLB / 1.5m比例</t>
        </is>
      </c>
      <c r="G32" s="70" t="inlineStr">
        <is>
          <t>(-0.000030,0.155022,-0.000635)</t>
        </is>
      </c>
      <c r="H32" s="70" t="inlineStr">
        <is>
          <t>BodyJoint</t>
        </is>
      </c>
      <c r="I32" s="70" t="n">
        <v>1</v>
      </c>
      <c r="J32" s="70" t="inlineStr">
        <is>
          <t>呼吸/移动挤压/突进翻滚/受击</t>
        </is>
      </c>
      <c r="K32" s="70" t="inlineStr">
        <is>
          <t>身体组件</t>
        </is>
      </c>
      <c r="L32" s="70" t="inlineStr">
        <is>
          <t>是</t>
        </is>
      </c>
      <c r="M32" s="70" t="inlineStr">
        <is>
          <t>Blender原点：身体底部中心；v006真实1.5m几何。</t>
        </is>
      </c>
    </row>
    <row r="33" ht="104" customHeight="1">
      <c r="A33" s="70" t="inlineStr">
        <is>
          <t>player_capsule01_bunny01_3d</t>
        </is>
      </c>
      <c r="B33" s="70" t="inlineStr">
        <is>
          <t>head</t>
        </is>
      </c>
      <c r="C33" s="70" t="inlineStr">
        <is>
          <t>VisualRoot/BunnyRig/HeadJoint/Model</t>
        </is>
      </c>
      <c r="D33" s="70" t="inlineStr">
        <is>
          <t>BunnyRig</t>
        </is>
      </c>
      <c r="E33" s="70" t="inlineStr">
        <is>
          <t>assets/art/characters/player/chr_player_capsule01_3d/variants/bunny01/components/chr_player_capsule01_bunny01_head_top3d_v006.glb</t>
        </is>
      </c>
      <c r="F33" s="70" t="inlineStr">
        <is>
          <t>pivot-local GLB / 1.5m比例</t>
        </is>
      </c>
      <c r="G33" s="70" t="inlineStr">
        <is>
          <t>(-0.000028,0.477110,0.026431)</t>
        </is>
      </c>
      <c r="H33" s="70" t="inlineStr">
        <is>
          <t>HeadJoint</t>
        </is>
      </c>
      <c r="I33" s="70" t="n">
        <v>3</v>
      </c>
      <c r="J33" s="70" t="inlineStr">
        <is>
          <t>移动反相滞后/后坐/受击甩头</t>
        </is>
      </c>
      <c r="K33" s="70" t="inlineStr">
        <is>
          <t>头部组件</t>
        </is>
      </c>
      <c r="L33" s="70" t="inlineStr">
        <is>
          <t>是</t>
        </is>
      </c>
      <c r="M33" s="70" t="inlineStr">
        <is>
          <t>Blender原点：头部下沿中心；不含耳头顶1.103390m。</t>
        </is>
      </c>
    </row>
    <row r="34" ht="104" customHeight="1">
      <c r="A34" s="70" t="inlineStr">
        <is>
          <t>player_capsule01_bunny01_3d</t>
        </is>
      </c>
      <c r="B34" s="70" t="inlineStr">
        <is>
          <t>ear_l</t>
        </is>
      </c>
      <c r="C34" s="70" t="inlineStr">
        <is>
          <t>VisualRoot/BunnyRig/HeadJoint/Ears/EarSocketL/EarAccessory</t>
        </is>
      </c>
      <c r="D34" s="70" t="inlineStr">
        <is>
          <t>head</t>
        </is>
      </c>
      <c r="E34" s="70" t="inlineStr">
        <is>
          <t>assets/art/characters/player/chr_player_capsule01_3d/variants/bunny01/components/chr_player_capsule01_bunny01_ear_top3d_v006.glb</t>
        </is>
      </c>
      <c r="F34" s="70" t="inlineStr">
        <is>
          <t>pivot-local GLB × -X / 1.5m比例</t>
        </is>
      </c>
      <c r="G34" s="70" t="inlineStr">
        <is>
          <t>Head local (-0.245056,0.499653,-0.001671)</t>
        </is>
      </c>
      <c r="H34" s="70" t="inlineStr">
        <is>
          <t>继承HeadJoint</t>
        </is>
      </c>
      <c r="I34" s="70" t="n">
        <v>4</v>
      </c>
      <c r="J34" s="70" t="inlineStr">
        <is>
          <t>移动跟随/冲刺后压/受击收耳</t>
        </is>
      </c>
      <c r="K34" s="70" t="inlineStr">
        <is>
          <t>头部配件</t>
        </is>
      </c>
      <c r="L34" s="70" t="inlineStr">
        <is>
          <t>是</t>
        </is>
      </c>
      <c r="M34" s="70" t="inlineStr">
        <is>
          <t>复用语义右耳并在左挂点镜像；完整视觉顶部1.500m。</t>
        </is>
      </c>
    </row>
    <row r="35" ht="104" customHeight="1">
      <c r="A35" s="70" t="inlineStr">
        <is>
          <t>player_capsule01_bunny01_3d</t>
        </is>
      </c>
      <c r="B35" s="70" t="inlineStr">
        <is>
          <t>ear_r</t>
        </is>
      </c>
      <c r="C35" s="70" t="inlineStr">
        <is>
          <t>VisualRoot/BunnyRig/HeadJoint/Ears/EarSocketR/EarAccessory</t>
        </is>
      </c>
      <c r="D35" s="70" t="inlineStr">
        <is>
          <t>head</t>
        </is>
      </c>
      <c r="E35" s="70" t="inlineStr">
        <is>
          <t>assets/art/characters/player/chr_player_capsule01_3d/variants/bunny01/components/chr_player_capsule01_bunny01_ear_top3d_v006.glb</t>
        </is>
      </c>
      <c r="F35" s="70" t="inlineStr">
        <is>
          <t>pivot-local GLB / 1.5m比例</t>
        </is>
      </c>
      <c r="G35" s="70" t="inlineStr">
        <is>
          <t>Head local (0.245112,0.499653,-0.001671)</t>
        </is>
      </c>
      <c r="H35" s="70" t="inlineStr">
        <is>
          <t>继承HeadJoint</t>
        </is>
      </c>
      <c r="I35" s="70" t="n">
        <v>4</v>
      </c>
      <c r="J35" s="70" t="inlineStr">
        <is>
          <t>移动跟随/冲刺后压/受击收耳</t>
        </is>
      </c>
      <c r="K35" s="70" t="inlineStr">
        <is>
          <t>头部配件</t>
        </is>
      </c>
      <c r="L35" s="70" t="inlineStr">
        <is>
          <t>是</t>
        </is>
      </c>
      <c r="M35" s="70" t="inlineStr">
        <is>
          <t>语义右耳标准实例；完整视觉顶部1.500m。</t>
        </is>
      </c>
    </row>
    <row r="36" ht="104" customHeight="1">
      <c r="A36" s="70" t="inlineStr">
        <is>
          <t>player_capsule01_bunny01_3d</t>
        </is>
      </c>
      <c r="B36" s="70" t="inlineStr">
        <is>
          <t>hand_l</t>
        </is>
      </c>
      <c r="C36" s="70" t="inlineStr">
        <is>
          <t>VisualRoot/BunnyRig/HandRoot/HandJointL/Model</t>
        </is>
      </c>
      <c r="D36" s="70" t="inlineStr">
        <is>
          <t>BunnyRig</t>
        </is>
      </c>
      <c r="E36" s="70" t="inlineStr">
        <is>
          <t>assets/art/characters/player/chr_player_capsule01_3d/variants/bunny01/components/chr_player_capsule01_bunny01_hand_l_top3d_v006.glb</t>
        </is>
      </c>
      <c r="F36" s="70" t="inlineStr">
        <is>
          <t>pivot-local GLB / 1.5m比例</t>
        </is>
      </c>
      <c r="G36" s="70" t="inlineStr">
        <is>
          <t>Authored (-0.285833,0.321773,-0.014435); longgun support (0.121212,0.315152,-0.387879)</t>
        </is>
      </c>
      <c r="H36" s="70" t="inlineStr">
        <is>
          <t>HandRoot 独立左腕</t>
        </is>
      </c>
      <c r="I36" s="70" t="n">
        <v>4</v>
      </c>
      <c r="J36" s="70" t="inlineStr">
        <is>
          <t>手枪自由摆臂；长枪托举；换弹服务；双手枪后坐</t>
        </is>
      </c>
      <c r="K36" s="70" t="inlineStr">
        <is>
          <t>左手组件</t>
        </is>
      </c>
      <c r="L36" s="70" t="inlineStr">
        <is>
          <t>是</t>
        </is>
      </c>
      <c r="M36" s="70" t="inlineStr">
        <is>
          <t>手腕圆环近端轴心；网格、挂点与动作米制平移使用0.606060606比例。</t>
        </is>
      </c>
    </row>
    <row r="37" ht="104" customHeight="1">
      <c r="A37" s="70" t="inlineStr">
        <is>
          <t>player_capsule01_bunny01_3d</t>
        </is>
      </c>
      <c r="B37" s="70" t="inlineStr">
        <is>
          <t>hand_r</t>
        </is>
      </c>
      <c r="C37" s="70" t="inlineStr">
        <is>
          <t>VisualRoot/BunnyRig/HandRoot/HandJointR/Model</t>
        </is>
      </c>
      <c r="D37" s="70" t="inlineStr">
        <is>
          <t>BunnyRig</t>
        </is>
      </c>
      <c r="E37" s="70" t="inlineStr">
        <is>
          <t>assets/art/characters/player/chr_player_capsule01_3d/variants/bunny01/components/chr_player_capsule01_bunny01_hand_r_top3d_v006.glb</t>
        </is>
      </c>
      <c r="F37" s="70" t="inlineStr">
        <is>
          <t>pivot-local GLB / 1.5m比例</t>
        </is>
      </c>
      <c r="G37" s="70" t="inlineStr">
        <is>
          <t>Authored (0.285833,0.321773,-0.014435); sidearm (0.048485,0.339394,-0.296970)+socket X0.145455; longgun (0.078788,0.339394,-0.296970)</t>
        </is>
      </c>
      <c r="H37" s="70" t="inlineStr">
        <is>
          <t>HandRoot 独立右腕 / WeaponSocket 跟随</t>
        </is>
      </c>
      <c r="I37" s="70" t="n">
        <v>4</v>
      </c>
      <c r="J37" s="70" t="inlineStr">
        <is>
          <t>手枪/长枪主握把；独立跑步；武器差异射击后坐</t>
        </is>
      </c>
      <c r="K37" s="70" t="inlineStr">
        <is>
          <t>右手组件</t>
        </is>
      </c>
      <c r="L37" s="70" t="inlineStr">
        <is>
          <t>是</t>
        </is>
      </c>
      <c r="M37" s="70" t="inlineStr">
        <is>
          <t>右手主握把；持枪视觉与手/挂点使用同一0.606060606比例。</t>
        </is>
      </c>
    </row>
    <row r="38" ht="104" customHeight="1">
      <c r="A38" s="70" t="inlineStr">
        <is>
          <t>player_capsule01_bunny01_3d</t>
        </is>
      </c>
      <c r="B38" s="70" t="inlineStr">
        <is>
          <t>foot_l</t>
        </is>
      </c>
      <c r="C38" s="70" t="inlineStr">
        <is>
          <t>VisualRoot/BunnyRig/FeetRoot/FootJointL/Model</t>
        </is>
      </c>
      <c r="D38" s="70" t="inlineStr">
        <is>
          <t>FeetRoot</t>
        </is>
      </c>
      <c r="E38" s="70" t="inlineStr">
        <is>
          <t>assets/art/characters/player/chr_player_capsule01_3d/variants/bunny01/components/chr_player_capsule01_bunny01_foot_l_top3d_v006.glb</t>
        </is>
      </c>
      <c r="F38" s="70" t="inlineStr">
        <is>
          <t>pivot-local GLB / 1.5m比例</t>
        </is>
      </c>
      <c r="G38" s="70" t="inlineStr">
        <is>
          <t>(-0.129002,0,-0.010887)</t>
        </is>
      </c>
      <c r="H38" s="70" t="inlineStr">
        <is>
          <t>独立FootJointL</t>
        </is>
      </c>
      <c r="I38" s="70" t="n">
        <v>1</v>
      </c>
      <c r="J38" s="70" t="inlineStr">
        <is>
          <t>moving左脚/翻滚收腿/受击甩脚/falling收腿/landing压缩</t>
        </is>
      </c>
      <c r="K38" s="70" t="inlineStr">
        <is>
          <t>左脚组件</t>
        </is>
      </c>
      <c r="L38" s="70" t="inlineStr">
        <is>
          <t>是</t>
        </is>
      </c>
      <c r="M38" s="70" t="inlineStr">
        <is>
          <t>Blender原点：脚底中心；静态最低点Y=0；v0.1复用同一v006网格增加下落与落地程序动作。</t>
        </is>
      </c>
    </row>
    <row r="39" ht="104" customHeight="1">
      <c r="A39" s="70" t="inlineStr">
        <is>
          <t>player_capsule01_bunny01_3d</t>
        </is>
      </c>
      <c r="B39" s="70" t="inlineStr">
        <is>
          <t>foot_r</t>
        </is>
      </c>
      <c r="C39" s="70" t="inlineStr">
        <is>
          <t>VisualRoot/BunnyRig/FeetRoot/FootJointR/Model</t>
        </is>
      </c>
      <c r="D39" s="70" t="inlineStr">
        <is>
          <t>FeetRoot</t>
        </is>
      </c>
      <c r="E39" s="70" t="inlineStr">
        <is>
          <t>assets/art/characters/player/chr_player_capsule01_3d/variants/bunny01/components/chr_player_capsule01_bunny01_foot_r_top3d_v006.glb</t>
        </is>
      </c>
      <c r="F39" s="70" t="inlineStr">
        <is>
          <t>pivot-local GLB / 1.5m比例</t>
        </is>
      </c>
      <c r="G39" s="70" t="inlineStr">
        <is>
          <t>(0.129002,0,-0.010887)</t>
        </is>
      </c>
      <c r="H39" s="70" t="inlineStr">
        <is>
          <t>独立FootJointR</t>
        </is>
      </c>
      <c r="I39" s="70" t="n">
        <v>1</v>
      </c>
      <c r="J39" s="70" t="inlineStr">
        <is>
          <t>moving右脚/翻滚收腿/受击甩脚/falling收腿/landing压缩</t>
        </is>
      </c>
      <c r="K39" s="70" t="inlineStr">
        <is>
          <t>右脚组件</t>
        </is>
      </c>
      <c r="L39" s="70" t="inlineStr">
        <is>
          <t>是</t>
        </is>
      </c>
      <c r="M39" s="70" t="inlineStr">
        <is>
          <t>Blender原点：脚底中心；静态最低点Y=0；v0.1复用同一v006网格增加下落与落地程序动作。</t>
        </is>
      </c>
    </row>
    <row r="40">
      <c r="A40" t="inlineStr">
        <is>
          <t>player_capsule01_3d</t>
        </is>
      </c>
      <c r="B40" t="inlineStr">
        <is>
          <t>weapon_stow_primary</t>
        </is>
      </c>
      <c r="C40" t="inlineStr">
        <is>
          <t>VisualRoot/BunnyRig/StowedWeaponSocketPrimary</t>
        </is>
      </c>
      <c r="D40" t="inlineStr">
        <is>
          <t>root</t>
        </is>
      </c>
      <c r="E40" t="inlineStr">
        <is>
          <t>无纹理</t>
        </is>
      </c>
      <c r="F40" t="inlineStr">
        <is>
          <t>Marker3D</t>
        </is>
      </c>
      <c r="G40" t="inlineStr">
        <is>
          <t>(-0.42,1.12,0.25)</t>
        </is>
      </c>
      <c r="H40" t="inlineStr">
        <is>
          <t>随root；local -Z枪口轴转向世界下方</t>
        </is>
      </c>
      <c r="I40" t="inlineStr">
        <is>
          <t>5</t>
        </is>
      </c>
      <c r="J40" t="inlineStr">
        <is>
          <t>主武器未激活时背部左侧收纳</t>
        </is>
      </c>
      <c r="K40" t="inlineStr">
        <is>
          <t>武器系统</t>
        </is>
      </c>
      <c r="L40" t="inlineStr">
        <is>
          <t>是</t>
        </is>
      </c>
      <c r="M40" t="inlineStr">
        <is>
          <t>主武器槽0专属；枪口朝下；回退节点VisualRoot/StowedWeaponSocketPrimary</t>
        </is>
      </c>
    </row>
    <row r="41">
      <c r="A41" t="inlineStr">
        <is>
          <t>player_capsule01_3d</t>
        </is>
      </c>
      <c r="B41" t="inlineStr">
        <is>
          <t>weapon_stow_secondary</t>
        </is>
      </c>
      <c r="C41" t="inlineStr">
        <is>
          <t>VisualRoot/BunnyRig/StowedWeaponSocketSecondary</t>
        </is>
      </c>
      <c r="D41" t="inlineStr">
        <is>
          <t>root</t>
        </is>
      </c>
      <c r="E41" t="inlineStr">
        <is>
          <t>无纹理</t>
        </is>
      </c>
      <c r="F41" t="inlineStr">
        <is>
          <t>Marker3D</t>
        </is>
      </c>
      <c r="G41" t="inlineStr">
        <is>
          <t>(0.42,1.12,0.25)</t>
        </is>
      </c>
      <c r="H41" t="inlineStr">
        <is>
          <t>随root；local -Z枪口轴转向世界下方</t>
        </is>
      </c>
      <c r="I41" t="inlineStr">
        <is>
          <t>5</t>
        </is>
      </c>
      <c r="J41" t="inlineStr">
        <is>
          <t>副武器未激活时背部右侧收纳</t>
        </is>
      </c>
      <c r="K41" t="inlineStr">
        <is>
          <t>武器系统</t>
        </is>
      </c>
      <c r="L41" t="inlineStr">
        <is>
          <t>是</t>
        </is>
      </c>
      <c r="M41" t="inlineStr">
        <is>
          <t>副武器槽1专属；枪口朝下；回退节点VisualRoot/StowedWeaponSocketSecondary</t>
        </is>
      </c>
    </row>
    <row r="42">
      <c r="A42" t="inlineStr">
        <is>
          <t>player_capsule01_3d</t>
        </is>
      </c>
      <c r="B42" t="inlineStr">
        <is>
          <t>backpack_socket</t>
        </is>
      </c>
      <c r="C42" t="inlineStr">
        <is>
          <t>VisualRoot/BunnyRig/BackpackSocket（fallback: VisualRoot/BackpackSocket）</t>
        </is>
      </c>
      <c r="D42" t="inlineStr">
        <is>
          <t>root</t>
        </is>
      </c>
      <c r="E42" t="inlineStr">
        <is>
          <t>无纹理；子模型来自ItemModelFactory3D</t>
        </is>
      </c>
      <c r="F42" t="inlineStr">
        <is>
          <t>Marker3D + 程序Mesh</t>
        </is>
      </c>
      <c r="G42" t="inlineStr">
        <is>
          <t>bunny (0,0.74,0.30)；fallback (0,1.25,0.48)</t>
        </is>
      </c>
      <c r="H42" t="inlineStr">
        <is>
          <t>继承VisualRoot朝向</t>
        </is>
      </c>
      <c r="I42" t="n">
        <v>3</v>
      </c>
      <c r="J42" t="inlineStr">
        <is>
          <t>装备时生成背包占位Mesh；卸下时移除</t>
        </is>
      </c>
      <c r="K42" t="inlineStr">
        <is>
          <t>背包装备系统</t>
        </is>
      </c>
      <c r="L42" t="inlineStr">
        <is>
          <t>是</t>
        </is>
      </c>
      <c r="M42" t="inlineStr">
        <is>
          <t>与StowedWeaponSocketPrimary/Secondary分离；2/4/8格共用模型工厂；无碰撞；verify_backpack_equipment_flow与Metal/OpenGL实机渲染通过。</t>
        </is>
      </c>
    </row>
    <row r="43">
      <c r="A43" t="inlineStr">
        <is>
          <t>player_capsule01_bunny01_3d</t>
        </is>
      </c>
      <c r="B43" t="inlineStr">
        <is>
          <t>lower_body_socket</t>
        </is>
      </c>
      <c r="C43" t="inlineStr">
        <is>
          <t>VisualRoot/BunnyRig/BodyJoint/LowerBodySocket（fallback: VisualRoot/Body/LowerBodySocket）</t>
        </is>
      </c>
      <c r="D43" t="inlineStr">
        <is>
          <t>body</t>
        </is>
      </c>
      <c r="E43" t="inlineStr">
        <is>
          <t>无纹理</t>
        </is>
      </c>
      <c r="F43" t="inlineStr">
        <is>
          <t>Marker3D</t>
        </is>
      </c>
      <c r="G43" t="inlineStr">
        <is>
          <t>bunny Body local (0,0.14,0)；fallback Body local (0,-0.36,0)</t>
        </is>
      </c>
      <c r="H43" t="inlineStr">
        <is>
          <t>继承BodyJoint位置/旋转/缩放</t>
        </is>
      </c>
      <c r="I43" t="n">
        <v>2</v>
      </c>
      <c r="J43" t="inlineStr">
        <is>
          <t>裙摆/腰甲/下摆继承全部身体状态与动作覆盖</t>
        </is>
      </c>
      <c r="K43" t="inlineStr">
        <is>
          <t>下身配件挂点</t>
        </is>
      </c>
      <c r="L43" t="inlineStr">
        <is>
          <t>是</t>
        </is>
      </c>
      <c r="M43" t="inlineStr">
        <is>
          <t>presentation_only；无碰撞；不改变玩法；专项验证 verify_player3d_lower_body_socket_flow.tscn。</t>
        </is>
      </c>
    </row>
  </sheetData>
  <mergeCells count="2">
    <mergeCell ref="A1:M2"/>
    <mergeCell ref="A3:M3"/>
  </mergeCells>
  <dataValidations count="1">
    <dataValidation sqref="L6:L13" showDropDown="0" showInputMessage="0" showErrorMessage="0" allowBlank="0" type="list">
      <formula1>"是,否"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24" customWidth="1" min="4" max="4"/>
    <col width="30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42" customWidth="1" min="12" max="12"/>
  </cols>
  <sheetData>
    <row r="1" ht="25" customHeight="1">
      <c r="A1" s="3" t="inlineStr">
        <is>
          <t>玩家状态机 × 美术组件映射</t>
        </is>
      </c>
    </row>
    <row r="2" ht="12" customHeight="1"/>
    <row r="3" ht="74" customHeight="1">
      <c r="A3" s="96" t="inlineStr">
        <is>
          <t>Player3D 八态状态机 × 组件表现（falling/landing为真实垂直物理顶层状态）</t>
        </is>
      </c>
    </row>
    <row r="4">
      <c r="A4" s="70" t="n"/>
      <c r="B4" s="70" t="n"/>
      <c r="C4" s="70" t="n"/>
      <c r="D4" s="70" t="n"/>
      <c r="E4" s="70" t="n"/>
      <c r="F4" s="70" t="n"/>
      <c r="G4" s="70" t="n"/>
      <c r="H4" s="70" t="n"/>
      <c r="I4" s="70" t="n"/>
      <c r="J4" s="70" t="n"/>
      <c r="K4" s="70" t="n"/>
      <c r="L4" s="70" t="n"/>
    </row>
    <row r="5" ht="32" customHeight="1">
      <c r="A5" s="28" t="inlineStr">
        <is>
          <t>层级</t>
        </is>
      </c>
      <c r="B5" s="29" t="inlineStr">
        <is>
          <t>状态ID</t>
        </is>
      </c>
      <c r="C5" s="29" t="inlineStr">
        <is>
          <t>中文名</t>
        </is>
      </c>
      <c r="D5" s="29" t="inlineStr">
        <is>
          <t>允许来源</t>
        </is>
      </c>
      <c r="E5" s="29" t="inlineStr">
        <is>
          <t>允许去向</t>
        </is>
      </c>
      <c r="F5" s="29" t="inlineStr">
        <is>
          <t>Body</t>
        </is>
      </c>
      <c r="G5" s="29" t="inlineStr">
        <is>
          <t>Head</t>
        </is>
      </c>
      <c r="H5" s="29" t="inlineStr">
        <is>
          <t>Hand L</t>
        </is>
      </c>
      <c r="I5" s="29" t="inlineStr">
        <is>
          <t>Hand R / WeaponSocket</t>
        </is>
      </c>
      <c r="J5" s="29" t="inlineStr">
        <is>
          <t>Scarf</t>
        </is>
      </c>
      <c r="K5" s="29" t="inlineStr">
        <is>
          <t>VFX/UI</t>
        </is>
      </c>
      <c r="L5" s="30" t="inlineStr">
        <is>
          <t>首版实现</t>
        </is>
      </c>
    </row>
    <row r="6" ht="58" customHeight="1">
      <c r="A6" s="100" t="inlineStr">
        <is>
          <t>顶层</t>
        </is>
      </c>
      <c r="B6" s="100" t="inlineStr">
        <is>
          <t>idle</t>
        </is>
      </c>
      <c r="C6" s="100" t="inlineStr">
        <is>
          <t>待命</t>
        </is>
      </c>
      <c r="D6" s="100" t="inlineStr">
        <is>
          <t>start/moving/hurt/locked/landing</t>
        </is>
      </c>
      <c r="E6" s="100" t="inlineStr">
        <is>
          <t>moving,dashing,hurt,locked,falling,dead</t>
        </is>
      </c>
      <c r="F6" s="100" t="inlineStr">
        <is>
          <t>约2.38s呼吸挤压；半速重心换脚；躯干轻微侧移</t>
        </is>
      </c>
      <c r="G6" s="100" t="inlineStr">
        <is>
          <t>与身体反相缩放；反向滞后保持头重感</t>
        </is>
      </c>
      <c r="H6" s="100" t="inlineStr">
        <is>
          <t>手枪自由左手轻摆；长枪左手保持托举</t>
        </is>
      </c>
      <c r="I6" s="100" t="inlineStr">
        <is>
          <t>握持手与 WeaponSocket 同步稳定呼吸，不脱离握把</t>
        </is>
      </c>
      <c r="J6" s="100" t="inlineStr">
        <is>
          <t>低频错相轻摆</t>
        </is>
      </c>
      <c r="K6" s="100" t="inlineStr">
        <is>
          <t>HUD 待命；无新增VFX</t>
        </is>
      </c>
      <c r="L6" s="100" t="inlineStr">
        <is>
          <t>八态 StateMachine 的 idle 唯一驱动；idle_cycle 推进呼吸/换脚；双耳错相并偶发单耳轻弹；moving 本帧归零，停下后恢复</t>
        </is>
      </c>
    </row>
    <row r="7">
      <c r="A7" s="101" t="inlineStr">
        <is>
          <t>顶层</t>
        </is>
      </c>
      <c r="B7" s="101" t="inlineStr">
        <is>
          <t>moving</t>
        </is>
      </c>
      <c r="C7" s="101" t="inlineStr">
        <is>
          <t>机动</t>
        </is>
      </c>
      <c r="D7" s="101" t="inlineStr">
        <is>
          <t>idle/dashing/hurt/locked/landing</t>
        </is>
      </c>
      <c r="E7" s="101" t="inlineStr">
        <is>
          <t>idle,dashing,hurt,locked,falling,dead</t>
        </is>
      </c>
      <c r="F7" s="101" t="inlineStr">
        <is>
          <t>位移驱动弹跳/压缩回弹</t>
        </is>
      </c>
      <c r="G7" s="101" t="inlineStr">
        <is>
          <t>较小反相滞后</t>
        </is>
      </c>
      <c r="H7" s="101" t="inlineStr">
        <is>
          <t>手枪自由左手大幅反摆；长枪左手锁定托举</t>
        </is>
      </c>
      <c r="I7" s="101" t="inlineStr">
        <is>
          <t>手枪右手与右侧挂点紧凑起伏；长枪双手/挂点收胸跑</t>
        </is>
      </c>
      <c r="J7" s="101" t="inlineStr">
        <is>
          <t>周期滞后</t>
        </is>
      </c>
      <c r="K7" s="101" t="inlineStr">
        <is>
          <t>地面划痕</t>
        </is>
      </c>
      <c r="L7" s="101" t="inlineStr">
        <is>
          <t>位移驱动独立循环；WeaponPoseFSM 进入 sidearm_run 或 longgun_run；双脚交替，单手/双手剪影分离</t>
        </is>
      </c>
    </row>
    <row r="8" ht="56" customHeight="1">
      <c r="A8" s="101" t="inlineStr">
        <is>
          <t>顶层</t>
        </is>
      </c>
      <c r="B8" s="101" t="inlineStr">
        <is>
          <t>dashing</t>
        </is>
      </c>
      <c r="C8" s="101" t="inlineStr">
        <is>
          <t>突进</t>
        </is>
      </c>
      <c r="D8" s="101" t="inlineStr">
        <is>
          <t>idle/moving</t>
        </is>
      </c>
      <c r="E8" s="101" t="inlineStr">
        <is>
          <t>idle,moving,hurt,locked,falling,dead</t>
        </is>
      </c>
      <c r="F8" s="101" t="inlineStr">
        <is>
          <t>压缩成团并绕半高轴完整前滚</t>
        </is>
      </c>
      <c r="G8" s="101" t="inlineStr">
        <is>
          <t>随整体轴心翻滚，耳朵大幅后压</t>
        </is>
      </c>
      <c r="H8" s="101" t="inlineStr">
        <is>
          <t>按当前武器握持数收束；自由左手随整体抱团</t>
        </is>
      </c>
      <c r="I8" s="101" t="inlineStr">
        <is>
          <t>右手握把与 WeaponSocket 同轴完整翻滚</t>
        </is>
      </c>
      <c r="J8" s="101" t="inlineStr">
        <is>
          <t>随整体收束</t>
        </is>
      </c>
      <c r="K8" s="101" t="inlineStr">
        <is>
          <t>青色尾迹</t>
        </is>
      </c>
      <c r="L8" s="101" t="inlineStr">
        <is>
          <t>0.17s 内完成 360° 本地X前滚；用半高轴心补偿避免钻地；夸张压缩与抛物线位移</t>
        </is>
      </c>
    </row>
    <row r="9" ht="56" customHeight="1">
      <c r="A9" s="101" t="inlineStr">
        <is>
          <t>顶层</t>
        </is>
      </c>
      <c r="B9" s="101" t="inlineStr">
        <is>
          <t>hurt</t>
        </is>
      </c>
      <c r="C9" s="101" t="inlineStr">
        <is>
          <t>受创</t>
        </is>
      </c>
      <c r="D9" s="101" t="inlineStr">
        <is>
          <t>任意存活态</t>
        </is>
      </c>
      <c r="E9" s="101" t="inlineStr">
        <is>
          <t>idle,moving,locked,falling,dead</t>
        </is>
      </c>
      <c r="F9" s="101" t="inlineStr">
        <is>
          <t>三段压扁/抬起/过冲回正</t>
        </is>
      </c>
      <c r="G9" s="101" t="inlineStr">
        <is>
          <t>大幅后仰甩头 + 反向过冲</t>
        </is>
      </c>
      <c r="H9" s="101" t="inlineStr">
        <is>
          <t>手枪左手自由外甩；长枪左手回护木</t>
        </is>
      </c>
      <c r="I9" s="101" t="inlineStr">
        <is>
          <t>右手/WeaponSocket 同相后退，握把不脱离</t>
        </is>
      </c>
      <c r="J9" s="101" t="inlineStr">
        <is>
          <t>冲击滞后</t>
        </is>
      </c>
      <c r="K9" s="101" t="inlineStr">
        <is>
          <t>红闪/击退轨迹</t>
        </is>
      </c>
      <c r="L9" s="101" t="inlineStr">
        <is>
          <t>真实命中方向 + 受击进度关键姿势；头、双脚、双耳使用独立夸张回弹</t>
        </is>
      </c>
    </row>
    <row r="10">
      <c r="A10" s="101" t="inlineStr">
        <is>
          <t>顶层</t>
        </is>
      </c>
      <c r="B10" s="101" t="inlineStr">
        <is>
          <t>locked</t>
        </is>
      </c>
      <c r="C10" s="101" t="inlineStr">
        <is>
          <t>交互锁定</t>
        </is>
      </c>
      <c r="D10" s="101" t="inlineStr">
        <is>
          <t>任意存活态/landing</t>
        </is>
      </c>
      <c r="E10" s="101" t="inlineStr">
        <is>
          <t>idle,moving,hurt,falling,dead</t>
        </is>
      </c>
      <c r="F10" s="101" t="inlineStr">
        <is>
          <t>降亮稳定</t>
        </is>
      </c>
      <c r="G10" s="101" t="inlineStr">
        <is>
          <t>稳定</t>
        </is>
      </c>
      <c r="H10" s="101" t="inlineStr">
        <is>
          <t>稳定</t>
        </is>
      </c>
      <c r="I10" s="101" t="inlineStr">
        <is>
          <t>保持握持</t>
        </is>
      </c>
      <c r="J10" s="101" t="inlineStr">
        <is>
          <t>低摆</t>
        </is>
      </c>
      <c r="K10" s="101" t="inlineStr">
        <is>
          <t>琥珀锁定环</t>
        </is>
      </c>
      <c r="L10" s="101" t="inlineStr">
        <is>
          <t>降亮 + 锁定环；保持刚性层级</t>
        </is>
      </c>
    </row>
    <row r="11" ht="92" customHeight="1">
      <c r="A11" s="101" t="inlineStr">
        <is>
          <t>顶层</t>
        </is>
      </c>
      <c r="B11" s="101" t="inlineStr">
        <is>
          <t>falling</t>
        </is>
      </c>
      <c r="C11" s="101" t="inlineStr">
        <is>
          <t>下落</t>
        </is>
      </c>
      <c r="D11" s="101" t="inlineStr">
        <is>
          <t>idle/moving/dashing/hurt/locked</t>
        </is>
      </c>
      <c r="E11" s="101" t="inlineStr">
        <is>
          <t>landing,hurt,dead</t>
        </is>
      </c>
      <c r="F11" s="101" t="inlineStr">
        <is>
          <t>随下落速度轻微纵向拉长</t>
        </is>
      </c>
      <c r="G11" s="101" t="inlineStr">
        <is>
          <t>滞后上扬，保持头重感</t>
        </is>
      </c>
      <c r="H11" s="101" t="inlineStr">
        <is>
          <t>手枪自由手收束；长枪托举手不脱离</t>
        </is>
      </c>
      <c r="I11" s="101" t="inlineStr">
        <is>
          <t>握持手与WeaponSocket保持同相</t>
        </is>
      </c>
      <c r="J11" s="101" t="inlineStr">
        <is>
          <t>向上滞后</t>
        </is>
      </c>
      <c r="K11" s="101" t="inlineStr">
        <is>
          <t>无新增VFX</t>
        </is>
      </c>
      <c r="L11" s="101" t="inlineStr">
        <is>
          <t>真实重力+0.10s离地容错；双脚收起、双耳后压；楼梯接缝不误触发</t>
        </is>
      </c>
    </row>
    <row r="12" ht="92" customHeight="1">
      <c r="A12" s="101" t="inlineStr">
        <is>
          <t>顶层</t>
        </is>
      </c>
      <c r="B12" s="101" t="inlineStr">
        <is>
          <t>landing</t>
        </is>
      </c>
      <c r="C12" s="101" t="inlineStr">
        <is>
          <t>落地</t>
        </is>
      </c>
      <c r="D12" s="101" t="inlineStr">
        <is>
          <t>falling</t>
        </is>
      </c>
      <c r="E12" s="101" t="inlineStr">
        <is>
          <t>idle,moving,locked,falling,hurt,dead</t>
        </is>
      </c>
      <c r="F12" s="101" t="inlineStr">
        <is>
          <t>按冲击速度压缩并回弹</t>
        </is>
      </c>
      <c r="G12" s="101" t="inlineStr">
        <is>
          <t>轻微下压后恢复</t>
        </is>
      </c>
      <c r="H12" s="101" t="inlineStr">
        <is>
          <t>随整体吸收冲击</t>
        </is>
      </c>
      <c r="I12" s="101" t="inlineStr">
        <is>
          <t>握持手与WeaponSocket同相稳定</t>
        </is>
      </c>
      <c r="J12" s="101" t="inlineStr">
        <is>
          <t>短促回摆</t>
        </is>
      </c>
      <c r="K12" s="101" t="inlineStr">
        <is>
          <t>落地停顿</t>
        </is>
      </c>
      <c r="L12" s="101" t="inlineStr">
        <is>
          <t>冲击速度映射0.12—0.30s硬直；状态计时结束后恢复地面移动</t>
        </is>
      </c>
    </row>
    <row r="13">
      <c r="A13" s="101" t="inlineStr">
        <is>
          <t>顶层</t>
        </is>
      </c>
      <c r="B13" s="101" t="inlineStr">
        <is>
          <t>dead</t>
        </is>
      </c>
      <c r="C13" s="101" t="inlineStr">
        <is>
          <t>生命终止</t>
        </is>
      </c>
      <c r="D13" s="101" t="inlineStr">
        <is>
          <t>任意存活态</t>
        </is>
      </c>
      <c r="E13" s="101" t="inlineStr">
        <is>
          <t>无（终态）</t>
        </is>
      </c>
      <c r="F13" s="101" t="inlineStr">
        <is>
          <t>按最后受击方向水平击飞并上抛；落地弹起一次后侧倒</t>
        </is>
      </c>
      <c r="G13" s="101" t="inlineStr">
        <is>
          <t>随身体滞后后仰，回弹后贴地</t>
        </is>
      </c>
      <c r="H13" s="101" t="inlineStr">
        <is>
          <t>随击飞惯性展开，回弹时收束</t>
        </is>
      </c>
      <c r="I13" s="101" t="inlineStr">
        <is>
          <t>武器握持层随整体击飞/回弹/侧倒</t>
        </is>
      </c>
      <c r="J13" s="101" t="inlineStr">
        <is>
          <t>惯性拖尾后停止</t>
        </is>
      </c>
      <c r="K13" s="101" t="inlineStr">
        <is>
          <t>1.35秒后显示点击返99F确认框</t>
        </is>
      </c>
      <c r="L13" s="101" t="inlineStr">
        <is>
          <t>真实CharacterBody3D速度+重力；death_animation_finished仅通知表现完成，点击后结算</t>
        </is>
      </c>
    </row>
    <row r="14">
      <c r="A14" s="101" t="inlineStr">
        <is>
          <t>叠加</t>
        </is>
      </c>
      <c r="B14" s="101" t="inlineStr">
        <is>
          <t>low_health</t>
        </is>
      </c>
      <c r="C14" s="101" t="inlineStr">
        <is>
          <t>低血</t>
        </is>
      </c>
      <c r="D14" s="101" t="inlineStr">
        <is>
          <t>任意存活态</t>
        </is>
      </c>
      <c r="E14" s="101" t="inlineStr">
        <is>
          <t>不改变顶层</t>
        </is>
      </c>
      <c r="F14" s="101" t="inlineStr">
        <is>
          <t>不变</t>
        </is>
      </c>
      <c r="G14" s="101" t="inlineStr">
        <is>
          <t>不变</t>
        </is>
      </c>
      <c r="H14" s="101" t="inlineStr">
        <is>
          <t>保持当前动作</t>
        </is>
      </c>
      <c r="I14" s="101" t="inlineStr">
        <is>
          <t>保持当前动作</t>
        </is>
      </c>
      <c r="J14" s="101" t="inlineStr">
        <is>
          <t>不变</t>
        </is>
      </c>
      <c r="K14" s="101" t="inlineStr">
        <is>
          <t>红色呼吸环</t>
        </is>
      </c>
      <c r="L14" s="101" t="inlineStr">
        <is>
          <t>HP≤30%</t>
        </is>
      </c>
    </row>
    <row r="15" ht="56" customHeight="1">
      <c r="A15" s="70" t="inlineStr">
        <is>
          <t>叠加</t>
        </is>
      </c>
      <c r="B15" s="70" t="inlineStr">
        <is>
          <t>silenced</t>
        </is>
      </c>
      <c r="C15" s="70" t="inlineStr">
        <is>
          <t>沉默</t>
        </is>
      </c>
      <c r="D15" s="70" t="inlineStr">
        <is>
          <t>任意存活态</t>
        </is>
      </c>
      <c r="E15" s="70" t="inlineStr">
        <is>
          <t>不改变顶层</t>
        </is>
      </c>
      <c r="F15" s="70" t="inlineStr">
        <is>
          <t>降饱和可选</t>
        </is>
      </c>
      <c r="G15" s="70" t="inlineStr">
        <is>
          <t>传感器干扰</t>
        </is>
      </c>
      <c r="H15" s="70" t="inlineStr">
        <is>
          <t>保持当前动作</t>
        </is>
      </c>
      <c r="I15" s="70" t="inlineStr">
        <is>
          <t>保持当前动作</t>
        </is>
      </c>
      <c r="J15" s="70" t="inlineStr">
        <is>
          <t>不变</t>
        </is>
      </c>
      <c r="K15" s="70" t="inlineStr">
        <is>
          <t>紫色干扰环</t>
        </is>
      </c>
      <c r="L15" s="70" t="inlineStr">
        <is>
          <t>计时标志</t>
        </is>
      </c>
    </row>
    <row r="16" ht="28" customHeight="1">
      <c r="A16" s="97" t="inlineStr">
        <is>
          <t>叠加</t>
        </is>
      </c>
      <c r="B16" s="97" t="inlineStr">
        <is>
          <t>invincible</t>
        </is>
      </c>
      <c r="C16" s="97" t="inlineStr">
        <is>
          <t>无敌</t>
        </is>
      </c>
      <c r="D16" s="97" t="inlineStr">
        <is>
          <t>dash/hurt</t>
        </is>
      </c>
      <c r="E16" s="97" t="inlineStr">
        <is>
          <t>不改变顶层</t>
        </is>
      </c>
      <c r="F16" s="97" t="inlineStr">
        <is>
          <t>闪烁</t>
        </is>
      </c>
      <c r="G16" s="97" t="inlineStr">
        <is>
          <t>闪烁</t>
        </is>
      </c>
      <c r="H16" s="97" t="inlineStr">
        <is>
          <t>保持当前动作</t>
        </is>
      </c>
      <c r="I16" s="97" t="inlineStr">
        <is>
          <t>保持当前动作</t>
        </is>
      </c>
      <c r="J16" s="97" t="inlineStr">
        <is>
          <t>闪烁</t>
        </is>
      </c>
      <c r="K16" s="97" t="inlineStr">
        <is>
          <t>透明闪烁</t>
        </is>
      </c>
      <c r="L16" s="97" t="inlineStr">
        <is>
          <t>InvincibleTimer 唯一解除</t>
        </is>
      </c>
    </row>
    <row r="17" ht="36" customHeight="1">
      <c r="A17" s="70" t="inlineStr">
        <is>
          <t>叠加</t>
        </is>
      </c>
      <c r="B17" s="70" t="inlineStr">
        <is>
          <t>reloading</t>
        </is>
      </c>
      <c r="C17" s="70" t="inlineStr">
        <is>
          <t>换弹</t>
        </is>
      </c>
      <c r="D17" s="70" t="inlineStr">
        <is>
          <t>任意持枪存活态</t>
        </is>
      </c>
      <c r="E17" s="70" t="inlineStr">
        <is>
          <t>不改变顶层；完成/取消退出</t>
        </is>
      </c>
      <c r="F17" s="70" t="inlineStr">
        <is>
          <t>保持当前顶层</t>
        </is>
      </c>
      <c r="G17" s="70" t="inlineStr">
        <is>
          <t>保持当前顶层</t>
        </is>
      </c>
      <c r="H17" s="70" t="inlineStr">
        <is>
          <t>手枪左手近身取弹但不计握持；长枪左手离开护木服务</t>
        </is>
      </c>
      <c r="I17" s="70" t="inlineStr">
        <is>
          <t>右手持续握把并跟随 WeaponSocket 下压/回位</t>
        </is>
      </c>
      <c r="J17" s="70" t="inlineStr">
        <is>
          <t>保持当前顶层</t>
        </is>
      </c>
      <c r="K17" s="70" t="inlineStr">
        <is>
          <t>3D头顶billboard进度条；HUD弹药栏</t>
        </is>
      </c>
      <c r="L17" s="70" t="inlineStr">
        <is>
          <t>WeaponModel3D 唯一计时源；WeaponPoseFSM 进入 sidearm_reload/longgun_reload；右手保持握把，左手按武器类型服务</t>
        </is>
      </c>
    </row>
    <row r="18" ht="42" customHeight="1">
      <c r="A18" s="70" t="inlineStr">
        <is>
          <t>Enemy3D 九态状态机 × 模块表现 × 模型轮廓碰撞</t>
        </is>
      </c>
    </row>
    <row r="19" ht="42" customHeight="1">
      <c r="A19" s="70" t="inlineStr">
        <is>
          <t>层级</t>
        </is>
      </c>
      <c r="B19" s="70" t="inlineStr">
        <is>
          <t>状态ID</t>
        </is>
      </c>
      <c r="C19" s="70" t="inlineStr">
        <is>
          <t>中文名</t>
        </is>
      </c>
      <c r="D19" s="70" t="inlineStr">
        <is>
          <t>允许来源</t>
        </is>
      </c>
      <c r="E19" s="70" t="inlineStr">
        <is>
          <t>允许去向</t>
        </is>
      </c>
      <c r="F19" s="70" t="inlineStr">
        <is>
          <t>Core</t>
        </is>
      </c>
      <c r="G19" s="70" t="inlineStr">
        <is>
          <t>Shell</t>
        </is>
      </c>
      <c r="H19" s="70" t="inlineStr">
        <is>
          <t>Appendages</t>
        </is>
      </c>
      <c r="I19" s="70" t="inlineStr">
        <is>
          <t>StateVFX</t>
        </is>
      </c>
      <c r="J19" s="70" t="inlineStr">
        <is>
          <t>行为职责</t>
        </is>
      </c>
      <c r="K19" s="70" t="inlineStr">
        <is>
          <t>验收</t>
        </is>
      </c>
      <c r="L19" s="70" t="inlineStr">
        <is>
          <t>首版实现</t>
        </is>
      </c>
    </row>
    <row r="20" ht="42" customHeight="1">
      <c r="A20" s="70" t="inlineStr">
        <is>
          <t>顶层</t>
        </is>
      </c>
      <c r="B20" s="70" t="inlineStr">
        <is>
          <t>idle</t>
        </is>
      </c>
      <c r="C20" s="70" t="inlineStr">
        <is>
          <t>待机</t>
        </is>
      </c>
      <c r="D20" s="70" t="inlineStr">
        <is>
          <t>start/patrol/stagger</t>
        </is>
      </c>
      <c r="E20" s="70" t="inlineStr">
        <is>
          <t>patrol/alert/dead</t>
        </is>
      </c>
      <c r="F20" s="70" t="inlineStr">
        <is>
          <t>低频脉冲</t>
        </is>
      </c>
      <c r="G20" s="70" t="inlineStr">
        <is>
          <t>轻浮动</t>
        </is>
      </c>
      <c r="H20" s="70" t="inlineStr">
        <is>
          <t>低速</t>
        </is>
      </c>
      <c r="I20" s="70" t="inlineStr">
        <is>
          <t>关闭</t>
        </is>
      </c>
      <c r="J20" s="70" t="inlineStr">
        <is>
          <t>等待目标</t>
        </is>
      </c>
      <c r="K20" s="70" t="inlineStr">
        <is>
          <t>静态轮廓可读</t>
        </is>
      </c>
      <c r="L20" s="70" t="inlineStr">
        <is>
          <t>模块变换</t>
        </is>
      </c>
    </row>
    <row r="21" ht="42" customHeight="1">
      <c r="A21" s="70" t="inlineStr">
        <is>
          <t>顶层</t>
        </is>
      </c>
      <c r="B21" s="70" t="inlineStr">
        <is>
          <t>patrol</t>
        </is>
      </c>
      <c r="C21" s="70" t="inlineStr">
        <is>
          <t>巡逻</t>
        </is>
      </c>
      <c r="D21" s="70" t="inlineStr">
        <is>
          <t>idle/search</t>
        </is>
      </c>
      <c r="E21" s="70" t="inlineStr">
        <is>
          <t>idle/alert/stagger/dead</t>
        </is>
      </c>
      <c r="F21" s="70" t="inlineStr">
        <is>
          <t>低频脉冲</t>
        </is>
      </c>
      <c r="G21" s="70" t="inlineStr">
        <is>
          <t>朝巡逻点</t>
        </is>
      </c>
      <c r="H21" s="70" t="inlineStr">
        <is>
          <t>慢速步态</t>
        </is>
      </c>
      <c r="I21" s="70" t="inlineStr">
        <is>
          <t>关闭</t>
        </is>
      </c>
      <c r="J21" s="70" t="inlineStr">
        <is>
          <t>出生点附近巡逻</t>
        </is>
      </c>
      <c r="K21" s="70" t="inlineStr">
        <is>
          <t>无目标不原地僵住</t>
        </is>
      </c>
      <c r="L21" s="70" t="inlineStr">
        <is>
          <t>CharacterBody3D</t>
        </is>
      </c>
    </row>
    <row r="22" ht="42" customHeight="1">
      <c r="A22" s="70" t="inlineStr">
        <is>
          <t>顶层</t>
        </is>
      </c>
      <c r="B22" s="70" t="inlineStr">
        <is>
          <t>alert</t>
        </is>
      </c>
      <c r="C22" s="70" t="inlineStr">
        <is>
          <t>警觉</t>
        </is>
      </c>
      <c r="D22" s="70" t="inlineStr">
        <is>
          <t>idle/patrol/search</t>
        </is>
      </c>
      <c r="E22" s="70" t="inlineStr">
        <is>
          <t>chase/stagger/dead</t>
        </is>
      </c>
      <c r="F22" s="70" t="inlineStr">
        <is>
          <t>加速</t>
        </is>
      </c>
      <c r="G22" s="70" t="inlineStr">
        <is>
          <t>抬升</t>
        </is>
      </c>
      <c r="H22" s="70" t="inlineStr">
        <is>
          <t>展开</t>
        </is>
      </c>
      <c r="I22" s="70" t="inlineStr">
        <is>
          <t>关闭</t>
        </is>
      </c>
      <c r="J22" s="70" t="inlineStr">
        <is>
          <t>发现玩家</t>
        </is>
      </c>
      <c r="K22" s="70" t="inlineStr">
        <is>
          <t>0.28s响应</t>
        </is>
      </c>
      <c r="L22" s="70" t="inlineStr">
        <is>
          <t>模块变换</t>
        </is>
      </c>
    </row>
    <row r="23" ht="42" customHeight="1">
      <c r="A23" s="70" t="inlineStr">
        <is>
          <t>顶层</t>
        </is>
      </c>
      <c r="B23" s="70" t="inlineStr">
        <is>
          <t>chase</t>
        </is>
      </c>
      <c r="C23" s="70" t="inlineStr">
        <is>
          <t>追击</t>
        </is>
      </c>
      <c r="D23" s="70" t="inlineStr">
        <is>
          <t>alert/attack/stagger</t>
        </is>
      </c>
      <c r="E23" s="70" t="inlineStr">
        <is>
          <t>search/telegraph/stagger/dead</t>
        </is>
      </c>
      <c r="F23" s="70" t="inlineStr">
        <is>
          <t>稳定</t>
        </is>
      </c>
      <c r="G23" s="70" t="inlineStr">
        <is>
          <t>朝目标</t>
        </is>
      </c>
      <c r="H23" s="70" t="inlineStr">
        <is>
          <t>步态</t>
        </is>
      </c>
      <c r="I23" s="70" t="inlineStr">
        <is>
          <t>关闭</t>
        </is>
      </c>
      <c r="J23" s="70" t="inlineStr">
        <is>
          <t>距离控制</t>
        </is>
      </c>
      <c r="K23" s="70" t="inlineStr">
        <is>
          <t>七类速度差</t>
        </is>
      </c>
      <c r="L23" s="70" t="inlineStr">
        <is>
          <t>CharacterBody3D</t>
        </is>
      </c>
    </row>
    <row r="24" ht="42" customHeight="1">
      <c r="A24" s="70" t="inlineStr">
        <is>
          <t>顶层</t>
        </is>
      </c>
      <c r="B24" s="70" t="inlineStr">
        <is>
          <t>search</t>
        </is>
      </c>
      <c r="C24" s="70" t="inlineStr">
        <is>
          <t>搜索</t>
        </is>
      </c>
      <c r="D24" s="70" t="inlineStr">
        <is>
          <t>chase</t>
        </is>
      </c>
      <c r="E24" s="70" t="inlineStr">
        <is>
          <t>patrol/alert/stagger/dead</t>
        </is>
      </c>
      <c r="F24" s="70" t="inlineStr">
        <is>
          <t>渐缓</t>
        </is>
      </c>
      <c r="G24" s="70" t="inlineStr">
        <is>
          <t>朝最后位置</t>
        </is>
      </c>
      <c r="H24" s="70" t="inlineStr">
        <is>
          <t>搜索步态</t>
        </is>
      </c>
      <c r="I24" s="70" t="inlineStr">
        <is>
          <t>搜索提示</t>
        </is>
      </c>
      <c r="J24" s="70" t="inlineStr">
        <is>
          <t>失去视线后搜索</t>
        </is>
      </c>
      <c r="K24" s="70" t="inlineStr">
        <is>
          <t>2.4s后回巡逻</t>
        </is>
      </c>
      <c r="L24" s="70" t="inlineStr">
        <is>
          <t>射线+最后位置</t>
        </is>
      </c>
    </row>
    <row r="25">
      <c r="A25" s="70" t="inlineStr">
        <is>
          <t>顶层</t>
        </is>
      </c>
      <c r="B25" s="70" t="inlineStr">
        <is>
          <t>telegraph</t>
        </is>
      </c>
      <c r="C25" s="70" t="inlineStr">
        <is>
          <t>预警</t>
        </is>
      </c>
      <c r="D25" s="70" t="inlineStr">
        <is>
          <t>chase</t>
        </is>
      </c>
      <c r="E25" s="70" t="inlineStr">
        <is>
          <t>attack/stagger/dead</t>
        </is>
      </c>
      <c r="F25" s="70" t="inlineStr">
        <is>
          <t>高频脉冲</t>
        </is>
      </c>
      <c r="G25" s="70" t="inlineStr">
        <is>
          <t>稳定</t>
        </is>
      </c>
      <c r="H25" s="70" t="inlineStr">
        <is>
          <t>蓄势</t>
        </is>
      </c>
      <c r="I25" s="70" t="inlineStr">
        <is>
          <t>红色预警环</t>
        </is>
      </c>
      <c r="J25" s="70" t="inlineStr">
        <is>
          <t>攻击前摇</t>
        </is>
      </c>
      <c r="K25" s="70" t="inlineStr">
        <is>
          <t>不可省略</t>
        </is>
      </c>
      <c r="L25" s="70" t="inlineStr">
        <is>
          <t>计时状态</t>
        </is>
      </c>
    </row>
    <row r="26">
      <c r="A26" s="70" t="inlineStr">
        <is>
          <t>顶层</t>
        </is>
      </c>
      <c r="B26" s="70" t="inlineStr">
        <is>
          <t>attack</t>
        </is>
      </c>
      <c r="C26" s="70" t="inlineStr">
        <is>
          <t>攻击</t>
        </is>
      </c>
      <c r="D26" s="70" t="inlineStr">
        <is>
          <t>telegraph</t>
        </is>
      </c>
      <c r="E26" s="70" t="inlineStr">
        <is>
          <t>chase/stagger/dead</t>
        </is>
      </c>
      <c r="F26" s="70" t="inlineStr">
        <is>
          <t>峰值</t>
        </is>
      </c>
      <c r="G26" s="70" t="inlineStr">
        <is>
          <t>反冲</t>
        </is>
      </c>
      <c r="H26" s="70" t="inlineStr">
        <is>
          <t>执行</t>
        </is>
      </c>
      <c r="I26" s="70" t="inlineStr">
        <is>
          <t>按攻击类型</t>
        </is>
      </c>
      <c r="J26" s="70" t="inlineStr">
        <is>
          <t>近战/远程/召唤/爆炸</t>
        </is>
      </c>
      <c r="K26" s="70" t="inlineStr">
        <is>
          <t>七类差异</t>
        </is>
      </c>
      <c r="L26" s="70" t="inlineStr">
        <is>
          <t>profile策略</t>
        </is>
      </c>
    </row>
    <row r="27">
      <c r="A27" s="70" t="inlineStr">
        <is>
          <t>顶层</t>
        </is>
      </c>
      <c r="B27" s="70" t="inlineStr">
        <is>
          <t>stagger</t>
        </is>
      </c>
      <c r="C27" s="70" t="inlineStr">
        <is>
          <t>硬直</t>
        </is>
      </c>
      <c r="D27" s="70" t="inlineStr">
        <is>
          <t>任意存活态</t>
        </is>
      </c>
      <c r="E27" s="70" t="inlineStr">
        <is>
          <t>chase/dead</t>
        </is>
      </c>
      <c r="F27" s="70" t="inlineStr">
        <is>
          <t>闪色</t>
        </is>
      </c>
      <c r="G27" s="70" t="inlineStr">
        <is>
          <t>冲击</t>
        </is>
      </c>
      <c r="H27" s="70" t="inlineStr">
        <is>
          <t>暂停</t>
        </is>
      </c>
      <c r="I27" s="70" t="inlineStr">
        <is>
          <t>伤害反馈</t>
        </is>
      </c>
      <c r="J27" s="70" t="inlineStr">
        <is>
          <t>受击窗口</t>
        </is>
      </c>
      <c r="K27" s="70" t="inlineStr">
        <is>
          <t>方向可读</t>
        </is>
      </c>
      <c r="L27" s="70" t="inlineStr">
        <is>
          <t>统一伤害入口</t>
        </is>
      </c>
    </row>
    <row r="28" ht="38" customHeight="1">
      <c r="A28" s="102" t="inlineStr">
        <is>
          <t>顶层</t>
        </is>
      </c>
      <c r="B28" s="102" t="inlineStr">
        <is>
          <t>dead</t>
        </is>
      </c>
      <c r="C28" s="102" t="inlineStr">
        <is>
          <t>死亡</t>
        </is>
      </c>
      <c r="D28" s="102" t="inlineStr">
        <is>
          <t>任意存活态</t>
        </is>
      </c>
      <c r="E28" s="102" t="inlineStr">
        <is>
          <t>无（终态）</t>
        </is>
      </c>
      <c r="F28" s="102" t="inlineStr">
        <is>
          <t>熄灭</t>
        </is>
      </c>
      <c r="G28" s="102" t="inlineStr">
        <is>
          <t>压扁</t>
        </is>
      </c>
      <c r="H28" s="102" t="inlineStr">
        <is>
          <t>停止</t>
        </is>
      </c>
      <c r="I28" s="102" t="inlineStr">
        <is>
          <t>爆散/淡出</t>
        </is>
      </c>
      <c r="J28" s="102" t="inlineStr">
        <is>
          <t>掉落与计数</t>
        </is>
      </c>
      <c r="K28" s="102" t="inlineStr">
        <is>
          <t>不可回存活态</t>
        </is>
      </c>
      <c r="L28" s="102" t="inlineStr">
        <is>
          <t>终态 + Tween</t>
        </is>
      </c>
    </row>
    <row r="29" ht="38" customHeight="1">
      <c r="A29" s="103" t="n"/>
      <c r="B29" s="103" t="n"/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</row>
    <row r="30" ht="56" customHeight="1">
      <c r="A30" s="70" t="inlineStr">
        <is>
          <t>Player3D 动作覆盖层 × 组件表现（不新增顶层状态）</t>
        </is>
      </c>
    </row>
    <row r="31" ht="56" customHeight="1">
      <c r="A31" s="70" t="inlineStr">
        <is>
          <t>层级｜状态ID｜中文名｜唯一来源｜退出｜Body｜Head｜Hand L（停用）｜Hand（握持）｜Scarf｜VFX/UI｜首版实现</t>
        </is>
      </c>
    </row>
    <row r="32" ht="56" customHeight="1">
      <c r="A32" s="70" t="inlineStr">
        <is>
          <t>叠加</t>
        </is>
      </c>
      <c r="B32" s="70" t="inlineStr">
        <is>
          <t>firing</t>
        </is>
      </c>
      <c r="C32" s="70" t="inlineStr">
        <is>
          <t>射击</t>
        </is>
      </c>
      <c r="D32" s="70" t="inlineStr">
        <is>
          <t>WeaponModel3D.shot_fired</t>
        </is>
      </c>
      <c r="E32" s="70" t="inlineStr">
        <is>
          <t>短时回弹后退出</t>
        </is>
      </c>
      <c r="F32" s="70" t="inlineStr">
        <is>
          <t>前探/压缩/弹性回弹</t>
        </is>
      </c>
      <c r="G32" s="70" t="inlineStr">
        <is>
          <t>小幅前探</t>
        </is>
      </c>
      <c r="H32" s="70" t="inlineStr">
        <is>
          <t>手枪左手不继承后坐；长枪左手托举并小幅刚性回弹</t>
        </is>
      </c>
      <c r="I32" s="70" t="inlineStr">
        <is>
          <t>右手握把跟随 WeaponSocket；手枪单腕上挑，长枪双手与躯干共同吃后坐</t>
        </is>
      </c>
      <c r="J32" s="70" t="inlineStr">
        <is>
          <t>受冲量轻摆</t>
        </is>
      </c>
      <c r="K32" s="70" t="inlineStr">
        <is>
          <t>枪口闪光/后坐</t>
        </is>
      </c>
      <c r="L32" s="70" t="inlineStr">
        <is>
          <t>真实 shot_fired 信号；WeaponPoseFSM 进入 sidearm_fire/longgun_fire；七种枪体读取独立 fire_style、kick、pitch、roll、lift 参数</t>
        </is>
      </c>
    </row>
    <row r="33">
      <c r="A33" s="70" t="inlineStr">
        <is>
          <t>叠加</t>
        </is>
      </c>
      <c r="B33" s="70" t="inlineStr">
        <is>
          <t>charging</t>
        </is>
      </c>
      <c r="C33" s="70" t="inlineStr">
        <is>
          <t>蓄力</t>
        </is>
      </c>
      <c r="D33" s="70" t="inlineStr">
        <is>
          <t>WeaponModel3D.charge_active / charge_ratio</t>
        </is>
      </c>
      <c r="E33" s="70" t="inlineStr">
        <is>
          <t>释放/取消/换枪/死亡</t>
        </is>
      </c>
      <c r="F33" s="70" t="inlineStr">
        <is>
          <t>下压蓄势</t>
        </is>
      </c>
      <c r="G33" s="70" t="inlineStr">
        <is>
          <t>轻微压低</t>
        </is>
      </c>
      <c r="H33" s="70" t="inlineStr">
        <is>
          <t>长枪左手向内压入形成张力；手枪保持自由手</t>
        </is>
      </c>
      <c r="I33" s="70" t="inlineStr">
        <is>
          <t>右手握把与 WeaponSocket 同相蓄势</t>
        </is>
      </c>
      <c r="J33" s="70" t="inlineStr">
        <is>
          <t>低频张力摆动</t>
        </is>
      </c>
      <c r="K33" s="70" t="inlineStr">
        <is>
          <t>紫色能量提示（可选）</t>
        </is>
      </c>
      <c r="L33" s="70" t="inlineStr">
        <is>
          <t>读取真实蓄力进度；WeaponPoseFSM 进入对应 charge 状态；释放后按枪体 profile 回弹</t>
        </is>
      </c>
    </row>
    <row r="34" ht="34" customHeight="1">
      <c r="A34" s="102" t="inlineStr">
        <is>
          <t>叠加</t>
        </is>
      </c>
      <c r="B34" s="102" t="inlineStr">
        <is>
          <t>knockback</t>
        </is>
      </c>
      <c r="C34" s="102" t="inlineStr">
        <is>
          <t>受击击飞</t>
        </is>
      </c>
      <c r="D34" s="102" t="inlineStr">
        <is>
          <t>Player3D 命中方向/强度/时长</t>
        </is>
      </c>
      <c r="E34" s="102" t="inlineStr">
        <is>
          <t>冲量归零或死亡</t>
        </is>
      </c>
      <c r="F34" s="102" t="inlineStr">
        <is>
          <t>反向位移/压缩/弹回</t>
        </is>
      </c>
      <c r="G34" s="102" t="inlineStr">
        <is>
          <t>夸张后仰甩头/回正</t>
        </is>
      </c>
      <c r="H34" s="102" t="inlineStr">
        <is>
          <t>手枪自由左手外甩；长枪左手回护木</t>
        </is>
      </c>
      <c r="I34" s="102" t="inlineStr">
        <is>
          <t>右手与 WeaponSocket 同相后退/回正</t>
        </is>
      </c>
      <c r="J34" s="102" t="inlineStr">
        <is>
          <t>滞后甩动</t>
        </is>
      </c>
      <c r="K34" s="102" t="inlineStr">
        <is>
          <t>红闪/短轨迹</t>
        </is>
      </c>
      <c r="L34" s="102" t="inlineStr">
        <is>
          <t>hurt 消费递减XZ冲量；双耳/双脚/双手分层过冲，不新增顶层状态</t>
        </is>
      </c>
    </row>
    <row r="35" ht="34" customHeight="1">
      <c r="A35" s="103" t="n"/>
      <c r="B35" s="103" t="n"/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</row>
    <row r="36" ht="34" customHeight="1">
      <c r="A36" s="70" t="inlineStr">
        <is>
          <t>Player3D DIY 外观槽 × 动态继承（不影响八态/玩法）</t>
        </is>
      </c>
    </row>
    <row r="37">
      <c r="A37" s="70" t="inlineStr">
        <is>
          <t>槽位｜候选变体｜父组件｜移动｜射击/蓄力｜受击/击飞｜换弹｜死亡｜挂点契约｜验收｜复用范围｜首版实现</t>
        </is>
      </c>
    </row>
    <row r="38" ht="38" customHeight="1">
      <c r="A38" s="70" t="inlineStr">
        <is>
          <t>body/head/hand/feet/hat/glasses</t>
        </is>
      </c>
      <c r="B38" s="70" t="inlineStr">
        <is>
          <t>5+5+5+5+4+4</t>
        </is>
      </c>
      <c r="C38" s="70" t="inlineStr">
        <is>
          <t>BunnyRig Body/Head/Hands/Feet/Wearables</t>
        </is>
      </c>
      <c r="D38" s="70" t="inlineStr">
        <is>
          <t>身体弹性+双脚交替+双耳摆动</t>
        </is>
      </c>
      <c r="E38" s="70" t="inlineStr">
        <is>
          <t>按武器类型单/双手后坐；头前探</t>
        </is>
      </c>
      <c r="F38" s="70" t="inlineStr">
        <is>
          <t>整体后仰/脚随根回正</t>
        </is>
      </c>
      <c r="G38" s="70" t="inlineStr">
        <is>
          <t>主握手+WeaponSocket同相；长枪左手托举</t>
        </is>
      </c>
      <c r="H38" s="70" t="inlineStr">
        <is>
          <t>全部模块随根倾倒</t>
        </is>
      </c>
      <c r="I38" s="70" t="inlineStr">
        <is>
          <t>LowerBodySocket随BodyJoint；武器握持按枪型</t>
        </is>
      </c>
      <c r="J38" s="70" t="inlineStr">
        <is>
          <t>可见GLB材质+双耳+双手+双脚+八态覆盖</t>
        </is>
      </c>
      <c r="K38" s="70" t="inlineStr">
        <is>
          <t>3D玩家/预览场</t>
        </is>
      </c>
      <c r="L38" s="70" t="inlineStr">
        <is>
          <t>Bunny GLB材质/程序挂点；Player3D.set_avatar_customization</t>
        </is>
      </c>
    </row>
    <row r="39" ht="38" customHeight="1">
      <c r="A39" s="70" t="n"/>
      <c r="B39" s="70" t="n"/>
      <c r="C39" s="70" t="n"/>
      <c r="D39" s="70" t="n"/>
      <c r="E39" s="70" t="n"/>
      <c r="F39" s="70" t="n"/>
      <c r="G39" s="70" t="n"/>
      <c r="H39" s="70" t="n"/>
      <c r="I39" s="70" t="n"/>
      <c r="J39" s="70" t="n"/>
      <c r="K39" s="70" t="n"/>
      <c r="L39" s="70" t="n"/>
    </row>
    <row r="40" ht="38" customHeight="1">
      <c r="A40" s="70" t="inlineStr">
        <is>
          <t>v0.1 兔子组件与动作归属（不新增状态）</t>
        </is>
      </c>
    </row>
    <row r="41">
      <c r="A41" s="70" t="inlineStr">
        <is>
          <t>父模块｜子组件｜节点数量｜Idle｜Moving｜Dashing｜Hurt/Knockback｜Reload/Fire｜Dead｜图形语言｜禁止事项｜验收</t>
        </is>
      </c>
    </row>
    <row r="42">
      <c r="A42" s="70" t="inlineStr">
        <is>
          <t>Head / Body / Hands / Feet</t>
        </is>
      </c>
      <c r="B42" s="70" t="inlineStr">
        <is>
          <t>Ears / LowerBodySocket / HandL / HandR / FootL / FootR</t>
        </is>
      </c>
      <c r="C42" s="70" t="inlineStr">
        <is>
          <t>2 / 1 / 1 / 1 / 1 / 1</t>
        </is>
      </c>
      <c r="D42" s="70" t="inlineStr">
        <is>
          <t>双耳错相呼吸；下身挂点随Body</t>
        </is>
      </c>
      <c r="E42" s="70" t="inlineStr">
        <is>
          <t>双脚交替；双手按武器类型；挂点随Body</t>
        </is>
      </c>
      <c r="F42" s="70" t="inlineStr">
        <is>
          <t>随VisualRoot压缩翻滚</t>
        </is>
      </c>
      <c r="G42" s="70" t="inlineStr">
        <is>
          <t>手/耳/脚分别回弹；挂点继承Body</t>
        </is>
      </c>
      <c r="H42" s="70" t="inlineStr">
        <is>
          <t>手枪右手/长枪双手；下身挂件不参与枪姿</t>
        </is>
      </c>
      <c r="I42" s="70" t="inlineStr">
        <is>
          <t>全部随VisualRoot倾倒</t>
        </is>
      </c>
      <c r="J42" s="70" t="inlineStr">
        <is>
          <t>兔子刚性节点骨架；GLB分件</t>
        </is>
      </c>
      <c r="K42" s="70" t="inlineStr">
        <is>
          <t>禁止把下身附件烘焙进Body或加入玩法碰撞</t>
        </is>
      </c>
      <c r="L42" s="70" t="inlineStr">
        <is>
          <t>节点路径+材质换色+步态+持枪+LowerBodySocket专项验证</t>
        </is>
      </c>
    </row>
    <row r="44">
      <c r="A44" t="inlineStr">
        <is>
          <t>Player3D 近战动作子状态机 × 三段上下文（不新增顶层状态）</t>
        </is>
      </c>
    </row>
    <row r="45">
      <c r="A45" t="inlineStr">
        <is>
          <t>层级｜状态ID｜中文名｜唯一来源｜退出｜Body｜Head｜Hand L｜Hand R / WeaponSocket｜Scarf｜VFX/UI｜首版实现</t>
        </is>
      </c>
    </row>
    <row r="46">
      <c r="A46" t="inlineStr">
        <is>
          <t>动作子状态</t>
        </is>
      </c>
      <c r="B46" t="inlineStr">
        <is>
          <t>ready</t>
        </is>
      </c>
      <c r="C46" t="inlineStr">
        <is>
          <t>近战就绪</t>
        </is>
      </c>
      <c r="D46" t="inlineStr">
        <is>
          <t>PlayerMeleeCombat3D</t>
        </is>
      </c>
      <c r="E46" t="inlineStr">
        <is>
          <t>主攻击→windup</t>
        </is>
      </c>
      <c r="F46" t="inlineStr">
        <is>
          <t>保持当前idle/moving</t>
        </is>
      </c>
      <c r="G46" t="inlineStr">
        <is>
          <t>保持瞄准</t>
        </is>
      </c>
      <c r="H46" t="inlineStr">
        <is>
          <t>双手重型握持</t>
        </is>
      </c>
      <c r="I46" t="inlineStr">
        <is>
          <t>WeaponSocket稳定持械</t>
        </is>
      </c>
      <c r="J46" t="inlineStr">
        <is>
          <t>低频随动</t>
        </is>
      </c>
      <c r="K46" t="inlineStr">
        <is>
          <t>HUD显示近战·三段</t>
        </is>
      </c>
      <c r="L46" t="inlineStr">
        <is>
          <t>近战动作机初态/复位态；连段=-1；无命中许可</t>
        </is>
      </c>
    </row>
    <row r="47">
      <c r="A47" t="inlineStr">
        <is>
          <t>动作子状态</t>
        </is>
      </c>
      <c r="B47" t="inlineStr">
        <is>
          <t>windup</t>
        </is>
      </c>
      <c r="C47" t="inlineStr">
        <is>
          <t>挥砍前摇</t>
        </is>
      </c>
      <c r="D47" t="inlineStr">
        <is>
          <t>ready或连段recovery</t>
        </is>
      </c>
      <c r="E47" t="inlineStr">
        <is>
          <t>计时结束→active；非法顶层→ready</t>
        </is>
      </c>
      <c r="F47" t="inlineStr">
        <is>
          <t>侧拧/下压蓄势</t>
        </is>
      </c>
      <c r="G47" t="inlineStr">
        <is>
          <t>随躯干反向预备</t>
        </is>
      </c>
      <c r="H47" t="inlineStr">
        <is>
          <t>前手锁住长柄</t>
        </is>
      </c>
      <c r="I47" t="inlineStr">
        <is>
          <t>后手带WeaponSocket蓄势</t>
        </is>
      </c>
      <c r="J47" t="inlineStr">
        <is>
          <t>滞后拉伸</t>
        </is>
      </c>
      <c r="K47" t="inlineStr">
        <is>
          <t>动作阶段/连段编号</t>
        </is>
      </c>
      <c r="L47" t="inlineStr">
        <is>
          <t>三段分别为左横斩、右回斩、过顶重劈前摇；输入可缓存下一段</t>
        </is>
      </c>
    </row>
    <row r="48">
      <c r="A48" t="inlineStr">
        <is>
          <t>动作子状态</t>
        </is>
      </c>
      <c r="B48" t="inlineStr">
        <is>
          <t>active</t>
        </is>
      </c>
      <c r="C48" t="inlineStr">
        <is>
          <t>命中窗口</t>
        </is>
      </c>
      <c r="D48" t="inlineStr">
        <is>
          <t>windup计时完成</t>
        </is>
      </c>
      <c r="E48" t="inlineStr">
        <is>
          <t>计时结束→recovery；非法顶层→ready</t>
        </is>
      </c>
      <c r="F48" t="inlineStr">
        <is>
          <t>跨侧扭转/第三段前压</t>
        </is>
      </c>
      <c r="G48" t="inlineStr">
        <is>
          <t>跟随挥砍方向</t>
        </is>
      </c>
      <c r="H48" t="inlineStr">
        <is>
          <t>双手沿长柄同步扫过</t>
        </is>
      </c>
      <c r="I48" t="inlineStr">
        <is>
          <t>WeaponSocket执行横扫或过顶弧</t>
        </is>
      </c>
      <c r="J48" t="inlineStr">
        <is>
          <t>受冲量甩动</t>
        </is>
      </c>
      <c r="K48" t="inlineStr">
        <is>
          <t>池化slash弧光/逐目标melee_impact/伤害飘字/挥砍与冲击音频</t>
        </is>
      </c>
      <c r="L48" t="inlineStr">
        <is>
          <t>进入时唯一一次扇区查询；每段一弧光一挥砍音；逐目标爆点，多目标冲击主音去重；距离+夹角+墙体+目标去重</t>
        </is>
      </c>
    </row>
    <row r="49">
      <c r="A49" t="inlineStr">
        <is>
          <t>动作子状态</t>
        </is>
      </c>
      <c r="B49" t="inlineStr">
        <is>
          <t>recovery</t>
        </is>
      </c>
      <c r="C49" t="inlineStr">
        <is>
          <t>挥砍后摇</t>
        </is>
      </c>
      <c r="D49" t="inlineStr">
        <is>
          <t>active计时完成</t>
        </is>
      </c>
      <c r="E49" t="inlineStr">
        <is>
          <t>有缓存→下一段windup；否则→ready</t>
        </is>
      </c>
      <c r="F49" t="inlineStr">
        <is>
          <t>重心回收</t>
        </is>
      </c>
      <c r="G49" t="inlineStr">
        <is>
          <t>回正</t>
        </is>
      </c>
      <c r="H49" t="inlineStr">
        <is>
          <t>双手恢复握持间距</t>
        </is>
      </c>
      <c r="I49" t="inlineStr">
        <is>
          <t>WeaponSocket回到持械位</t>
        </is>
      </c>
      <c r="J49" t="inlineStr">
        <is>
          <t>余振衰减</t>
        </is>
      </c>
      <c r="K49" t="inlineStr">
        <is>
          <t>连段缓存提示</t>
        </is>
      </c>
      <c r="L49" t="inlineStr">
        <is>
          <t>第三段结束强制复位；受伤/冲刺/坠落/锁定/死亡/换武器全部取消</t>
        </is>
      </c>
    </row>
  </sheetData>
  <mergeCells count="11">
    <mergeCell ref="A30:L30"/>
    <mergeCell ref="A41:L41"/>
    <mergeCell ref="A45:L45"/>
    <mergeCell ref="A37:L37"/>
    <mergeCell ref="A1:L2"/>
    <mergeCell ref="A36:L36"/>
    <mergeCell ref="A31:L31"/>
    <mergeCell ref="A44:L44"/>
    <mergeCell ref="A40:L40"/>
    <mergeCell ref="A18:L18"/>
    <mergeCell ref="A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36" customWidth="1" min="4" max="4"/>
    <col width="52" customWidth="1" min="5" max="5"/>
    <col width="34" customWidth="1" min="6" max="6"/>
  </cols>
  <sheetData>
    <row r="1" ht="25" customHeight="1">
      <c r="A1" s="3" t="inlineStr">
        <is>
          <t>分类、前缀与目录</t>
        </is>
      </c>
    </row>
    <row r="2" ht="12" customHeight="1"/>
    <row r="3" ht="23" customHeight="1">
      <c r="A3" s="6" t="inlineStr">
        <is>
          <t>新增资产必须从本表选择分类；如果找不到子类，先扩展本表再建文件，禁止临时随意命名</t>
        </is>
      </c>
    </row>
    <row r="5" ht="32" customHeight="1">
      <c r="A5" s="28" t="inlineStr">
        <is>
          <t>前缀</t>
        </is>
      </c>
      <c r="B5" s="29" t="inlineStr">
        <is>
          <t>大类</t>
        </is>
      </c>
      <c r="C5" s="29" t="inlineStr">
        <is>
          <t>推荐子类</t>
        </is>
      </c>
      <c r="D5" s="29" t="inlineStr">
        <is>
          <t>标准目录</t>
        </is>
      </c>
      <c r="E5" s="29" t="inlineStr">
        <is>
          <t>文件名模式</t>
        </is>
      </c>
      <c r="F5" s="30" t="inlineStr">
        <is>
          <t>AssetID 示例</t>
        </is>
      </c>
    </row>
    <row r="6">
      <c r="A6" s="36" t="inlineStr">
        <is>
          <t>CHR</t>
        </is>
      </c>
      <c r="B6" s="36" t="inlineStr">
        <is>
          <t>角色</t>
        </is>
      </c>
      <c r="C6" s="36" t="inlineStr">
        <is>
          <t>player / npc / companion</t>
        </is>
      </c>
      <c r="D6" s="36" t="inlineStr">
        <is>
          <t>assets/art/characters/</t>
        </is>
      </c>
      <c r="E6" s="36" t="inlineStr">
        <is>
          <t>chr_{role}_{name}{nn}_{component}_{view}_v{nnn}.{png|glb|tscn}</t>
        </is>
      </c>
      <c r="F6" s="36" t="inlineStr">
        <is>
          <t>CHR-PLY-CAPSULE01-HEAD-SIDE</t>
        </is>
      </c>
    </row>
    <row r="7">
      <c r="A7" s="37" t="inlineStr">
        <is>
          <t>ENM</t>
        </is>
      </c>
      <c r="B7" s="37" t="inlineStr">
        <is>
          <t>敌人</t>
        </is>
      </c>
      <c r="C7" s="37" t="inlineStr">
        <is>
          <t>normal / elite / boss</t>
        </is>
      </c>
      <c r="D7" s="37" t="inlineStr">
        <is>
          <t>assets/art/enemies/</t>
        </is>
      </c>
      <c r="E7" s="37" t="inlineStr">
        <is>
          <t>enm_{archetype}_{name}{nn}_{part}_{view}_v{nnn}.{png|glb|tscn}</t>
        </is>
      </c>
      <c r="F7" s="37" t="inlineStr">
        <is>
          <t>ENM-MELEE-FUNGBOAR01-BODY</t>
        </is>
      </c>
    </row>
    <row r="8">
      <c r="A8" s="37" t="inlineStr">
        <is>
          <t>WPN</t>
        </is>
      </c>
      <c r="B8" s="37" t="inlineStr">
        <is>
          <t>武器</t>
        </is>
      </c>
      <c r="C8" s="37" t="inlineStr">
        <is>
          <t>gunbody / melee / bullet / attachment</t>
        </is>
      </c>
      <c r="D8" s="37" t="inlineStr">
        <is>
          <t>assets/art/weapons/</t>
        </is>
      </c>
      <c r="E8" s="37" t="inlineStr">
        <is>
          <t>wpn_{family}_{logic_id}_{view}_v{nnn}.{png|glb|tscn}</t>
        </is>
      </c>
      <c r="F8" s="37" t="inlineStr">
        <is>
          <t>WPN-MELEE-BP-GREATBLADE</t>
        </is>
      </c>
    </row>
    <row r="9">
      <c r="A9" s="37" t="inlineStr">
        <is>
          <t>ITM</t>
        </is>
      </c>
      <c r="B9" s="37" t="inlineStr">
        <is>
          <t>道具</t>
        </is>
      </c>
      <c r="C9" s="37" t="inlineStr">
        <is>
          <t>pickup / consumable / key / loot</t>
        </is>
      </c>
      <c r="D9" s="37" t="inlineStr">
        <is>
          <t>assets/art/items/</t>
        </is>
      </c>
      <c r="E9" s="37" t="inlineStr">
        <is>
          <t>itm_{type}_{logic_id}_{state}_v{nnn}.png</t>
        </is>
      </c>
      <c r="F9" s="37" t="inlineStr">
        <is>
          <t>ITM-KEY-ROOM-DEFAULT</t>
        </is>
      </c>
    </row>
    <row r="10">
      <c r="A10" s="37" t="inlineStr">
        <is>
          <t>ENV</t>
        </is>
      </c>
      <c r="B10" s="37" t="inlineStr">
        <is>
          <t>场景</t>
        </is>
      </c>
      <c r="C10" s="37" t="inlineStr">
        <is>
          <t>biome / room / base / tile</t>
        </is>
      </c>
      <c r="D10" s="37" t="inlineStr">
        <is>
          <t>assets/art/environments/</t>
        </is>
      </c>
      <c r="E10" s="37" t="inlineStr">
        <is>
          <t>env_{biome}_{set}_{piece}_v{nnn}.{png|glb|tres|tscn}</t>
        </is>
      </c>
      <c r="F10" s="37" t="inlineStr">
        <is>
          <t>ENV-IRON-FRONTIER-FLOOR-A</t>
        </is>
      </c>
    </row>
    <row r="11">
      <c r="A11" s="37" t="inlineStr">
        <is>
          <t>PRP</t>
        </is>
      </c>
      <c r="B11" s="37" t="inlineStr">
        <is>
          <t>场景道具</t>
        </is>
      </c>
      <c r="C11" s="37" t="inlineStr">
        <is>
          <t>facility / container / door / debris / light / switch</t>
        </is>
      </c>
      <c r="D11" s="37" t="inlineStr">
        <is>
          <t>assets/art/props/</t>
        </is>
      </c>
      <c r="E11" s="37" t="inlineStr">
        <is>
          <t>prp_{set}_{logic_id}_{state}_v{nnn}.{png|glb|tscn}</t>
        </is>
      </c>
      <c r="F11" s="37" t="inlineStr">
        <is>
          <t>PRP-BASE-WORKBENCH-IDLE</t>
        </is>
      </c>
    </row>
    <row r="12">
      <c r="A12" s="37" t="inlineStr">
        <is>
          <t>UI</t>
        </is>
      </c>
      <c r="B12" s="37" t="inlineStr">
        <is>
          <t>UI</t>
        </is>
      </c>
      <c r="C12" s="37" t="inlineStr">
        <is>
          <t>screen / panel / icon / cursor</t>
        </is>
      </c>
      <c r="D12" s="37" t="inlineStr">
        <is>
          <t>assets/art/ui/</t>
        </is>
      </c>
      <c r="E12" s="37" t="inlineStr">
        <is>
          <t>ui_{screen}_{element}_{state}_v{nnn}.png</t>
        </is>
      </c>
      <c r="F12" s="37" t="inlineStr">
        <is>
          <t>UI-HUD-HP-CRITICAL</t>
        </is>
      </c>
    </row>
    <row r="13">
      <c r="A13" s="37" t="inlineStr">
        <is>
          <t>VFX</t>
        </is>
      </c>
      <c r="B13" s="37" t="inlineStr">
        <is>
          <t>特效</t>
        </is>
      </c>
      <c r="C13" s="37" t="inlineStr">
        <is>
          <t>combat / status / environment</t>
        </is>
      </c>
      <c r="D13" s="37" t="inlineStr">
        <is>
          <t>assets/art/vfx/</t>
        </is>
      </c>
      <c r="E13" s="37" t="inlineStr">
        <is>
          <t>vfx_{system}_{effect}_{variant}_v{nnn}.{png|glb|tscn}</t>
        </is>
      </c>
      <c r="F13" s="37" t="inlineStr">
        <is>
          <t>VFX-PLAYER-DASH-TRAIL-A</t>
        </is>
      </c>
    </row>
    <row r="14">
      <c r="A14" s="37" t="inlineStr">
        <is>
          <t>AUD</t>
        </is>
      </c>
      <c r="B14" s="37" t="inlineStr">
        <is>
          <t>音频</t>
        </is>
      </c>
      <c r="C14" s="37" t="inlineStr">
        <is>
          <t>bgm / sfx / ambience / ui</t>
        </is>
      </c>
      <c r="D14" s="37" t="inlineStr">
        <is>
          <t>src/assets/audio/sfx/</t>
        </is>
      </c>
      <c r="E14" s="37" t="inlineStr">
        <is>
          <t>{event}_v{nnn}.{ogg|wav}</t>
        </is>
      </c>
      <c r="F14" s="37" t="inlineStr">
        <is>
          <t>AUD-SFX-PLAYER-DASH</t>
        </is>
      </c>
    </row>
  </sheetData>
  <mergeCells count="2">
    <mergeCell ref="A3:F3"/>
    <mergeCell ref="A1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34" customWidth="1" min="3" max="3"/>
    <col width="34" customWidth="1" min="4" max="4"/>
    <col width="32" customWidth="1" min="5" max="5"/>
    <col width="28" customWidth="1" min="6" max="6"/>
    <col width="44" customWidth="1" min="7" max="7"/>
    <col width="12" customWidth="1" min="8" max="8"/>
  </cols>
  <sheetData>
    <row r="1" ht="25" customHeight="1">
      <c r="A1" s="3" t="inlineStr">
        <is>
          <t>新增、变体与弃用流程</t>
        </is>
      </c>
    </row>
    <row r="2" ht="12" customHeight="1"/>
    <row r="3" ht="23" customHeight="1">
      <c r="A3" s="6" t="inlineStr">
        <is>
          <t>目标：同一个逻辑对象只有一个稳定 AssetID；组件、状态和版本通过字段表达，不靠复制文件夹</t>
        </is>
      </c>
    </row>
    <row r="5" ht="32" customHeight="1">
      <c r="A5" s="28" t="inlineStr">
        <is>
          <t>步骤</t>
        </is>
      </c>
      <c r="B5" s="29" t="inlineStr">
        <is>
          <t>动作</t>
        </is>
      </c>
      <c r="C5" s="29" t="inlineStr">
        <is>
          <t>必须查询</t>
        </is>
      </c>
      <c r="D5" s="29" t="inlineStr">
        <is>
          <t>通过标准</t>
        </is>
      </c>
      <c r="E5" s="29" t="inlineStr">
        <is>
          <t>禁止事项</t>
        </is>
      </c>
      <c r="F5" s="29" t="inlineStr">
        <is>
          <t>示例输入</t>
        </is>
      </c>
      <c r="G5" s="29" t="inlineStr">
        <is>
          <t>示例输出</t>
        </is>
      </c>
      <c r="H5" s="30" t="inlineStr">
        <is>
          <t>责任字段</t>
        </is>
      </c>
    </row>
    <row r="6">
      <c r="A6" s="36" t="n">
        <v>1</v>
      </c>
      <c r="B6" s="36" t="inlineStr">
        <is>
          <t>需求归一化</t>
        </is>
      </c>
      <c r="C6" s="36" t="inlineStr">
        <is>
          <t>逻辑ID、中文名、别名</t>
        </is>
      </c>
      <c r="D6" s="36" t="inlineStr">
        <is>
          <t>能写出唯一用途与复用范围</t>
        </is>
      </c>
      <c r="E6" s="36" t="inlineStr">
        <is>
          <t>只凭外观起名</t>
        </is>
      </c>
      <c r="F6" s="36" t="inlineStr">
        <is>
          <t>新的玩家右手</t>
        </is>
      </c>
      <c r="G6" s="36" t="inlineStr">
        <is>
          <t>logic=player_capsule01; slot=hand_r</t>
        </is>
      </c>
      <c r="H6" s="36" t="inlineStr">
        <is>
          <t>E/F/Q</t>
        </is>
      </c>
    </row>
    <row r="7">
      <c r="A7" s="37" t="n">
        <v>2</v>
      </c>
      <c r="B7" s="37" t="inlineStr">
        <is>
          <t>四重查重</t>
        </is>
      </c>
      <c r="C7" s="37" t="inlineStr">
        <is>
          <t>AssetID、查重键、文件名、SHA-256</t>
        </is>
      </c>
      <c r="D7" s="37" t="inlineStr">
        <is>
          <t>S列=唯一；无同哈希</t>
        </is>
      </c>
      <c r="E7" s="37" t="inlineStr">
        <is>
          <t>看到不同文件名就重做</t>
        </is>
      </c>
      <c r="F7" s="37" t="inlineStr">
        <is>
          <t>hand_r / 主手 / 枪手</t>
        </is>
      </c>
      <c r="G7" s="37" t="inlineStr">
        <is>
          <t>复用 CHR-PLY-CAPSULE01-HAND-R-SIDE</t>
        </is>
      </c>
      <c r="H7" s="37" t="inlineStr">
        <is>
          <t>A/R/S/T</t>
        </is>
      </c>
    </row>
    <row r="8">
      <c r="A8" s="37" t="n">
        <v>3</v>
      </c>
      <c r="B8" s="37" t="inlineStr">
        <is>
          <t>分类与父子关系</t>
        </is>
      </c>
      <c r="C8" s="37" t="inlineStr">
        <is>
          <t>分类码表、变体父ID</t>
        </is>
      </c>
      <c r="D8" s="37" t="inlineStr">
        <is>
          <t>只有一个大类；变体指向父ID</t>
        </is>
      </c>
      <c r="E8" s="37" t="inlineStr">
        <is>
          <t>跨目录复制同图</t>
        </is>
      </c>
      <c r="F8" s="37" t="inlineStr">
        <is>
          <t>受伤版头壳</t>
        </is>
      </c>
      <c r="G8" s="37" t="inlineStr">
        <is>
          <t>同 AssetID + state=hurt 或父子变体</t>
        </is>
      </c>
      <c r="H8" s="37" t="inlineStr">
        <is>
          <t>C/D/G/I</t>
        </is>
      </c>
    </row>
    <row r="9">
      <c r="A9" s="37" t="n">
        <v>4</v>
      </c>
      <c r="B9" s="37" t="inlineStr">
        <is>
          <t>命名</t>
        </is>
      </c>
      <c r="C9" s="37" t="inlineStr">
        <is>
          <t>前缀、逻辑ID、组件、视角、版本</t>
        </is>
      </c>
      <c r="D9" s="37" t="inlineStr">
        <is>
          <t>小写 snake_case 文件名；ID稳定</t>
        </is>
      </c>
      <c r="E9" s="37" t="inlineStr">
        <is>
          <t>空格/中文文件名/final_final</t>
        </is>
      </c>
      <c r="F9" s="37" t="inlineStr">
        <is>
          <t>玩家头壳 v2</t>
        </is>
      </c>
      <c r="G9" s="37" t="inlineStr">
        <is>
          <t>chr_player_capsule01_head_side_v002.png</t>
        </is>
      </c>
      <c r="H9" s="37" t="inlineStr">
        <is>
          <t>A/M/O</t>
        </is>
      </c>
    </row>
    <row r="10">
      <c r="A10" s="37" t="n">
        <v>5</v>
      </c>
      <c r="B10" s="37" t="inlineStr">
        <is>
          <t>组件制作</t>
        </is>
      </c>
      <c r="C10" s="37" t="inlineStr">
        <is>
          <t>角色/房间/家具尺寸/枪械/怪物/灯具共用根</t>
        </is>
      </c>
      <c r="D10" s="37" t="inlineStr">
        <is>
          <t>组件独立；3D用配置与父子变体</t>
        </is>
      </c>
      <c r="E10" s="37" t="inlineStr">
        <is>
          <t>关卡内复制枪表/房间/怪物根</t>
        </is>
      </c>
      <c r="F10" s="37" t="inlineStr">
        <is>
          <t>large可搜索柜</t>
        </is>
      </c>
      <c r="G10" s="37" t="inlineStr">
        <is>
          <t>seed/暗室开关/遮挡视野/七怪/59组合/撤离 PASS</t>
        </is>
      </c>
      <c r="H10" s="37" t="inlineStr">
        <is>
          <t>F/N/O/X</t>
        </is>
      </c>
    </row>
    <row r="11">
      <c r="A11" s="37" t="n">
        <v>6</v>
      </c>
      <c r="B11" s="37" t="inlineStr">
        <is>
          <t>验收</t>
        </is>
      </c>
      <c r="C11" s="37" t="inlineStr">
        <is>
          <t>透明边缘或3D灯光/雾/碰撞/状态/玩法逻辑/节点预算</t>
        </is>
      </c>
      <c r="D11" s="37" t="inlineStr">
        <is>
          <t>真实游戏镜头 + 玩法专项 + 性能专项通过</t>
        </is>
      </c>
      <c r="E11" s="37" t="inlineStr">
        <is>
          <t>只看母版或编辑器预览</t>
        </is>
      </c>
      <c r="F11" s="37" t="inlineStr">
        <is>
          <t>3D主题关卡</t>
        </is>
      </c>
      <c r="G11" s="37" t="inlineStr">
        <is>
          <t>seed/暗室开关/遮挡视野/七怪/56组合/撤离 PASS</t>
        </is>
      </c>
      <c r="H11" s="37" t="inlineStr">
        <is>
          <t>K/P/X</t>
        </is>
      </c>
    </row>
    <row r="12">
      <c r="A12" s="37" t="n">
        <v>7</v>
      </c>
      <c r="B12" s="37" t="inlineStr">
        <is>
          <t>登记与发布</t>
        </is>
      </c>
      <c r="C12" s="37" t="inlineStr">
        <is>
          <t>路径、尺寸、版本、哈希、许可</t>
        </is>
      </c>
      <c r="D12" s="37" t="inlineStr">
        <is>
          <t>字段齐全；更新时间为当天</t>
        </is>
      </c>
      <c r="E12" s="37" t="inlineStr">
        <is>
          <t>覆盖旧版本；删除历史来源</t>
        </is>
      </c>
      <c r="F12" s="37" t="inlineStr">
        <is>
          <t>通过的 PNG</t>
        </is>
      </c>
      <c r="G12" s="37" t="inlineStr">
        <is>
          <t>K=已完成，登记 SHA-256</t>
        </is>
      </c>
      <c r="H12" s="37" t="inlineStr">
        <is>
          <t>K–W</t>
        </is>
      </c>
    </row>
    <row r="13">
      <c r="A13" s="37" t="n">
        <v>8</v>
      </c>
      <c r="B13" s="37" t="inlineStr">
        <is>
          <t>弃用</t>
        </is>
      </c>
      <c r="C13" s="37" t="inlineStr">
        <is>
          <t>引用搜索、替代 AssetID</t>
        </is>
      </c>
      <c r="D13" s="37" t="inlineStr">
        <is>
          <t>K=弃用；备注写替代项</t>
        </is>
      </c>
      <c r="E13" s="37" t="inlineStr">
        <is>
          <t>直接删除仍被引用文件</t>
        </is>
      </c>
      <c r="F13" s="37" t="inlineStr">
        <is>
          <t>旧人类草案</t>
        </is>
      </c>
      <c r="G13" s="37" t="inlineStr">
        <is>
          <t>不入库或标弃用；不得误用</t>
        </is>
      </c>
      <c r="H13" s="37" t="inlineStr">
        <is>
          <t>K/X</t>
        </is>
      </c>
    </row>
    <row r="17">
      <c r="A17" s="56" t="inlineStr">
        <is>
          <t>命名正则：文件名 ^[a-z0-9]+(?:_[a-z0-9]+)*_v[0-9]{3}\.(png|webp|svg|wav|ogg|glb|gltf|tres|tscn)$ ｜ AssetID ^[A-Z0-9]+(?:-[A-Z0-9]+)+$</t>
        </is>
      </c>
    </row>
  </sheetData>
  <mergeCells count="3">
    <mergeCell ref="A1:H2"/>
    <mergeCell ref="A3:H3"/>
    <mergeCell ref="A17:H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1" customWidth="1" min="3" max="3"/>
    <col width="24" customWidth="1" min="4" max="4"/>
    <col width="58" customWidth="1" min="5" max="5"/>
    <col width="18" customWidth="1" min="6" max="6"/>
    <col width="24" customWidth="1" min="7" max="7"/>
    <col width="12" customWidth="1" min="8" max="8"/>
  </cols>
  <sheetData>
    <row r="1" ht="25" customHeight="1">
      <c r="A1" s="3" t="inlineStr">
        <is>
          <t>当前角色原型 · 兔子组件角色</t>
        </is>
      </c>
    </row>
    <row r="2" ht="12" customHeight="1"/>
    <row r="3" ht="23" customHeight="1">
      <c r="A3" s="6" t="inlineStr">
        <is>
          <t>1.5m 俯视3D角色；逻辑根、虚拟碰撞胶囊、视觉组件和 WeaponSocket 相互独立</t>
        </is>
      </c>
    </row>
    <row r="5" ht="32" customHeight="1">
      <c r="A5" s="28" t="inlineStr">
        <is>
          <t>组件</t>
        </is>
      </c>
      <c r="B5" s="29" t="inlineStr">
        <is>
          <t>AssetID</t>
        </is>
      </c>
      <c r="C5" s="29" t="inlineStr">
        <is>
          <t>尺寸</t>
        </is>
      </c>
      <c r="D5" s="29" t="inlineStr">
        <is>
          <t>用途</t>
        </is>
      </c>
      <c r="E5" s="29" t="inlineStr">
        <is>
          <t>文件</t>
        </is>
      </c>
      <c r="F5" s="29" t="inlineStr">
        <is>
          <t>哈希前12位</t>
        </is>
      </c>
      <c r="G5" s="29" t="inlineStr">
        <is>
          <t>动作方式</t>
        </is>
      </c>
      <c r="H5" s="30" t="inlineStr">
        <is>
          <t>验收</t>
        </is>
      </c>
    </row>
    <row r="6" ht="42" customHeight="1">
      <c r="A6" s="36" t="inlineStr">
        <is>
          <t>root</t>
        </is>
      </c>
      <c r="B6" s="36" t="inlineStr">
        <is>
          <t>CHR-PLY-CAPSULE01-3D-BUNNY01</t>
        </is>
      </c>
      <c r="C6" s="36" t="inlineStr">
        <is>
          <t>1.034×1.500×0.645m</t>
        </is>
      </c>
      <c r="D6" s="36" t="inlineStr">
        <is>
          <t>视觉组件根</t>
        </is>
      </c>
      <c r="E6" s="36" t="inlineStr">
        <is>
          <t>assets/art/characters/player/chr_player_capsule01_3d/variants/bunny01/chr_player_capsule01_bunny01_root_top3d_v006.tscn</t>
        </is>
      </c>
      <c r="F6" s="36" t="inlineStr">
        <is>
          <t>b894e9fe05f8</t>
        </is>
      </c>
      <c r="G6" s="36" t="inlineStr">
        <is>
          <t>八态 + 动作覆盖层</t>
        </is>
      </c>
      <c r="H6" s="36" t="inlineStr">
        <is>
          <t>通过</t>
        </is>
      </c>
    </row>
    <row r="7" ht="42" customHeight="1">
      <c r="A7" s="37" t="inlineStr">
        <is>
          <t>body</t>
        </is>
      </c>
      <c r="B7" s="37" t="inlineStr">
        <is>
          <t>CHR-PLY-CAPSULE01-3D-BUNNY01-BODY</t>
        </is>
      </c>
      <c r="C7" s="37" t="inlineStr">
        <is>
          <t>1.5m角色比例</t>
        </is>
      </c>
      <c r="D7" s="37" t="inlineStr">
        <is>
          <t>身体组件</t>
        </is>
      </c>
      <c r="E7" s="37" t="inlineStr">
        <is>
          <t>assets/art/characters/player/chr_player_capsule01_3d/variants/bunny01/components/chr_player_capsule01_bunny01_body_top3d_v006.glb</t>
        </is>
      </c>
      <c r="F7" s="37" t="inlineStr">
        <is>
          <t>c574d76e0f19</t>
        </is>
      </c>
      <c r="G7" s="37" t="inlineStr">
        <is>
          <t>呼吸/移动/受击</t>
        </is>
      </c>
      <c r="H7" s="37" t="inlineStr">
        <is>
          <t>通过</t>
        </is>
      </c>
    </row>
    <row r="8" ht="42" customHeight="1">
      <c r="A8" s="37" t="inlineStr">
        <is>
          <t>head</t>
        </is>
      </c>
      <c r="B8" s="37" t="inlineStr">
        <is>
          <t>CHR-PLY-CAPSULE01-3D-BUNNY01-HEAD</t>
        </is>
      </c>
      <c r="C8" s="37" t="inlineStr">
        <is>
          <t>头顶1.103390m</t>
        </is>
      </c>
      <c r="D8" s="37" t="inlineStr">
        <is>
          <t>头部组件</t>
        </is>
      </c>
      <c r="E8" s="37" t="inlineStr">
        <is>
          <t>assets/art/characters/player/chr_player_capsule01_3d/variants/bunny01/components/chr_player_capsule01_bunny01_head_top3d_v006.glb</t>
        </is>
      </c>
      <c r="F8" s="37" t="inlineStr">
        <is>
          <t>b8db86c722bb</t>
        </is>
      </c>
      <c r="G8" s="37" t="inlineStr">
        <is>
          <t>延迟跟随/受击</t>
        </is>
      </c>
      <c r="H8" s="37" t="inlineStr">
        <is>
          <t>通过</t>
        </is>
      </c>
    </row>
    <row r="9" ht="42" customHeight="1">
      <c r="A9" s="37" t="inlineStr">
        <is>
          <t>ears</t>
        </is>
      </c>
      <c r="B9" s="37" t="inlineStr">
        <is>
          <t>CHR-PLY-CAPSULE01-3D-BUNNY01-EARS</t>
        </is>
      </c>
      <c r="C9" s="37" t="inlineStr">
        <is>
          <t>单GLB双实例</t>
        </is>
      </c>
      <c r="D9" s="37" t="inlineStr">
        <is>
          <t>双耳配件</t>
        </is>
      </c>
      <c r="E9" s="37" t="inlineStr">
        <is>
          <t>assets/art/characters/player/chr_player_capsule01_3d/variants/bunny01/components/chr_player_capsule01_bunny01_ear_top3d_v006.glb</t>
        </is>
      </c>
      <c r="F9" s="37" t="inlineStr">
        <is>
          <t>ed3c7abe2831</t>
        </is>
      </c>
      <c r="G9" s="37" t="inlineStr">
        <is>
          <t>跟随/摆动</t>
        </is>
      </c>
      <c r="H9" s="37" t="inlineStr">
        <is>
          <t>通过</t>
        </is>
      </c>
    </row>
    <row r="10" ht="42" customHeight="1">
      <c r="A10" s="37" t="inlineStr">
        <is>
          <t>hands</t>
        </is>
      </c>
      <c r="B10" s="37" t="inlineStr">
        <is>
          <t>CHR-PLY-CAPSULE01-3D-BUNNY01-HAND</t>
        </is>
      </c>
      <c r="C10" s="37" t="inlineStr">
        <is>
          <t>左右独立GLB</t>
        </is>
      </c>
      <c r="D10" s="37" t="inlineStr">
        <is>
          <t>握持与支撑手</t>
        </is>
      </c>
      <c r="E10" s="37" t="inlineStr">
        <is>
          <t>assets/art/characters/player/chr_player_capsule01_3d/variants/bunny01/components/chr_player_capsule01_bunny01_hand_l_top3d_v006.glb; ...hand_r...v006.glb</t>
        </is>
      </c>
      <c r="F10" s="37" t="inlineStr">
        <is>
          <t>2c6647c0e4f2</t>
        </is>
      </c>
      <c r="G10" s="37" t="inlineStr">
        <is>
          <t>单手/双手握持</t>
        </is>
      </c>
      <c r="H10" s="37" t="inlineStr">
        <is>
          <t>通过</t>
        </is>
      </c>
    </row>
    <row r="11" ht="42" customHeight="1">
      <c r="A11" t="inlineStr">
        <is>
          <t>foot_l</t>
        </is>
      </c>
      <c r="B11" s="63" t="inlineStr">
        <is>
          <t>CHR-PLY-CAPSULE01-3D-BUNNY01-FOOT-L</t>
        </is>
      </c>
      <c r="C11" t="inlineStr">
        <is>
          <t>1.5m角色比例</t>
        </is>
      </c>
      <c r="D11" t="inlineStr">
        <is>
          <t>左脚组件</t>
        </is>
      </c>
      <c r="E11" s="63" t="inlineStr">
        <is>
          <t>assets/art/characters/player/chr_player_capsule01_3d/variants/bunny01/components/chr_player_capsule01_bunny01_foot_l_top3d_v006.glb</t>
        </is>
      </c>
      <c r="F11" t="inlineStr">
        <is>
          <t>52051cba0db7</t>
        </is>
      </c>
      <c r="G11" t="inlineStr">
        <is>
          <t>步态/下落/落地</t>
        </is>
      </c>
      <c r="H11" t="inlineStr">
        <is>
          <t>通过</t>
        </is>
      </c>
    </row>
    <row r="12" ht="42" customHeight="1">
      <c r="A12" t="inlineStr">
        <is>
          <t>foot_r</t>
        </is>
      </c>
      <c r="B12" s="63" t="inlineStr">
        <is>
          <t>CHR-PLY-CAPSULE01-3D-BUNNY01-FOOT-R</t>
        </is>
      </c>
      <c r="C12" t="inlineStr">
        <is>
          <t>1.5m角色比例</t>
        </is>
      </c>
      <c r="D12" t="inlineStr">
        <is>
          <t>右脚组件</t>
        </is>
      </c>
      <c r="E12" s="63" t="inlineStr">
        <is>
          <t>assets/art/characters/player/chr_player_capsule01_3d/variants/bunny01/components/chr_player_capsule01_bunny01_foot_r_top3d_v006.glb</t>
        </is>
      </c>
      <c r="F12" t="inlineStr">
        <is>
          <t>d81e840f5c08</t>
        </is>
      </c>
      <c r="G12" t="inlineStr">
        <is>
          <t>步态/下落/落地</t>
        </is>
      </c>
      <c r="H12" t="inlineStr">
        <is>
          <t>通过</t>
        </is>
      </c>
    </row>
    <row r="13">
      <c r="A13" s="57" t="inlineStr">
        <is>
          <t>八态游戏内验收（Idle / Moving / Dashing / Hurt / Locked / Falling / Landing / Dead）</t>
        </is>
      </c>
    </row>
    <row r="15" ht="32" customHeight="1">
      <c r="A15" s="28" t="inlineStr">
        <is>
          <t>IDLE</t>
        </is>
      </c>
      <c r="B15" s="29" t="inlineStr">
        <is>
          <t>MOVING</t>
        </is>
      </c>
      <c r="C15" s="29" t="inlineStr">
        <is>
          <t>DASHING</t>
        </is>
      </c>
      <c r="D15" s="29" t="inlineStr">
        <is>
          <t>HURT</t>
        </is>
      </c>
      <c r="E15" s="29" t="inlineStr">
        <is>
          <t>LOCKED</t>
        </is>
      </c>
      <c r="F15" s="30" t="inlineStr">
        <is>
          <t>FALLING</t>
        </is>
      </c>
      <c r="G15" s="108" t="inlineStr">
        <is>
          <t>LANDING</t>
        </is>
      </c>
      <c r="H15" s="108" t="inlineStr">
        <is>
          <t>DEAD</t>
        </is>
      </c>
    </row>
    <row r="16">
      <c r="A16" s="36" t="inlineStr">
        <is>
          <t>待命</t>
        </is>
      </c>
      <c r="B16" s="36" t="inlineStr">
        <is>
          <t>移动</t>
        </is>
      </c>
      <c r="C16" s="36" t="inlineStr">
        <is>
          <t>突进</t>
        </is>
      </c>
      <c r="D16" s="36" t="inlineStr">
        <is>
          <t>受创</t>
        </is>
      </c>
      <c r="E16" s="36" t="inlineStr">
        <is>
          <t>交互锁定</t>
        </is>
      </c>
      <c r="F16" s="36" t="inlineStr">
        <is>
          <t>下落</t>
        </is>
      </c>
      <c r="G16" t="inlineStr">
        <is>
          <t>落地</t>
        </is>
      </c>
      <c r="H16" t="inlineStr">
        <is>
          <t>生命终止</t>
        </is>
      </c>
    </row>
    <row r="17">
      <c r="A17" s="37" t="inlineStr">
        <is>
          <t>呼吸/重心</t>
        </is>
      </c>
      <c r="B17" s="37" t="inlineStr">
        <is>
          <t>双脚交替</t>
        </is>
      </c>
      <c r="C17" s="37" t="inlineStr">
        <is>
          <t>翻滚收束</t>
        </is>
      </c>
      <c r="D17" s="37" t="inlineStr">
        <is>
          <t>反向冲击</t>
        </is>
      </c>
      <c r="E17" s="37" t="inlineStr">
        <is>
          <t>姿态稳定</t>
        </is>
      </c>
      <c r="F17" s="37" t="inlineStr">
        <is>
          <t>收腿下落</t>
        </is>
      </c>
      <c r="G17" t="inlineStr">
        <is>
          <t>压缩回弹</t>
        </is>
      </c>
      <c r="H17" t="inlineStr">
        <is>
          <t>整体倒伏</t>
        </is>
      </c>
    </row>
    <row r="18">
      <c r="A18" s="37" t="inlineStr">
        <is>
          <t>可进移动/突进</t>
        </is>
      </c>
      <c r="B18" s="37" t="inlineStr">
        <is>
          <t>可进待命/突进</t>
        </is>
      </c>
      <c r="C18" s="37" t="inlineStr">
        <is>
          <t>回到待命或移动</t>
        </is>
      </c>
      <c r="D18" s="37" t="inlineStr">
        <is>
          <t>恢复原状态</t>
        </is>
      </c>
      <c r="E18" s="37" t="inlineStr">
        <is>
          <t>由交互释放</t>
        </is>
      </c>
      <c r="F18" s="37" t="inlineStr">
        <is>
          <t>只进落地或死亡</t>
        </is>
      </c>
      <c r="G18" t="inlineStr">
        <is>
          <t>回到可控态</t>
        </is>
      </c>
      <c r="H18" t="inlineStr">
        <is>
          <t>终态</t>
        </is>
      </c>
    </row>
    <row r="19">
      <c r="A19" s="37" t="inlineStr">
        <is>
          <t>允许射击覆盖</t>
        </is>
      </c>
      <c r="B19" s="37" t="inlineStr">
        <is>
          <t>允许射击覆盖</t>
        </is>
      </c>
      <c r="C19" s="37" t="inlineStr">
        <is>
          <t>无敌窗</t>
        </is>
      </c>
      <c r="D19" s="37" t="inlineStr">
        <is>
          <t>受击反馈</t>
        </is>
      </c>
      <c r="E19" s="37" t="inlineStr">
        <is>
          <t>输入锁定</t>
        </is>
      </c>
      <c r="F19" s="37" t="inlineStr">
        <is>
          <t>关闭地面步态</t>
        </is>
      </c>
      <c r="G19" t="inlineStr">
        <is>
          <t>短时落地冲击</t>
        </is>
      </c>
      <c r="H19" t="inlineStr">
        <is>
          <t>停止动作</t>
        </is>
      </c>
    </row>
    <row r="21">
      <c r="A21" s="58" t="inlineStr">
        <is>
          <t>视觉输出：outputs/verification/player3d_state_gallery.png</t>
        </is>
      </c>
    </row>
    <row r="23">
      <c r="A23" s="61" t="inlineStr">
        <is>
          <t>验证命令：./scripts/run_verification_suite.sh scene verify_player3d_state_gallery_flow</t>
        </is>
      </c>
    </row>
    <row r="24" ht="24" customHeight="1">
      <c r="A24" s="73" t="inlineStr">
        <is>
          <t>换弹覆盖层：唯一手 + WeaponSocket 同相动作；测试 tests/verification/verify_3d_reload_state_flow.tscn</t>
        </is>
      </c>
    </row>
    <row r="25" ht="30" customHeight="1">
      <c r="A25" s="63" t="inlineStr">
        <is>
          <t>独立3D验收：scenes/Player3DStateGallery.tscn；验证位于 tests/verification/</t>
        </is>
      </c>
    </row>
    <row r="26" ht="32" customHeight="1">
      <c r="A26" s="83" t="inlineStr">
        <is>
          <t>动作覆盖层：firing / charging / knockback 不新增顶层状态；测试 tests/verification/verify_player3d_state_gallery_flow.tscn</t>
        </is>
      </c>
    </row>
    <row r="28" ht="34" customHeight="1">
      <c r="A28" s="95" t="inlineStr">
        <is>
          <t>DIY：body / head / hand / feet / hat / glasses 只改表现；测试 tests/verification/verify_player3d_diy_flow.tscn</t>
        </is>
      </c>
    </row>
    <row r="29" ht="38" customHeight="1">
      <c r="A29" t="inlineStr">
        <is>
          <t>v0.1 兔子组件：Body / Head / Ears / HandL / HandR / FootL / FootR；视觉根不含玩法碰撞。</t>
        </is>
      </c>
    </row>
  </sheetData>
  <mergeCells count="10">
    <mergeCell ref="A1:N2"/>
    <mergeCell ref="A21:H21"/>
    <mergeCell ref="A3:N3"/>
    <mergeCell ref="A26:N26"/>
    <mergeCell ref="A24:N24"/>
    <mergeCell ref="A29:N29"/>
    <mergeCell ref="A25:N25"/>
    <mergeCell ref="A13:H13"/>
    <mergeCell ref="A23:H23"/>
    <mergeCell ref="A28:N2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28" customWidth="1" min="4" max="4"/>
    <col width="60" customWidth="1" min="5" max="5"/>
    <col width="48" customWidth="1" min="6" max="6"/>
    <col width="12" customWidth="1" min="7" max="7"/>
  </cols>
  <sheetData>
    <row r="1" ht="25" customHeight="1">
      <c r="A1" s="3" t="inlineStr">
        <is>
          <t>资产台账版本记录 · 游戏设计文档 v0.1</t>
        </is>
      </c>
    </row>
    <row r="2" ht="12" customHeight="1"/>
    <row r="3" ht="23" customHeight="1">
      <c r="A3" s="6" t="inlineStr">
        <is>
          <t>只记录当前有效基线；历史变更通过版本控制追溯</t>
        </is>
      </c>
    </row>
    <row r="5" ht="32" customHeight="1">
      <c r="A5" s="28" t="inlineStr">
        <is>
          <t>台账版本</t>
        </is>
      </c>
      <c r="B5" s="29" t="inlineStr">
        <is>
          <t>日期</t>
        </is>
      </c>
      <c r="C5" s="29" t="inlineStr">
        <is>
          <t>变更类型</t>
        </is>
      </c>
      <c r="D5" s="29" t="inlineStr">
        <is>
          <t>范围</t>
        </is>
      </c>
      <c r="E5" s="29" t="inlineStr">
        <is>
          <t>说明</t>
        </is>
      </c>
      <c r="F5" s="29" t="inlineStr">
        <is>
          <t>兼容性</t>
        </is>
      </c>
      <c r="G5" s="30" t="inlineStr">
        <is>
          <t>负责人</t>
        </is>
      </c>
    </row>
    <row r="6" ht="46" customHeight="1">
      <c r="A6" s="36" t="inlineStr">
        <is>
          <t>v0.1.0</t>
        </is>
      </c>
      <c r="B6" s="127" t="n">
        <v>46236</v>
      </c>
      <c r="C6" s="36" t="inlineStr">
        <is>
          <t>游戏设计文档 v0.1</t>
        </is>
      </c>
      <c r="D6" s="36" t="inlineStr">
        <is>
          <t>全项目</t>
        </is>
      </c>
      <c r="E6" s="36" t="inlineStr">
        <is>
          <t>统一3D塔楼主线、测试目录、当前资产路径、状态口径和投影契约；清理历史制作版本。</t>
        </is>
      </c>
      <c r="F6" s="36" t="inlineStr">
        <is>
          <t>只保留当前运行资产；历史追溯使用版本控制。</t>
        </is>
      </c>
      <c r="G6" s="36" t="inlineStr">
        <is>
          <t>Codex</t>
        </is>
      </c>
    </row>
    <row r="7" ht="46" customHeight="1">
      <c r="A7" s="63" t="inlineStr">
        <is>
          <t>v0.1.1</t>
        </is>
      </c>
      <c r="B7" s="132" t="n">
        <v>46240</v>
      </c>
      <c r="C7" s="63" t="inlineStr">
        <is>
          <t>角色武器表现调整</t>
        </is>
      </c>
      <c r="D7" s="63" t="inlineStr">
        <is>
          <t>player_capsule01_3d</t>
        </is>
      </c>
      <c r="E7" s="63" t="inlineStr">
        <is>
          <t>新增主左/副右背部收纳挂点，枪口统一朝下；复用既有武器模型与AssetID。</t>
        </is>
      </c>
      <c r="F7" s="63" t="inlineStr">
        <is>
          <t>不改武器实例、碰撞、伤害或切枪规则。</t>
        </is>
      </c>
      <c r="G7" s="63" t="inlineStr">
        <is>
          <t>Codex</t>
        </is>
      </c>
    </row>
    <row r="8" ht="46" customHeight="1">
      <c r="A8" s="63" t="inlineStr">
        <is>
          <t>v0.1.2</t>
        </is>
      </c>
      <c r="B8" s="132" t="n">
        <v>46241</v>
      </c>
      <c r="C8" s="63" t="inlineStr">
        <is>
          <t>音频与体验一致性</t>
        </is>
      </c>
      <c r="D8" s="63" t="inlineStr">
        <is>
          <t>31项音效/UI/玩家死亡</t>
        </is>
      </c>
      <c r="E8" s="63" t="inlineStr">
        <is>
          <t>登记OGG运行资产与哈希；更新包裹/贩卖机UI版本和死亡击飞回弹状态。</t>
        </is>
      </c>
      <c r="F8" s="63" t="inlineStr">
        <is>
          <t>WAV母版保留；运行时改用版本化OGG；不改变稳定事件键和AssetID。</t>
        </is>
      </c>
      <c r="G8" s="63" t="inlineStr">
        <is>
          <t>Codex</t>
        </is>
      </c>
    </row>
    <row r="9" ht="48" customHeight="1">
      <c r="A9" t="inlineStr">
        <is>
          <t>v0.1.6</t>
        </is>
      </c>
      <c r="B9" s="131" t="n">
        <v>46244</v>
      </c>
      <c r="C9" t="inlineStr">
        <is>
          <t>大型近战与动作状态机</t>
        </is>
      </c>
      <c r="D9" t="inlineStr">
        <is>
          <t>2武器/4动作态/三段连击</t>
        </is>
      </c>
      <c r="E9" t="inlineStr">
        <is>
          <t>登记巨型工业断刃、攻城裂甲斧程序原型；新增近战ready/windup/active/recovery动作契约与专项验收。</t>
        </is>
      </c>
      <c r="F9" t="inlineStr">
        <is>
          <t>不改变玩家八态移动机、碰撞体或WeaponInstance稳定身份；近战根无子弹槽。</t>
        </is>
      </c>
      <c r="G9" t="inlineStr">
        <is>
          <t>Codex</t>
        </is>
      </c>
    </row>
    <row r="10" ht="58" customHeight="1">
      <c r="A10" t="inlineStr">
        <is>
          <t>v0.1.7</t>
        </is>
      </c>
      <c r="B10" s="131" t="n">
        <v>46244</v>
      </c>
      <c r="C10" t="inlineStr">
        <is>
          <t>近战打击VFX与音频反馈</t>
        </is>
      </c>
      <c r="D10" t="inlineStr">
        <is>
          <t>战斗VFX/2音频/2近战</t>
        </is>
      </c>
      <c r="E10" t="inlineStr">
        <is>
          <t>复用VFX-COMBAT-KIT-3D扩展slash/melee_impact；登记melee_swing/melee_impact OGG与母版哈希；同步动作状态、武器反馈和专项验收。</t>
        </is>
      </c>
      <c r="F10" t="inlineStr">
        <is>
          <t>不改命中判定、伤害或稳定武器ID；VFX无碰撞；多目标冲击主音去重。</t>
        </is>
      </c>
      <c r="G10" t="inlineStr">
        <is>
          <t>Codex</t>
        </is>
      </c>
    </row>
    <row r="11" ht="58" customHeight="1">
      <c r="A11" t="inlineStr">
        <is>
          <t>v0.1.8</t>
        </is>
      </c>
      <c r="B11" s="131" t="n">
        <v>46244</v>
      </c>
      <c r="C11" t="inlineStr">
        <is>
          <t>初级近战与统一枪械配件槽</t>
        </is>
      </c>
      <c r="D11" t="inlineStr">
        <is>
          <t>1武器/6公共槽/7枪兼容矩阵</t>
        </is>
      </c>
      <c r="E11" t="inlineStr">
        <is>
          <t>登记基地初级棒球棍；所有枪显示瞄具/枪口/弹匣/枪托/战术/特性统一位置，不支持槽禁用；配件可单拆，整枪移动保留装配树。</t>
        </is>
      </c>
      <c r="F11" t="inlineStr">
        <is>
          <t>WeaponInstance schema v2兼容v1 MOUNT旧快照；不改命运永久槽或内部递归挂载。</t>
        </is>
      </c>
      <c r="G11" t="inlineStr">
        <is>
          <t>Codex</t>
        </is>
      </c>
    </row>
    <row r="12">
      <c r="A12" t="inlineStr">
        <is>
          <t>v0.1.9</t>
        </is>
      </c>
      <c r="B12" s="134" t="n">
        <v>46244</v>
      </c>
      <c r="C12" t="inlineStr">
        <is>
          <t>正式基地设施与独立枪械美术接入</t>
        </is>
      </c>
      <c r="D12" t="inlineStr">
        <is>
          <t>5设施/18枪/统一挂点</t>
        </is>
      </c>
      <c r="E12" t="inlineStr">
        <is>
          <t>基地接入贩卖机、情报台、工作台；18把枪拆为独立资产，7把映射现有蓝图，其余入未来资产池。</t>
        </is>
      </c>
      <c r="F12" t="inlineStr">
        <is>
          <t>不改玩法稳定ID；枪械统一Grip原点/local -Z枪口与8类挂点；旧程序模型保留为回退。</t>
        </is>
      </c>
      <c r="G12" t="inlineStr">
        <is>
          <t>Codex</t>
        </is>
      </c>
    </row>
    <row r="13" ht="60" customHeight="1">
      <c r="A13" t="inlineStr">
        <is>
          <t>v0.1.8</t>
        </is>
      </c>
      <c r="B13" s="134" t="n">
        <v>46245</v>
      </c>
      <c r="C13" t="inlineStr">
        <is>
          <t>??????????</t>
        </is>
      </c>
      <c r="D13" t="inlineStr">
        <is>
          <t>vault / fate_collection</t>
        </is>
      </c>
      <c r="E13" t="inlineStr">
        <is>
          <t>????????????????????????????????????????????????</t>
        </is>
      </c>
      <c r="F13" t="inlineStr">
        <is>
          <t>??facility_id???????????????????????</t>
        </is>
      </c>
      <c r="G13" t="inlineStr">
        <is>
          <t>Codex</t>
        </is>
      </c>
    </row>
    <row r="14" ht="54" customHeight="1"/>
    <row r="15" ht="72" customHeight="1"/>
    <row r="16" ht="72" customHeight="1"/>
    <row r="17" ht="52" customHeight="1"/>
    <row r="18" ht="50" customHeight="1"/>
    <row r="19" ht="52" customHeight="1"/>
    <row r="20" ht="90" customHeight="1"/>
    <row r="21" ht="86" customHeight="1"/>
    <row r="22" ht="72" customHeight="1"/>
    <row r="23" ht="78" customHeight="1"/>
    <row r="24" ht="100" customHeight="1"/>
    <row r="25" ht="115" customHeight="1"/>
    <row r="26" ht="118" customHeight="1"/>
    <row r="27" ht="118" customHeight="1"/>
    <row r="28" ht="118" customHeight="1"/>
    <row r="29" ht="84" customHeight="1"/>
    <row r="30" ht="118" customHeight="1"/>
    <row r="31" ht="118" customHeight="1"/>
    <row r="32" ht="118" customHeight="1"/>
    <row r="33" ht="128" customHeight="1"/>
    <row r="34" ht="96" customHeight="1"/>
    <row r="35" ht="108" customHeight="1"/>
    <row r="36" ht="72" customHeight="1"/>
    <row r="37">
      <c r="B37" s="131" t="n"/>
    </row>
  </sheetData>
  <mergeCells count="2">
    <mergeCell ref="A3:G3"/>
    <mergeCell ref="A1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2026-08-10T07:49:10Z</dcterms:created>
  <dcterms:modified xmlns:dcterms="http://purl.org/dc/terms/" xmlns:xsi="http://www.w3.org/2001/XMLSchema-instance" xsi:type="dcterms:W3CDTF">2026-08-11T08:08:38Z</dcterms:modified>
</cp:coreProperties>
</file>