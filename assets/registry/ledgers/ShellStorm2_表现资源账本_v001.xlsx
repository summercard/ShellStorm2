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总览" sheetId="1" state="visible" r:id="rId1"/>
    <sheet name="账本说明" sheetId="2" state="visible" r:id="rId2"/>
    <sheet name="资产主表" sheetId="3" state="visible" r:id="rId3"/>
    <sheet name="域变更日志" sheetId="4" state="visible" r:id="rId4"/>
  </sheets>
  <definedNames>
    <definedName name="_xlnm._FilterDatabase" localSheetId="2" hidden="1">'资产主表'!$A$5:$X$79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9">
    <font>
      <name val="Carlito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name val="Carlito"/>
      <b val="1"/>
      <color rgb="FF163246"/>
      <sz val="11"/>
    </font>
    <font>
      <name val="Carlito"/>
      <b val="1"/>
      <color rgb="FFF2C94C"/>
      <sz val="20"/>
    </font>
    <font>
      <name val="Carlito"/>
      <b val="1"/>
      <color rgb="FFFFFFFF"/>
      <sz val="11"/>
    </font>
    <font>
      <name val="Carlito"/>
      <color rgb="FF13202B"/>
      <sz val="9"/>
    </font>
    <font>
      <name val="Carlito"/>
      <b val="1"/>
      <color rgb="FF13202B"/>
      <sz val="11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Arial"/>
      <color rgb="FF13202B"/>
      <sz val="9"/>
    </font>
    <font>
      <name val="Arial"/>
      <b val="1"/>
      <color rgb="FF13202B"/>
      <sz val="11"/>
    </font>
    <font>
      <name val="Carlito"/>
      <b val="1"/>
      <color rgb="FFF2C94C"/>
      <sz val="11"/>
    </font>
    <font>
      <name val="Carlito"/>
      <b val="1"/>
      <color rgb="FF176C4A"/>
      <sz val="11"/>
    </font>
    <font>
      <name val="Carlito"/>
      <b val="1"/>
      <color rgb="FFFFFFFF"/>
      <sz val="14"/>
    </font>
    <font>
      <name val="Carlito"/>
      <b val="1"/>
      <color rgb="FF137333"/>
      <sz val="11"/>
    </font>
    <font>
      <name val="Carlito"/>
      <b val="1"/>
      <color rgb="FFD8F4FF"/>
      <sz val="11"/>
    </font>
    <font>
      <name val="Carlito"/>
      <i val="1"/>
      <color rgb="FFD8F4FF"/>
      <sz val="11"/>
    </font>
    <font>
      <name val="Carlito"/>
      <i val="1"/>
      <color rgb="FFE2F8FF"/>
      <sz val="11"/>
    </font>
    <font>
      <name val="Carlito"/>
      <color rgb="FF15383E"/>
      <sz val="11"/>
    </font>
    <font>
      <name val="Carlito"/>
      <b val="1"/>
      <color rgb="FF17563A"/>
      <sz val="11"/>
    </font>
    <font>
      <name val="Carlito"/>
      <b val="1"/>
      <color rgb="FF15383E"/>
      <sz val="1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name val="Carlito"/>
      <i val="1"/>
      <color rgb="FF334155"/>
      <sz val="11"/>
    </font>
    <font>
      <name val="Carlito"/>
      <b val="1"/>
      <color rgb="FF17324D"/>
      <sz val="11"/>
    </font>
    <font>
      <name val="Arial"/>
      <color rgb="FFFFFFFF"/>
      <sz val="11"/>
    </font>
    <font>
      <name val="Carlito"/>
      <color rgb="FF1F1F1F"/>
      <sz val="11"/>
    </font>
    <font>
      <b val="1"/>
    </font>
    <font>
      <b val="1"/>
      <color rgb="FF2E7D32"/>
      <sz val="11"/>
    </font>
    <font>
      <b val="1"/>
      <color rgb="FF17324D"/>
      <sz val="14"/>
    </font>
    <font>
      <i val="1"/>
      <color rgb="FF555555"/>
    </font>
    <font>
      <b val="1"/>
      <color rgb="FFFFFFFF"/>
    </font>
    <font>
      <b val="1"/>
      <color rgb="FF1565C0"/>
    </font>
  </fonts>
  <fills count="63">
    <fill>
      <patternFill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D9F3E8"/>
      </patternFill>
    </fill>
    <fill>
      <patternFill patternType="solid">
        <fgColor rgb="FF10212C"/>
      </patternFill>
    </fill>
    <fill>
      <patternFill patternType="solid">
        <fgColor rgb="FF10212C"/>
      </patternFill>
    </fill>
    <fill>
      <patternFill patternType="solid">
        <fgColor rgb="FFE2F3E7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17384A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17384A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24495D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24495D"/>
      </patternFill>
    </fill>
    <fill>
      <patternFill patternType="solid">
        <fgColor rgb="FF246583"/>
      </patternFill>
    </fill>
    <fill>
      <patternFill patternType="solid">
        <fgColor rgb="FFE4F2F3"/>
      </patternFill>
    </fill>
    <fill>
      <patternFill patternType="solid">
        <fgColor rgb="FFD7EEE5"/>
      </patternFill>
    </fill>
    <fill>
      <patternFill patternType="solid">
        <fgColor rgb="FFE4F2F3"/>
      </patternFill>
    </fill>
    <fill>
      <patternFill patternType="solid">
        <fgColor rgb="FFD7EEE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E2E8F0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FFF2CC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E3F2FD"/>
      </patternFill>
    </fill>
  </fills>
  <borders count="41">
    <border/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left style="thin">
        <color rgb="FFAFC9CD"/>
      </left>
      <right style="thin">
        <color rgb="FFAFC9CD"/>
      </right>
      <top style="thin">
        <color rgb="FFAFC9CD"/>
      </top>
      <bottom style="thin">
        <color rgb="FFAFC9CD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left style="medium">
        <color rgb="FF446170"/>
      </left>
      <right style="medium">
        <color rgb="FF446170"/>
      </right>
      <top style="medium">
        <color rgb="FF446170"/>
      </top>
      <bottom style="medium">
        <color rgb="FF446170"/>
      </bottom>
    </border>
    <border>
      <top style="medium">
        <color rgb="FF446170"/>
      </top>
    </border>
    <border>
      <right style="medium">
        <color rgb="FF446170"/>
      </right>
      <top style="medium">
        <color rgb="FF446170"/>
      </top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  <border>
      <right style="thin">
        <color rgb="FFE5E7EB"/>
      </right>
      <bottom style="thin">
        <color rgb="FFD9E2F3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>
      <left style="thin">
        <color rgb="FFD9E2F3"/>
      </left>
      <right style="thin">
        <color rgb="FFE5E7EB"/>
      </right>
      <bottom style="thin">
        <color rgb="FFD9E2F3"/>
      </bottom>
    </border>
    <border>
      <left style="thin">
        <color rgb="FFD9E2F3"/>
      </left>
      <right style="thin">
        <color rgb="FFE5E7EB"/>
      </right>
      <top style="thin">
        <color rgb="FFD9E2F3"/>
      </top>
      <bottom style="thin">
        <color rgb="FFD9E2F3"/>
      </bottom>
    </border>
    <border>
      <right style="thin">
        <color rgb="FFE5E7EB"/>
      </right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9FBAD0"/>
      </bottom>
    </border>
    <border>
      <left style="thin">
        <color rgb="FFE5E7EB"/>
      </left>
      <bottom style="thin">
        <color rgb="FF9FBAD0"/>
      </bottom>
    </border>
    <border>
      <right style="thin">
        <color rgb="FFE5E7EB"/>
      </right>
      <top style="thin">
        <color rgb="FFD9E2F3"/>
      </top>
    </border>
    <border>
      <left style="thin">
        <color rgb="FFE5E7EB"/>
      </left>
      <right style="thin">
        <color rgb="FFE5E7EB"/>
      </right>
      <top style="thin">
        <color rgb="FFD9E2F3"/>
      </top>
    </border>
    <border>
      <left style="thin">
        <color rgb="FFE5E7EB"/>
      </left>
      <top style="thin">
        <color rgb="FFD9E2F3"/>
      </top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</border>
  </borders>
  <cellStyleXfs count="1">
    <xf numFmtId="0" fontId="0" fillId="0" borderId="0"/>
  </cellStyleXfs>
  <cellXfs count="39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horizontal="center" wrapText="1"/>
    </xf>
    <xf numFmtId="0" fontId="5" fillId="5" borderId="2" applyAlignment="1" pivotButton="0" quotePrefix="0" xfId="0">
      <alignment horizontal="center" wrapText="1"/>
    </xf>
    <xf numFmtId="0" fontId="5" fillId="5" borderId="3" applyAlignment="1" pivotButton="0" quotePrefix="0" xfId="0">
      <alignment horizont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4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6" fillId="0" borderId="4" applyAlignment="1" pivotButton="0" quotePrefix="0" xfId="0">
      <alignment vertical="top" wrapText="1"/>
    </xf>
    <xf numFmtId="0" fontId="6" fillId="0" borderId="5" applyAlignment="1" pivotButton="0" quotePrefix="0" xfId="0">
      <alignment vertical="top" wrapText="1"/>
    </xf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horizontal="center"/>
    </xf>
    <xf numFmtId="0" fontId="8" fillId="2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10" fillId="0" borderId="0" pivotButton="0" quotePrefix="0" xfId="0"/>
    <xf numFmtId="0" fontId="11" fillId="4" borderId="0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4" fillId="0" borderId="4" applyAlignment="1" pivotButton="0" quotePrefix="0" xfId="0">
      <alignment vertical="top" wrapText="1"/>
    </xf>
    <xf numFmtId="0" fontId="15" fillId="6" borderId="0" applyAlignment="1" pivotButton="0" quotePrefix="0" xfId="0">
      <alignment horizontal="center"/>
    </xf>
    <xf numFmtId="0" fontId="14" fillId="0" borderId="5" applyAlignment="1" pivotButton="0" quotePrefix="0" xfId="0">
      <alignment vertical="top" wrapText="1"/>
    </xf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0" fontId="16" fillId="2" borderId="0" pivotButton="0" quotePrefix="0" xfId="0"/>
    <xf numFmtId="0" fontId="16" fillId="2" borderId="0" applyAlignment="1" pivotButton="0" quotePrefix="0" xfId="0">
      <alignment wrapText="1"/>
    </xf>
    <xf numFmtId="0" fontId="5" fillId="5" borderId="0" applyAlignment="1" pivotButton="0" quotePrefix="0" xfId="0">
      <alignment horizontal="center"/>
    </xf>
    <xf numFmtId="0" fontId="3" fillId="4" borderId="0" applyAlignment="1" pivotButton="0" quotePrefix="0" xfId="0">
      <alignment wrapText="1"/>
    </xf>
    <xf numFmtId="0" fontId="0" fillId="7" borderId="0" pivotButton="0" quotePrefix="0" xfId="0"/>
    <xf numFmtId="0" fontId="17" fillId="7" borderId="0" pivotButton="0" quotePrefix="0" xfId="0"/>
    <xf numFmtId="0" fontId="17" fillId="7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8" fillId="8" borderId="0" applyAlignment="1" pivotButton="0" quotePrefix="0" xfId="0">
      <alignment wrapText="1"/>
    </xf>
    <xf numFmtId="0" fontId="18" fillId="8" borderId="0" pivotButton="0" quotePrefix="0" xfId="0"/>
    <xf numFmtId="0" fontId="18" fillId="8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10" borderId="0" pivotButton="0" quotePrefix="0" xfId="0"/>
    <xf numFmtId="0" fontId="19" fillId="10" borderId="0" pivotButton="0" quotePrefix="0" xfId="0"/>
    <xf numFmtId="0" fontId="0" fillId="11" borderId="0" pivotButton="0" quotePrefix="0" xfId="0"/>
    <xf numFmtId="0" fontId="20" fillId="11" borderId="0" pivotButton="0" quotePrefix="0" xfId="0"/>
    <xf numFmtId="0" fontId="0" fillId="12" borderId="0" pivotButton="0" quotePrefix="0" xfId="0"/>
    <xf numFmtId="0" fontId="5" fillId="12" borderId="0" pivotButton="0" quotePrefix="0" xfId="0"/>
    <xf numFmtId="0" fontId="0" fillId="13" borderId="0" pivotButton="0" quotePrefix="0" xfId="0"/>
    <xf numFmtId="0" fontId="21" fillId="13" borderId="0" pivotButton="0" quotePrefix="0" xfId="0"/>
    <xf numFmtId="0" fontId="21" fillId="13" borderId="0" applyAlignment="1" pivotButton="0" quotePrefix="0" xfId="0">
      <alignment wrapText="1"/>
    </xf>
    <xf numFmtId="0" fontId="20" fillId="14" borderId="0" pivotButton="0" quotePrefix="0" xfId="0"/>
    <xf numFmtId="0" fontId="5" fillId="15" borderId="0" pivotButton="0" quotePrefix="0" xfId="0"/>
    <xf numFmtId="0" fontId="21" fillId="16" borderId="0" applyAlignment="1" pivotButton="0" quotePrefix="0" xfId="0">
      <alignment wrapText="1"/>
    </xf>
    <xf numFmtId="0" fontId="0" fillId="17" borderId="0" pivotButton="0" quotePrefix="0" xfId="0"/>
    <xf numFmtId="0" fontId="20" fillId="17" borderId="0" pivotButton="0" quotePrefix="0" xfId="0"/>
    <xf numFmtId="0" fontId="0" fillId="18" borderId="0" pivotButton="0" quotePrefix="0" xfId="0"/>
    <xf numFmtId="0" fontId="5" fillId="18" borderId="0" pivotButton="0" quotePrefix="0" xfId="0"/>
    <xf numFmtId="0" fontId="20" fillId="17" borderId="0" applyAlignment="1" pivotButton="0" quotePrefix="0" xfId="0">
      <alignment wrapText="1"/>
    </xf>
    <xf numFmtId="0" fontId="5" fillId="18" borderId="0" applyAlignment="1" pivotButton="0" quotePrefix="0" xfId="0">
      <alignment wrapText="1"/>
    </xf>
    <xf numFmtId="0" fontId="0" fillId="19" borderId="0" pivotButton="0" quotePrefix="0" xfId="0"/>
    <xf numFmtId="0" fontId="22" fillId="19" borderId="0" pivotButton="0" quotePrefix="0" xfId="0"/>
    <xf numFmtId="0" fontId="22" fillId="19" borderId="0" applyAlignment="1" pivotButton="0" quotePrefix="0" xfId="0">
      <alignment wrapText="1"/>
    </xf>
    <xf numFmtId="0" fontId="20" fillId="20" borderId="0" applyAlignment="1" pivotButton="0" quotePrefix="0" xfId="0">
      <alignment wrapText="1"/>
    </xf>
    <xf numFmtId="0" fontId="5" fillId="21" borderId="0" applyAlignment="1" pivotButton="0" quotePrefix="0" xfId="0">
      <alignment wrapText="1"/>
    </xf>
    <xf numFmtId="0" fontId="22" fillId="22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18" fillId="8" borderId="0" applyAlignment="1" pivotButton="0" quotePrefix="0" xfId="0">
      <alignment vertical="center" wrapText="1"/>
    </xf>
    <xf numFmtId="0" fontId="20" fillId="11" borderId="0" applyAlignment="1" pivotButton="0" quotePrefix="0" xfId="0">
      <alignment wrapText="1"/>
    </xf>
    <xf numFmtId="0" fontId="5" fillId="12" borderId="0" applyAlignment="1" pivotButton="0" quotePrefix="0" xfId="0">
      <alignment wrapText="1"/>
    </xf>
    <xf numFmtId="0" fontId="6" fillId="0" borderId="4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  <xf numFmtId="0" fontId="5" fillId="12" borderId="0" applyAlignment="1" pivotButton="0" quotePrefix="0" xfId="0">
      <alignment vertical="center" wrapText="1"/>
    </xf>
    <xf numFmtId="164" fontId="6" fillId="0" borderId="5" applyAlignment="1" pivotButton="0" quotePrefix="0" xfId="0">
      <alignment vertical="center" wrapText="1"/>
    </xf>
    <xf numFmtId="0" fontId="0" fillId="23" borderId="0" pivotButton="0" quotePrefix="0" xfId="0"/>
    <xf numFmtId="0" fontId="5" fillId="23" borderId="0" pivotButton="0" quotePrefix="0" xfId="0"/>
    <xf numFmtId="0" fontId="5" fillId="23" borderId="0" applyAlignment="1" pivotButton="0" quotePrefix="0" xfId="0">
      <alignment horizontal="center"/>
    </xf>
    <xf numFmtId="0" fontId="5" fillId="23" borderId="0" applyAlignment="1" pivotButton="0" quotePrefix="0" xfId="0">
      <alignment horizontal="center" vertical="center"/>
    </xf>
    <xf numFmtId="0" fontId="0" fillId="24" borderId="0" pivotButton="0" quotePrefix="0" xfId="0"/>
    <xf numFmtId="0" fontId="23" fillId="24" borderId="0" pivotButton="0" quotePrefix="0" xfId="0"/>
    <xf numFmtId="0" fontId="23" fillId="24" borderId="6" pivotButton="0" quotePrefix="0" xfId="0"/>
    <xf numFmtId="0" fontId="23" fillId="24" borderId="6" applyAlignment="1" pivotButton="0" quotePrefix="0" xfId="0">
      <alignment wrapText="1"/>
    </xf>
    <xf numFmtId="0" fontId="23" fillId="24" borderId="6" applyAlignment="1" pivotButton="0" quotePrefix="0" xfId="0">
      <alignment vertical="center" wrapText="1"/>
    </xf>
    <xf numFmtId="0" fontId="23" fillId="25" borderId="6" applyAlignment="1" pivotButton="0" quotePrefix="0" xfId="0">
      <alignment vertical="center" wrapText="1"/>
    </xf>
    <xf numFmtId="0" fontId="24" fillId="25" borderId="6" applyAlignment="1" pivotButton="0" quotePrefix="0" xfId="0">
      <alignment vertical="center" wrapText="1"/>
    </xf>
    <xf numFmtId="0" fontId="24" fillId="25" borderId="7" applyAlignment="1" pivotButton="0" quotePrefix="0" xfId="0">
      <alignment vertical="center" wrapText="1"/>
    </xf>
    <xf numFmtId="0" fontId="24" fillId="26" borderId="7" applyAlignment="1" pivotButton="0" quotePrefix="0" xfId="0">
      <alignment vertical="center" wrapText="1"/>
    </xf>
    <xf numFmtId="0" fontId="23" fillId="26" borderId="6" applyAlignment="1" pivotButton="0" quotePrefix="0" xfId="0">
      <alignment vertical="center" wrapText="1"/>
    </xf>
    <xf numFmtId="0" fontId="25" fillId="26" borderId="7" applyAlignment="1" pivotButton="0" quotePrefix="0" xfId="0">
      <alignment vertical="center" wrapText="1"/>
    </xf>
    <xf numFmtId="0" fontId="25" fillId="26" borderId="6" applyAlignment="1" pivotButton="0" quotePrefix="0" xfId="0">
      <alignment vertical="center" wrapText="1"/>
    </xf>
    <xf numFmtId="0" fontId="25" fillId="27" borderId="6" applyAlignment="1" pivotButton="0" quotePrefix="0" xfId="0">
      <alignment vertical="center" wrapText="1"/>
    </xf>
    <xf numFmtId="0" fontId="24" fillId="27" borderId="6" applyAlignment="1" pivotButton="0" quotePrefix="0" xfId="0">
      <alignment vertical="center" wrapText="1"/>
    </xf>
    <xf numFmtId="0" fontId="24" fillId="27" borderId="7" applyAlignment="1" pivotButton="0" quotePrefix="0" xfId="0">
      <alignment vertical="center" wrapText="1"/>
    </xf>
    <xf numFmtId="0" fontId="13" fillId="5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164" fontId="6" fillId="0" borderId="5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0" fillId="0" borderId="0" pivotButton="0" quotePrefix="0" xfId="0"/>
    <xf numFmtId="164" fontId="0" fillId="0" borderId="0" applyAlignment="1" pivotButton="0" quotePrefix="0" xfId="0">
      <alignment wrapText="1"/>
    </xf>
    <xf numFmtId="165" fontId="23" fillId="26" borderId="6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6" fillId="0" borderId="5" applyAlignment="1" pivotButton="0" quotePrefix="0" xfId="0">
      <alignment vertical="top" wrapText="1"/>
    </xf>
    <xf numFmtId="0" fontId="0" fillId="28" borderId="0" pivotButton="0" quotePrefix="0" xfId="0"/>
    <xf numFmtId="0" fontId="26" fillId="28" borderId="0" pivotButton="0" quotePrefix="0" xfId="0"/>
    <xf numFmtId="0" fontId="26" fillId="28" borderId="0" applyAlignment="1" pivotButton="0" quotePrefix="0" xfId="0">
      <alignment vertical="center"/>
    </xf>
    <xf numFmtId="0" fontId="0" fillId="29" borderId="0" pivotButton="0" quotePrefix="0" xfId="0"/>
    <xf numFmtId="0" fontId="27" fillId="29" borderId="0" pivotButton="0" quotePrefix="0" xfId="0"/>
    <xf numFmtId="0" fontId="27" fillId="29" borderId="0" applyAlignment="1" pivotButton="0" quotePrefix="0" xfId="0">
      <alignment wrapText="1"/>
    </xf>
    <xf numFmtId="0" fontId="27" fillId="29" borderId="0" applyAlignment="1" pivotButton="0" quotePrefix="0" xfId="0">
      <alignment vertical="center" wrapText="1"/>
    </xf>
    <xf numFmtId="0" fontId="0" fillId="30" borderId="0" pivotButton="0" quotePrefix="0" xfId="0"/>
    <xf numFmtId="0" fontId="5" fillId="30" borderId="0" pivotButton="0" quotePrefix="0" xfId="0"/>
    <xf numFmtId="0" fontId="5" fillId="30" borderId="11" pivotButton="0" quotePrefix="0" xfId="0"/>
    <xf numFmtId="0" fontId="5" fillId="30" borderId="12" pivotButton="0" quotePrefix="0" xfId="0"/>
    <xf numFmtId="0" fontId="5" fillId="30" borderId="13" pivotButton="0" quotePrefix="0" xfId="0"/>
    <xf numFmtId="0" fontId="5" fillId="30" borderId="11" applyAlignment="1" pivotButton="0" quotePrefix="0" xfId="0">
      <alignment wrapText="1"/>
    </xf>
    <xf numFmtId="0" fontId="5" fillId="30" borderId="12" applyAlignment="1" pivotButton="0" quotePrefix="0" xfId="0">
      <alignment wrapText="1"/>
    </xf>
    <xf numFmtId="0" fontId="5" fillId="30" borderId="13" applyAlignment="1" pivotButton="0" quotePrefix="0" xfId="0">
      <alignment wrapText="1"/>
    </xf>
    <xf numFmtId="0" fontId="5" fillId="30" borderId="11" applyAlignment="1" pivotButton="0" quotePrefix="0" xfId="0">
      <alignment horizontal="center" wrapText="1"/>
    </xf>
    <xf numFmtId="0" fontId="5" fillId="30" borderId="12" applyAlignment="1" pivotButton="0" quotePrefix="0" xfId="0">
      <alignment horizontal="center" wrapText="1"/>
    </xf>
    <xf numFmtId="0" fontId="5" fillId="30" borderId="13" applyAlignment="1" pivotButton="0" quotePrefix="0" xfId="0">
      <alignment horizontal="center" wrapText="1"/>
    </xf>
    <xf numFmtId="0" fontId="5" fillId="30" borderId="11" applyAlignment="1" pivotButton="0" quotePrefix="0" xfId="0">
      <alignment horizontal="center" vertical="center" wrapText="1"/>
    </xf>
    <xf numFmtId="0" fontId="5" fillId="30" borderId="12" applyAlignment="1" pivotButton="0" quotePrefix="0" xfId="0">
      <alignment horizontal="center" vertical="center" wrapText="1"/>
    </xf>
    <xf numFmtId="0" fontId="5" fillId="30" borderId="13" applyAlignment="1" pivotButton="0" quotePrefix="0" xfId="0">
      <alignment horizontal="center" vertical="center" wrapText="1"/>
    </xf>
    <xf numFmtId="0" fontId="28" fillId="0" borderId="0" pivotButton="0" quotePrefix="0" xfId="0"/>
    <xf numFmtId="0" fontId="28" fillId="0" borderId="14" pivotButton="0" quotePrefix="0" xfId="0"/>
    <xf numFmtId="0" fontId="28" fillId="0" borderId="15" pivotButton="0" quotePrefix="0" xfId="0"/>
    <xf numFmtId="0" fontId="28" fillId="0" borderId="16" pivotButton="0" quotePrefix="0" xfId="0"/>
    <xf numFmtId="0" fontId="28" fillId="0" borderId="17" pivotButton="0" quotePrefix="0" xfId="0"/>
    <xf numFmtId="0" fontId="28" fillId="0" borderId="18" pivotButton="0" quotePrefix="0" xfId="0"/>
    <xf numFmtId="0" fontId="28" fillId="0" borderId="19" pivotButton="0" quotePrefix="0" xfId="0"/>
    <xf numFmtId="0" fontId="28" fillId="0" borderId="20" pivotButton="0" quotePrefix="0" xfId="0"/>
    <xf numFmtId="0" fontId="28" fillId="0" borderId="21" pivotButton="0" quotePrefix="0" xfId="0"/>
    <xf numFmtId="0" fontId="28" fillId="0" borderId="22" pivotButton="0" quotePrefix="0" xfId="0"/>
    <xf numFmtId="0" fontId="28" fillId="0" borderId="14" applyAlignment="1" pivotButton="0" quotePrefix="0" xfId="0">
      <alignment wrapText="1"/>
    </xf>
    <xf numFmtId="0" fontId="28" fillId="0" borderId="15" applyAlignment="1" pivotButton="0" quotePrefix="0" xfId="0">
      <alignment wrapText="1"/>
    </xf>
    <xf numFmtId="0" fontId="28" fillId="0" borderId="16" applyAlignment="1" pivotButton="0" quotePrefix="0" xfId="0">
      <alignment wrapText="1"/>
    </xf>
    <xf numFmtId="0" fontId="28" fillId="0" borderId="17" applyAlignment="1" pivotButton="0" quotePrefix="0" xfId="0">
      <alignment wrapText="1"/>
    </xf>
    <xf numFmtId="0" fontId="28" fillId="0" borderId="18" applyAlignment="1" pivotButton="0" quotePrefix="0" xfId="0">
      <alignment wrapText="1"/>
    </xf>
    <xf numFmtId="0" fontId="28" fillId="0" borderId="19" applyAlignment="1" pivotButton="0" quotePrefix="0" xfId="0">
      <alignment wrapText="1"/>
    </xf>
    <xf numFmtId="0" fontId="28" fillId="0" borderId="20" applyAlignment="1" pivotButton="0" quotePrefix="0" xfId="0">
      <alignment wrapText="1"/>
    </xf>
    <xf numFmtId="0" fontId="28" fillId="0" borderId="21" applyAlignment="1" pivotButton="0" quotePrefix="0" xfId="0">
      <alignment wrapText="1"/>
    </xf>
    <xf numFmtId="0" fontId="28" fillId="0" borderId="22" applyAlignment="1" pivotButton="0" quotePrefix="0" xfId="0">
      <alignment wrapText="1"/>
    </xf>
    <xf numFmtId="0" fontId="28" fillId="0" borderId="14" applyAlignment="1" pivotButton="0" quotePrefix="0" xfId="0">
      <alignment vertical="top" wrapText="1"/>
    </xf>
    <xf numFmtId="0" fontId="28" fillId="0" borderId="15" applyAlignment="1" pivotButton="0" quotePrefix="0" xfId="0">
      <alignment vertical="top" wrapText="1"/>
    </xf>
    <xf numFmtId="0" fontId="28" fillId="0" borderId="16" applyAlignment="1" pivotButton="0" quotePrefix="0" xfId="0">
      <alignment vertical="top" wrapText="1"/>
    </xf>
    <xf numFmtId="0" fontId="28" fillId="0" borderId="17" applyAlignment="1" pivotButton="0" quotePrefix="0" xfId="0">
      <alignment vertical="top" wrapText="1"/>
    </xf>
    <xf numFmtId="0" fontId="28" fillId="0" borderId="18" applyAlignment="1" pivotButton="0" quotePrefix="0" xfId="0">
      <alignment vertical="top" wrapText="1"/>
    </xf>
    <xf numFmtId="0" fontId="28" fillId="0" borderId="19" applyAlignment="1" pivotButton="0" quotePrefix="0" xfId="0">
      <alignment vertical="top" wrapText="1"/>
    </xf>
    <xf numFmtId="0" fontId="28" fillId="0" borderId="20" applyAlignment="1" pivotButton="0" quotePrefix="0" xfId="0">
      <alignment vertical="top" wrapText="1"/>
    </xf>
    <xf numFmtId="0" fontId="28" fillId="0" borderId="21" applyAlignment="1" pivotButton="0" quotePrefix="0" xfId="0">
      <alignment vertical="top" wrapText="1"/>
    </xf>
    <xf numFmtId="0" fontId="28" fillId="0" borderId="22" applyAlignment="1" pivotButton="0" quotePrefix="0" xfId="0">
      <alignment vertical="top" wrapText="1"/>
    </xf>
    <xf numFmtId="0" fontId="28" fillId="0" borderId="23" applyAlignment="1" pivotButton="0" quotePrefix="0" xfId="0">
      <alignment vertical="top" wrapText="1"/>
    </xf>
    <xf numFmtId="0" fontId="28" fillId="0" borderId="24" applyAlignment="1" pivotButton="0" quotePrefix="0" xfId="0">
      <alignment vertical="top" wrapText="1"/>
    </xf>
    <xf numFmtId="0" fontId="28" fillId="0" borderId="25" applyAlignment="1" pivotButton="0" quotePrefix="0" xfId="0">
      <alignment vertical="top" wrapText="1"/>
    </xf>
    <xf numFmtId="0" fontId="28" fillId="0" borderId="26" applyAlignment="1" pivotButton="0" quotePrefix="0" xfId="0">
      <alignment vertical="top" wrapText="1"/>
    </xf>
    <xf numFmtId="0" fontId="28" fillId="0" borderId="27" applyAlignment="1" pivotButton="0" quotePrefix="0" xfId="0">
      <alignment vertical="top" wrapText="1"/>
    </xf>
    <xf numFmtId="0" fontId="28" fillId="0" borderId="28" applyAlignment="1" pivotButton="0" quotePrefix="0" xfId="0">
      <alignment vertical="top" wrapText="1"/>
    </xf>
    <xf numFmtId="0" fontId="28" fillId="0" borderId="29" applyAlignment="1" pivotButton="0" quotePrefix="0" xfId="0">
      <alignment vertical="top" wrapText="1"/>
    </xf>
    <xf numFmtId="0" fontId="28" fillId="0" borderId="30" applyAlignment="1" pivotButton="0" quotePrefix="0" xfId="0">
      <alignment vertical="top" wrapText="1"/>
    </xf>
    <xf numFmtId="0" fontId="28" fillId="0" borderId="31" applyAlignment="1" pivotButton="0" quotePrefix="0" xfId="0">
      <alignment vertical="top" wrapText="1"/>
    </xf>
    <xf numFmtId="0" fontId="26" fillId="31" borderId="0" applyAlignment="1" pivotButton="0" quotePrefix="0" xfId="0">
      <alignment vertical="center"/>
    </xf>
    <xf numFmtId="0" fontId="27" fillId="32" borderId="0" applyAlignment="1" pivotButton="0" quotePrefix="0" xfId="0">
      <alignment vertical="center" wrapText="1"/>
    </xf>
    <xf numFmtId="0" fontId="5" fillId="33" borderId="11" applyAlignment="1" pivotButton="0" quotePrefix="0" xfId="0">
      <alignment horizontal="center" vertical="center" wrapText="1"/>
    </xf>
    <xf numFmtId="0" fontId="5" fillId="33" borderId="12" applyAlignment="1" pivotButton="0" quotePrefix="0" xfId="0">
      <alignment horizontal="center" vertical="center" wrapText="1"/>
    </xf>
    <xf numFmtId="0" fontId="5" fillId="33" borderId="13" applyAlignment="1" pivotButton="0" quotePrefix="0" xfId="0">
      <alignment horizontal="center" vertical="center" wrapText="1"/>
    </xf>
    <xf numFmtId="0" fontId="28" fillId="0" borderId="32" applyAlignment="1" pivotButton="0" quotePrefix="0" xfId="0">
      <alignment vertical="top" wrapText="1"/>
    </xf>
    <xf numFmtId="0" fontId="28" fillId="0" borderId="33" applyAlignment="1" pivotButton="0" quotePrefix="0" xfId="0">
      <alignment vertical="top" wrapText="1"/>
    </xf>
    <xf numFmtId="0" fontId="26" fillId="34" borderId="0" applyAlignment="1" pivotButton="0" quotePrefix="0" xfId="0">
      <alignment vertical="center"/>
    </xf>
    <xf numFmtId="0" fontId="0" fillId="34" borderId="0" pivotButton="0" quotePrefix="0" xfId="0"/>
    <xf numFmtId="0" fontId="26" fillId="34" borderId="0" pivotButton="0" quotePrefix="0" xfId="0"/>
    <xf numFmtId="0" fontId="27" fillId="35" borderId="0" applyAlignment="1" pivotButton="0" quotePrefix="0" xfId="0">
      <alignment vertical="center" wrapText="1"/>
    </xf>
    <xf numFmtId="0" fontId="0" fillId="35" borderId="0" pivotButton="0" quotePrefix="0" xfId="0"/>
    <xf numFmtId="0" fontId="27" fillId="35" borderId="0" pivotButton="0" quotePrefix="0" xfId="0"/>
    <xf numFmtId="0" fontId="27" fillId="35" borderId="0" applyAlignment="1" pivotButton="0" quotePrefix="0" xfId="0">
      <alignment wrapText="1"/>
    </xf>
    <xf numFmtId="0" fontId="5" fillId="36" borderId="11" applyAlignment="1" pivotButton="0" quotePrefix="0" xfId="0">
      <alignment horizontal="center" vertical="center" wrapText="1"/>
    </xf>
    <xf numFmtId="0" fontId="5" fillId="36" borderId="12" applyAlignment="1" pivotButton="0" quotePrefix="0" xfId="0">
      <alignment horizontal="center" vertical="center" wrapText="1"/>
    </xf>
    <xf numFmtId="0" fontId="5" fillId="36" borderId="13" applyAlignment="1" pivotButton="0" quotePrefix="0" xfId="0">
      <alignment horizontal="center" vertical="center" wrapText="1"/>
    </xf>
    <xf numFmtId="0" fontId="0" fillId="36" borderId="0" pivotButton="0" quotePrefix="0" xfId="0"/>
    <xf numFmtId="0" fontId="5" fillId="36" borderId="0" pivotButton="0" quotePrefix="0" xfId="0"/>
    <xf numFmtId="0" fontId="5" fillId="36" borderId="13" pivotButton="0" quotePrefix="0" xfId="0"/>
    <xf numFmtId="0" fontId="5" fillId="36" borderId="13" applyAlignment="1" pivotButton="0" quotePrefix="0" xfId="0">
      <alignment wrapText="1"/>
    </xf>
    <xf numFmtId="0" fontId="5" fillId="36" borderId="13" applyAlignment="1" pivotButton="0" quotePrefix="0" xfId="0">
      <alignment horizontal="center" wrapText="1"/>
    </xf>
    <xf numFmtId="0" fontId="28" fillId="0" borderId="32" pivotButton="0" quotePrefix="0" xfId="0"/>
    <xf numFmtId="0" fontId="28" fillId="0" borderId="33" pivotButton="0" quotePrefix="0" xfId="0"/>
    <xf numFmtId="0" fontId="28" fillId="0" borderId="32" applyAlignment="1" pivotButton="0" quotePrefix="0" xfId="0">
      <alignment wrapText="1"/>
    </xf>
    <xf numFmtId="0" fontId="28" fillId="0" borderId="33" applyAlignment="1" pivotButton="0" quotePrefix="0" xfId="0">
      <alignment wrapText="1"/>
    </xf>
    <xf numFmtId="0" fontId="5" fillId="34" borderId="0" pivotButton="0" quotePrefix="0" xfId="0"/>
    <xf numFmtId="0" fontId="5" fillId="34" borderId="0" applyAlignment="1" pivotButton="0" quotePrefix="0" xfId="0">
      <alignment horizontal="center"/>
    </xf>
    <xf numFmtId="0" fontId="5" fillId="36" borderId="0" applyAlignment="1" pivotButton="0" quotePrefix="0" xfId="0">
      <alignment horizontal="center"/>
    </xf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14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0" fillId="0" borderId="14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37" borderId="0" pivotButton="0" quotePrefix="0" xfId="0"/>
    <xf numFmtId="0" fontId="26" fillId="37" borderId="0" pivotButton="0" quotePrefix="0" xfId="0"/>
    <xf numFmtId="0" fontId="26" fillId="37" borderId="0" applyAlignment="1" pivotButton="0" quotePrefix="0" xfId="0">
      <alignment vertical="center"/>
    </xf>
    <xf numFmtId="0" fontId="0" fillId="38" borderId="0" pivotButton="0" quotePrefix="0" xfId="0"/>
    <xf numFmtId="0" fontId="27" fillId="38" borderId="0" pivotButton="0" quotePrefix="0" xfId="0"/>
    <xf numFmtId="0" fontId="27" fillId="38" borderId="0" applyAlignment="1" pivotButton="0" quotePrefix="0" xfId="0">
      <alignment wrapText="1"/>
    </xf>
    <xf numFmtId="0" fontId="27" fillId="38" borderId="0" applyAlignment="1" pivotButton="0" quotePrefix="0" xfId="0">
      <alignment vertical="center" wrapText="1"/>
    </xf>
    <xf numFmtId="0" fontId="0" fillId="39" borderId="0" pivotButton="0" quotePrefix="0" xfId="0"/>
    <xf numFmtId="0" fontId="5" fillId="39" borderId="0" pivotButton="0" quotePrefix="0" xfId="0"/>
    <xf numFmtId="0" fontId="5" fillId="39" borderId="11" pivotButton="0" quotePrefix="0" xfId="0"/>
    <xf numFmtId="0" fontId="5" fillId="39" borderId="12" pivotButton="0" quotePrefix="0" xfId="0"/>
    <xf numFmtId="0" fontId="5" fillId="39" borderId="13" pivotButton="0" quotePrefix="0" xfId="0"/>
    <xf numFmtId="0" fontId="5" fillId="39" borderId="11" applyAlignment="1" pivotButton="0" quotePrefix="0" xfId="0">
      <alignment wrapText="1"/>
    </xf>
    <xf numFmtId="0" fontId="5" fillId="39" borderId="12" applyAlignment="1" pivotButton="0" quotePrefix="0" xfId="0">
      <alignment wrapText="1"/>
    </xf>
    <xf numFmtId="0" fontId="5" fillId="39" borderId="13" applyAlignment="1" pivotButton="0" quotePrefix="0" xfId="0">
      <alignment wrapText="1"/>
    </xf>
    <xf numFmtId="0" fontId="5" fillId="39" borderId="11" applyAlignment="1" pivotButton="0" quotePrefix="0" xfId="0">
      <alignment horizontal="center" wrapText="1"/>
    </xf>
    <xf numFmtId="0" fontId="5" fillId="39" borderId="12" applyAlignment="1" pivotButton="0" quotePrefix="0" xfId="0">
      <alignment horizontal="center" wrapText="1"/>
    </xf>
    <xf numFmtId="0" fontId="5" fillId="39" borderId="13" applyAlignment="1" pivotButton="0" quotePrefix="0" xfId="0">
      <alignment horizontal="center" wrapText="1"/>
    </xf>
    <xf numFmtId="0" fontId="5" fillId="39" borderId="11" applyAlignment="1" pivotButton="0" quotePrefix="0" xfId="0">
      <alignment horizontal="center" vertical="center" wrapText="1"/>
    </xf>
    <xf numFmtId="0" fontId="5" fillId="39" borderId="12" applyAlignment="1" pivotButton="0" quotePrefix="0" xfId="0">
      <alignment horizontal="center" vertical="center" wrapText="1"/>
    </xf>
    <xf numFmtId="0" fontId="5" fillId="39" borderId="13" applyAlignment="1" pivotButton="0" quotePrefix="0" xfId="0">
      <alignment horizontal="center" vertical="center" wrapText="1"/>
    </xf>
    <xf numFmtId="0" fontId="28" fillId="0" borderId="0" applyAlignment="1" pivotButton="0" quotePrefix="0" xfId="0">
      <alignment wrapText="1"/>
    </xf>
    <xf numFmtId="0" fontId="28" fillId="0" borderId="0" applyAlignment="1" pivotButton="0" quotePrefix="0" xfId="0">
      <alignment vertical="top" wrapText="1"/>
    </xf>
    <xf numFmtId="0" fontId="28" fillId="0" borderId="34" applyAlignment="1" pivotButton="0" quotePrefix="0" xfId="0">
      <alignment vertical="top" wrapText="1"/>
    </xf>
    <xf numFmtId="0" fontId="28" fillId="0" borderId="35" applyAlignment="1" pivotButton="0" quotePrefix="0" xfId="0">
      <alignment vertical="top" wrapText="1"/>
    </xf>
    <xf numFmtId="0" fontId="28" fillId="0" borderId="36" applyAlignment="1" pivotButton="0" quotePrefix="0" xfId="0">
      <alignment vertical="top" wrapText="1"/>
    </xf>
    <xf numFmtId="0" fontId="29" fillId="38" borderId="0" pivotButton="0" quotePrefix="0" xfId="0"/>
    <xf numFmtId="0" fontId="29" fillId="38" borderId="0" applyAlignment="1" pivotButton="0" quotePrefix="0" xfId="0">
      <alignment wrapText="1"/>
    </xf>
    <xf numFmtId="0" fontId="29" fillId="38" borderId="0" applyAlignment="1" pivotButton="0" quotePrefix="0" xfId="0">
      <alignment vertical="center" wrapText="1"/>
    </xf>
    <xf numFmtId="0" fontId="5" fillId="39" borderId="0" applyAlignment="1" pivotButton="0" quotePrefix="0" xfId="0">
      <alignment horizontal="center"/>
    </xf>
    <xf numFmtId="0" fontId="5" fillId="39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0" fillId="0" borderId="26" applyAlignment="1" pivotButton="0" quotePrefix="0" xfId="0">
      <alignment vertical="top" wrapText="1"/>
    </xf>
    <xf numFmtId="0" fontId="0" fillId="0" borderId="27" applyAlignment="1" pivotButton="0" quotePrefix="0" xfId="0">
      <alignment vertical="top" wrapText="1"/>
    </xf>
    <xf numFmtId="0" fontId="0" fillId="0" borderId="28" applyAlignment="1" pivotButton="0" quotePrefix="0" xfId="0">
      <alignment vertical="top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40" borderId="29" pivotButton="0" quotePrefix="0" xfId="0"/>
    <xf numFmtId="0" fontId="0" fillId="40" borderId="30" pivotButton="0" quotePrefix="0" xfId="0"/>
    <xf numFmtId="0" fontId="0" fillId="40" borderId="31" pivotButton="0" quotePrefix="0" xfId="0"/>
    <xf numFmtId="0" fontId="30" fillId="40" borderId="29" pivotButton="0" quotePrefix="0" xfId="0"/>
    <xf numFmtId="0" fontId="30" fillId="40" borderId="30" pivotButton="0" quotePrefix="0" xfId="0"/>
    <xf numFmtId="0" fontId="30" fillId="40" borderId="31" pivotButton="0" quotePrefix="0" xfId="0"/>
    <xf numFmtId="0" fontId="5" fillId="37" borderId="0" pivotButton="0" quotePrefix="0" xfId="0"/>
    <xf numFmtId="0" fontId="5" fillId="37" borderId="0" applyAlignment="1" pivotButton="0" quotePrefix="0" xfId="0">
      <alignment horizontal="center"/>
    </xf>
    <xf numFmtId="0" fontId="0" fillId="0" borderId="37" applyAlignment="1" pivotButton="0" quotePrefix="0" xfId="0">
      <alignment vertical="top" wrapText="1"/>
    </xf>
    <xf numFmtId="0" fontId="0" fillId="0" borderId="38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top" wrapText="1"/>
    </xf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0" fontId="6" fillId="0" borderId="5" applyAlignment="1" pivotButton="0" quotePrefix="0" xfId="0">
      <alignment vertical="center" wrapText="1"/>
    </xf>
    <xf numFmtId="164" fontId="6" fillId="0" borderId="5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24" fillId="25" borderId="7" applyAlignment="1" pivotButton="0" quotePrefix="0" xfId="0">
      <alignment vertical="center" wrapText="1"/>
    </xf>
    <xf numFmtId="0" fontId="23" fillId="24" borderId="6" applyAlignment="1" pivotButton="0" quotePrefix="0" xfId="0">
      <alignment vertical="center" wrapText="1"/>
    </xf>
    <xf numFmtId="165" fontId="23" fillId="24" borderId="6" applyAlignment="1" pivotButton="0" quotePrefix="0" xfId="0">
      <alignment vertical="center" wrapText="1"/>
    </xf>
    <xf numFmtId="0" fontId="26" fillId="28" borderId="0" applyAlignment="1" pivotButton="0" quotePrefix="0" xfId="0">
      <alignment vertical="center" wrapText="1"/>
    </xf>
    <xf numFmtId="0" fontId="29" fillId="29" borderId="0" applyAlignment="1" pivotButton="0" quotePrefix="0" xfId="0">
      <alignment vertical="center" wrapText="1"/>
    </xf>
    <xf numFmtId="0" fontId="5" fillId="30" borderId="0" applyAlignment="1" pivotButton="0" quotePrefix="0" xfId="0">
      <alignment horizontal="center" vertical="center" wrapText="1"/>
    </xf>
    <xf numFmtId="0" fontId="30" fillId="40" borderId="29" applyAlignment="1" pivotButton="0" quotePrefix="0" xfId="0">
      <alignment wrapText="1"/>
    </xf>
    <xf numFmtId="0" fontId="30" fillId="40" borderId="30" applyAlignment="1" pivotButton="0" quotePrefix="0" xfId="0">
      <alignment wrapText="1"/>
    </xf>
    <xf numFmtId="0" fontId="30" fillId="40" borderId="31" applyAlignment="1" pivotButton="0" quotePrefix="0" xfId="0">
      <alignment wrapText="1"/>
    </xf>
    <xf numFmtId="0" fontId="8" fillId="2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  <xf numFmtId="0" fontId="11" fillId="4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3" fillId="5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14" fillId="0" borderId="4" applyAlignment="1" pivotButton="0" quotePrefix="0" xfId="0">
      <alignment vertical="top" wrapText="1"/>
    </xf>
    <xf numFmtId="0" fontId="15" fillId="6" borderId="0" applyAlignment="1" pivotButton="0" quotePrefix="0" xfId="0">
      <alignment horizontal="center" wrapText="1"/>
    </xf>
    <xf numFmtId="0" fontId="14" fillId="0" borderId="5" applyAlignment="1" pivotButton="0" quotePrefix="0" xfId="0">
      <alignment vertical="top" wrapText="1"/>
    </xf>
    <xf numFmtId="165" fontId="0" fillId="0" borderId="0" applyAlignment="1" pivotButton="0" quotePrefix="0" xfId="0">
      <alignment wrapText="1"/>
    </xf>
    <xf numFmtId="0" fontId="0" fillId="41" borderId="0" pivotButton="0" quotePrefix="0" xfId="0"/>
    <xf numFmtId="0" fontId="26" fillId="41" borderId="0" pivotButton="0" quotePrefix="0" xfId="0"/>
    <xf numFmtId="0" fontId="26" fillId="41" borderId="0" pivotButton="0" quotePrefix="0" xfId="0"/>
    <xf numFmtId="0" fontId="0" fillId="42" borderId="0" pivotButton="0" quotePrefix="0" xfId="0"/>
    <xf numFmtId="0" fontId="27" fillId="42" borderId="0" pivotButton="0" quotePrefix="0" xfId="0"/>
    <xf numFmtId="0" fontId="27" fillId="42" borderId="0" applyAlignment="1" pivotButton="0" quotePrefix="0" xfId="0">
      <alignment wrapText="1"/>
    </xf>
    <xf numFmtId="0" fontId="0" fillId="43" borderId="0" pivotButton="0" quotePrefix="0" xfId="0"/>
    <xf numFmtId="0" fontId="5" fillId="43" borderId="0" pivotButton="0" quotePrefix="0" xfId="0"/>
    <xf numFmtId="0" fontId="5" fillId="43" borderId="40" pivotButton="0" quotePrefix="0" xfId="0"/>
    <xf numFmtId="0" fontId="5" fillId="43" borderId="40" applyAlignment="1" pivotButton="0" quotePrefix="0" xfId="0">
      <alignment wrapText="1"/>
    </xf>
    <xf numFmtId="0" fontId="5" fillId="43" borderId="40" applyAlignment="1" pivotButton="0" quotePrefix="0" xfId="0">
      <alignment horizontal="center" wrapText="1"/>
    </xf>
    <xf numFmtId="0" fontId="5" fillId="43" borderId="40" applyAlignment="1" pivotButton="0" quotePrefix="0" xfId="0">
      <alignment horizontal="center" vertical="center" wrapText="1"/>
    </xf>
    <xf numFmtId="0" fontId="28" fillId="0" borderId="18" applyAlignment="1" pivotButton="0" quotePrefix="0" xfId="0">
      <alignment vertical="center" wrapText="1"/>
    </xf>
    <xf numFmtId="164" fontId="28" fillId="0" borderId="18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0" fillId="0" borderId="0" pivotButton="0" quotePrefix="0" xfId="0"/>
    <xf numFmtId="0" fontId="10" fillId="44" borderId="0" pivotButton="0" quotePrefix="0" xfId="0"/>
    <xf numFmtId="0" fontId="31" fillId="44" borderId="0" pivotButton="0" quotePrefix="0" xfId="0"/>
    <xf numFmtId="0" fontId="10" fillId="0" borderId="0" applyAlignment="1" pivotButton="0" quotePrefix="0" xfId="0">
      <alignment wrapText="1"/>
    </xf>
    <xf numFmtId="0" fontId="31" fillId="45" borderId="0" pivotButton="0" quotePrefix="0" xfId="0"/>
    <xf numFmtId="0" fontId="31" fillId="46" borderId="0" pivotButton="0" quotePrefix="0" xfId="0"/>
    <xf numFmtId="0" fontId="31" fillId="47" borderId="0" pivotButton="0" quotePrefix="0" xfId="0"/>
    <xf numFmtId="0" fontId="31" fillId="48" borderId="0" pivotButton="0" quotePrefix="0" xfId="0"/>
    <xf numFmtId="0" fontId="31" fillId="49" borderId="0" pivotButton="0" quotePrefix="0" xfId="0"/>
    <xf numFmtId="0" fontId="31" fillId="50" borderId="0" pivotButton="0" quotePrefix="0" xfId="0"/>
    <xf numFmtId="0" fontId="31" fillId="51" borderId="0" pivotButton="0" quotePrefix="0" xfId="0"/>
    <xf numFmtId="0" fontId="31" fillId="52" borderId="0" pivotButton="0" quotePrefix="0" xfId="0"/>
    <xf numFmtId="0" fontId="31" fillId="53" borderId="0" pivotButton="0" quotePrefix="0" xfId="0"/>
    <xf numFmtId="0" fontId="0" fillId="0" borderId="0" applyAlignment="1" pivotButton="0" quotePrefix="0" xfId="0">
      <alignment vertical="center" wrapText="1"/>
    </xf>
    <xf numFmtId="0" fontId="31" fillId="54" borderId="0" pivotButton="0" quotePrefix="0" xfId="0"/>
    <xf numFmtId="0" fontId="0" fillId="55" borderId="0" applyAlignment="1" pivotButton="0" quotePrefix="0" xfId="0">
      <alignment vertical="center" wrapText="1"/>
    </xf>
    <xf numFmtId="0" fontId="0" fillId="55" borderId="0" applyAlignment="1" pivotButton="0" quotePrefix="0" xfId="0">
      <alignment wrapText="1"/>
    </xf>
    <xf numFmtId="0" fontId="32" fillId="55" borderId="0" applyAlignment="1" pivotButton="0" quotePrefix="0" xfId="0">
      <alignment vertical="center" wrapText="1"/>
    </xf>
    <xf numFmtId="0" fontId="32" fillId="55" borderId="0" applyAlignment="1" pivotButton="0" quotePrefix="0" xfId="0">
      <alignment wrapText="1"/>
    </xf>
    <xf numFmtId="0" fontId="31" fillId="56" borderId="0" pivotButton="0" quotePrefix="0" xfId="0"/>
    <xf numFmtId="0" fontId="31" fillId="57" borderId="0" pivotButton="0" quotePrefix="0" xfId="0"/>
    <xf numFmtId="0" fontId="31" fillId="58" borderId="0" pivotButton="0" quotePrefix="0" xfId="0"/>
    <xf numFmtId="0" fontId="31" fillId="59" borderId="0" pivotButton="0" quotePrefix="0" xfId="0"/>
    <xf numFmtId="0" fontId="3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5" fillId="37" borderId="0" applyAlignment="1" pivotButton="0" quotePrefix="0" xfId="0">
      <alignment horizontal="center" vertical="center"/>
    </xf>
    <xf numFmtId="0" fontId="36" fillId="38" borderId="0" applyAlignment="1" pivotButton="0" quotePrefix="0" xfId="0">
      <alignment vertical="top" wrapText="1"/>
    </xf>
    <xf numFmtId="0" fontId="37" fillId="61" borderId="11" applyAlignment="1" pivotButton="0" quotePrefix="0" xfId="0">
      <alignment horizontal="center"/>
    </xf>
    <xf numFmtId="0" fontId="37" fillId="61" borderId="12" applyAlignment="1" pivotButton="0" quotePrefix="0" xfId="0">
      <alignment horizontal="center"/>
    </xf>
    <xf numFmtId="0" fontId="37" fillId="61" borderId="13" applyAlignment="1" pivotButton="0" quotePrefix="0" xfId="0">
      <alignment horizontal="center"/>
    </xf>
    <xf numFmtId="0" fontId="34" fillId="60" borderId="23" applyAlignment="1" pivotButton="0" quotePrefix="0" xfId="0">
      <alignment vertical="top" wrapText="1"/>
    </xf>
    <xf numFmtId="0" fontId="34" fillId="0" borderId="24" applyAlignment="1" pivotButton="0" quotePrefix="0" xfId="0">
      <alignment vertical="top" wrapText="1"/>
    </xf>
    <xf numFmtId="0" fontId="34" fillId="0" borderId="25" applyAlignment="1" pivotButton="0" quotePrefix="0" xfId="0">
      <alignment vertical="top" wrapText="1"/>
    </xf>
    <xf numFmtId="0" fontId="34" fillId="60" borderId="29" applyAlignment="1" pivotButton="0" quotePrefix="0" xfId="0">
      <alignment vertical="top" wrapText="1"/>
    </xf>
    <xf numFmtId="0" fontId="34" fillId="0" borderId="30" applyAlignment="1" pivotButton="0" quotePrefix="0" xfId="0">
      <alignment vertical="top" wrapText="1"/>
    </xf>
    <xf numFmtId="0" fontId="34" fillId="0" borderId="31" applyAlignment="1" pivotButton="0" quotePrefix="0" xfId="0">
      <alignment vertical="top" wrapText="1"/>
    </xf>
    <xf numFmtId="0" fontId="34" fillId="60" borderId="0" pivotButton="0" quotePrefix="0" xfId="0"/>
    <xf numFmtId="0" fontId="34" fillId="0" borderId="0" pivotButton="0" quotePrefix="0" xfId="0"/>
    <xf numFmtId="0" fontId="37" fillId="61" borderId="0" applyAlignment="1" pivotButton="0" quotePrefix="0" xfId="0">
      <alignment horizontal="center"/>
    </xf>
    <xf numFmtId="0" fontId="38" fillId="62" borderId="26" applyAlignment="1" pivotButton="0" quotePrefix="0" xfId="0">
      <alignment horizontal="center"/>
    </xf>
    <xf numFmtId="0" fontId="38" fillId="6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" customWidth="1" min="4" max="4"/>
    <col width="8" customWidth="1" min="5" max="5"/>
    <col width="30" customWidth="1" min="6" max="6"/>
    <col width="42" customWidth="1" min="7" max="7"/>
    <col width="3" customWidth="1" min="8" max="8"/>
    <col width="21" customWidth="1" min="9" max="9"/>
    <col width="21" customWidth="1" min="10" max="10"/>
  </cols>
  <sheetData>
    <row r="1" ht="25" customHeight="1">
      <c r="A1" s="317" t="inlineStr">
        <is>
          <t>SHELLSTORM 2 · 表现资源美术账本 v0.1</t>
        </is>
      </c>
    </row>
    <row r="2" ht="12" customHeight="1"/>
    <row r="3" ht="23" customHeight="1">
      <c r="A3" s="318" t="inlineStr">
        <is>
          <t>归属域=表现资源｜覆盖大类=UI / 音频｜AssetID 前缀=UI / AUD｜主账本（总目录）=assets/registry/ShellStorm2_美术资产台账_v001.xlsx；本账本可独立并行编辑，跨域契约见主账本</t>
        </is>
      </c>
    </row>
    <row r="4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</row>
    <row r="5">
      <c r="A5" s="320" t="inlineStr">
        <is>
          <t>资产总数</t>
        </is>
      </c>
      <c r="B5" s="320" t="str"/>
      <c r="C5" s="320" t="inlineStr">
        <is>
          <t>已完成/已接入</t>
        </is>
      </c>
      <c r="D5" s="320" t="str"/>
      <c r="E5" s="320" t="inlineStr">
        <is>
          <t>待制作/程序占位</t>
        </is>
      </c>
      <c r="F5" s="320" t="str"/>
      <c r="G5" s="320" t="inlineStr">
        <is>
          <t>重复警报</t>
        </is>
      </c>
      <c r="H5" s="320" t="str"/>
      <c r="I5" s="320" t="inlineStr">
        <is>
          <t>域内专表 / 3D Prefab 分页</t>
        </is>
      </c>
      <c r="J5" s="320" t="n"/>
    </row>
    <row r="6" ht="42" customHeight="1">
      <c r="A6" s="321">
        <f>COUNTA('资产主表'!$A$6:$A$79)</f>
        <v/>
      </c>
      <c r="B6" s="354" t="n"/>
      <c r="C6" s="321">
        <f>COUNTIF('资产主表'!$K$6:$K$79,"已完成")+COUNTIF('资产主表'!$K$6:$K$79,"原型已接入")+COUNTIF('资产主表'!$K$6:$K$79,"正式美术已接入")+COUNTIF('资产主表'!$K$6:$K$79,"已优化并正式接入")+COUNTIF('资产主表'!$K$6:$K$79,"Blender源已完成")+COUNTIF('资产主表'!$K$6:$K$79,"已导入；优化完成")</f>
        <v/>
      </c>
      <c r="D6" s="354" t="n"/>
      <c r="E6" s="321">
        <f>COUNTIF('资产主表'!$K$6:$K$79,"待制作")+COUNTIF('资产主表'!$K$6:$K$79,"程序占位")</f>
        <v/>
      </c>
      <c r="F6" s="354" t="n"/>
      <c r="G6" s="321">
        <f>COUNTIF('资产主表'!$S$6:$S$79,"重复")</f>
        <v/>
      </c>
      <c r="H6" s="354" t="n"/>
      <c r="I6" s="320" t="inlineStr">
        <is>
          <t>域内专表：无　|　3D Prefab 分页：无</t>
        </is>
      </c>
    </row>
    <row r="7">
      <c r="A7" s="354" t="n"/>
      <c r="B7" s="354" t="n"/>
      <c r="C7" s="354" t="n"/>
      <c r="D7" s="354" t="n"/>
      <c r="E7" s="354" t="n"/>
      <c r="F7" s="354" t="n"/>
      <c r="G7" s="354" t="n"/>
      <c r="H7" s="354" t="n"/>
      <c r="I7" s="354" t="n"/>
      <c r="J7" s="354" t="n"/>
    </row>
    <row r="8">
      <c r="A8" s="354" t="n"/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</row>
    <row r="9" ht="32" customHeight="1">
      <c r="A9" s="323" t="inlineStr">
        <is>
          <t>大类</t>
        </is>
      </c>
      <c r="B9" s="323" t="inlineStr">
        <is>
          <t>资产数</t>
        </is>
      </c>
      <c r="C9" s="323" t="inlineStr">
        <is>
          <t>完成/接入</t>
        </is>
      </c>
      <c r="D9" s="323" t="n"/>
      <c r="E9" s="320" t="inlineStr">
        <is>
          <t>本账本只登记上列大类；跨域搬运资产须同步主账本《分类与编码》并重跑门禁</t>
        </is>
      </c>
      <c r="F9" s="125" t="n"/>
      <c r="G9" s="125" t="n"/>
      <c r="H9" s="125" t="n"/>
      <c r="I9" s="125" t="n"/>
      <c r="J9" s="126" t="n"/>
    </row>
    <row r="10" ht="22" customHeight="1">
      <c r="A10" s="301" t="inlineStr">
        <is>
          <t>UI</t>
        </is>
      </c>
      <c r="B10" s="301">
        <f>COUNTIF('资产主表'!$C$6:$C$79,A10)</f>
        <v/>
      </c>
      <c r="C10" s="301">
        <f>SUMPRODUCT(('资产主表'!$C$6:$C$79=A10)*(('资产主表'!$K$6:$K$79="已完成")+('资产主表'!$K$6:$K$79="原型已接入")+('资产主表'!$K$6:$K$79="正式美术已接入")+('资产主表'!$K$6:$K$79="已优化并正式接入")+('资产主表'!$K$6:$K$79="Blender源已完成")+('资产主表'!$K$6:$K$79="已导入；优化完成")))</f>
        <v/>
      </c>
      <c r="D10" s="301" t="n"/>
      <c r="E10" s="301" t="n"/>
      <c r="F10" s="301" t="n"/>
      <c r="G10" s="301" t="n"/>
      <c r="H10" s="301" t="n"/>
      <c r="I10" s="301" t="n"/>
      <c r="J10" s="301" t="n"/>
    </row>
    <row r="11" ht="22" customHeight="1">
      <c r="A11" s="301" t="inlineStr">
        <is>
          <t>音频</t>
        </is>
      </c>
      <c r="B11" s="301">
        <f>COUNTIF('资产主表'!$C$6:$C$79,A11)</f>
        <v/>
      </c>
      <c r="C11" s="301">
        <f>SUMPRODUCT(('资产主表'!$C$6:$C$79=A11)*(('资产主表'!$K$6:$K$79="已完成")+('资产主表'!$K$6:$K$79="原型已接入")+('资产主表'!$K$6:$K$79="正式美术已接入")+('资产主表'!$K$6:$K$79="已优化并正式接入")+('资产主表'!$K$6:$K$79="Blender源已完成")+('资产主表'!$K$6:$K$79="已导入；优化完成")))</f>
        <v/>
      </c>
      <c r="D11" s="301" t="n"/>
      <c r="E11" s="301" t="n"/>
      <c r="F11" s="301" t="n"/>
      <c r="G11" s="301" t="n"/>
      <c r="H11" s="301" t="n"/>
      <c r="I11" s="301" t="n"/>
      <c r="J11" s="301" t="n"/>
    </row>
    <row r="12">
      <c r="A12" s="323" t="inlineStr">
        <is>
          <t>合计</t>
        </is>
      </c>
      <c r="B12" s="323">
        <f>SUM(B10:B11)</f>
        <v/>
      </c>
      <c r="C12" s="323">
        <f>SUM(C10:C11)</f>
        <v/>
      </c>
      <c r="D12" s="323" t="n"/>
      <c r="E12" s="323" t="n"/>
      <c r="F12" s="323" t="n"/>
      <c r="G12" s="323" t="n"/>
      <c r="H12" s="323" t="n"/>
      <c r="I12" s="323" t="n"/>
      <c r="J12" s="323" t="n"/>
    </row>
    <row r="13">
      <c r="A13" s="331" t="n"/>
      <c r="B13" s="331" t="n"/>
      <c r="C13" s="331" t="n"/>
      <c r="D13" s="354" t="n"/>
      <c r="E13" s="330" t="n"/>
      <c r="F13" s="331" t="n"/>
      <c r="G13" s="331" t="n"/>
      <c r="H13" s="354" t="n"/>
      <c r="I13" s="354" t="n"/>
      <c r="J13" s="354" t="n"/>
    </row>
    <row r="14">
      <c r="A14" s="331" t="n"/>
      <c r="B14" s="331" t="n"/>
      <c r="C14" s="331" t="n"/>
      <c r="D14" s="354" t="n"/>
      <c r="E14" s="330" t="n"/>
      <c r="F14" s="331" t="n"/>
      <c r="G14" s="331" t="n"/>
      <c r="H14" s="354" t="n"/>
      <c r="I14" s="354" t="n"/>
      <c r="J14" s="354" t="n"/>
    </row>
    <row r="15">
      <c r="A15" s="331" t="n"/>
      <c r="B15" s="331" t="n"/>
      <c r="C15" s="331" t="n"/>
      <c r="D15" s="354" t="n"/>
      <c r="E15" s="354" t="n"/>
      <c r="F15" s="354" t="n"/>
      <c r="G15" s="354" t="n"/>
      <c r="H15" s="354" t="n"/>
      <c r="I15" s="354" t="n"/>
      <c r="J15" s="354" t="n"/>
    </row>
    <row r="16">
      <c r="A16" s="331" t="n"/>
      <c r="B16" s="331" t="n"/>
      <c r="C16" s="331" t="n"/>
      <c r="D16" s="354" t="n"/>
      <c r="E16" s="354" t="n"/>
      <c r="F16" s="354" t="n"/>
      <c r="G16" s="354" t="n"/>
      <c r="H16" s="354" t="n"/>
      <c r="I16" s="354" t="n"/>
      <c r="J16" s="354" t="n"/>
    </row>
    <row r="17">
      <c r="A17" s="331" t="n"/>
      <c r="B17" s="331" t="n"/>
      <c r="C17" s="331" t="n"/>
      <c r="D17" s="354" t="n"/>
      <c r="E17" s="354" t="n"/>
      <c r="F17" s="354" t="n"/>
      <c r="G17" s="354" t="n"/>
      <c r="H17" s="354" t="n"/>
      <c r="I17" s="354" t="n"/>
      <c r="J17" s="354" t="n"/>
    </row>
    <row r="18">
      <c r="A18" s="331" t="n"/>
      <c r="B18" s="331" t="n"/>
      <c r="C18" s="331" t="n"/>
      <c r="D18" s="354" t="n"/>
      <c r="E18" s="354" t="n"/>
      <c r="F18" s="354" t="n"/>
      <c r="G18" s="354" t="n"/>
      <c r="H18" s="354" t="n"/>
      <c r="I18" s="354" t="n"/>
      <c r="J18" s="354" t="n"/>
    </row>
    <row r="19">
      <c r="A19" s="354" t="n"/>
      <c r="B19" s="354" t="n"/>
      <c r="C19" s="354" t="n"/>
      <c r="D19" s="354" t="n"/>
      <c r="E19" s="354" t="n"/>
      <c r="F19" s="354" t="n"/>
      <c r="G19" s="354" t="n"/>
      <c r="H19" s="354" t="n"/>
      <c r="I19" s="354" t="n"/>
      <c r="J19" s="354" t="n"/>
    </row>
    <row r="20">
      <c r="A20" s="354" t="n"/>
      <c r="B20" s="354" t="n"/>
      <c r="C20" s="354" t="n"/>
      <c r="D20" s="354" t="n"/>
      <c r="E20" s="354" t="n"/>
      <c r="F20" s="354" t="n"/>
      <c r="G20" s="354" t="n"/>
      <c r="H20" s="354" t="n"/>
      <c r="I20" s="354" t="n"/>
      <c r="J20" s="354" t="n"/>
    </row>
  </sheetData>
  <mergeCells count="4">
    <mergeCell ref="E9:J9"/>
    <mergeCell ref="A3:J3"/>
    <mergeCell ref="A1:J2"/>
    <mergeCell ref="I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34" customWidth="1" min="3" max="3"/>
    <col width="24" customWidth="1" min="4" max="4"/>
    <col width="24" customWidth="1" min="5" max="5"/>
    <col width="24" customWidth="1" min="6" max="6"/>
  </cols>
  <sheetData>
    <row r="1">
      <c r="A1" s="317" t="inlineStr">
        <is>
          <t>本账本说明 · 表现资源</t>
        </is>
      </c>
    </row>
    <row r="2"/>
    <row r="3">
      <c r="A3" s="318" t="inlineStr">
        <is>
          <t>本表是分账本自描述；机器可读真源为 assets/registry/ledger_index.json，二者不一致时以 JSON 为准</t>
        </is>
      </c>
    </row>
    <row r="5">
      <c r="A5" s="298" t="inlineStr">
        <is>
          <t>项</t>
        </is>
      </c>
      <c r="B5" s="298" t="inlineStr">
        <is>
          <t>值</t>
        </is>
      </c>
      <c r="C5" s="298" t="n"/>
      <c r="D5" s="298" t="n"/>
      <c r="E5" s="298" t="n"/>
      <c r="F5" s="298" t="n"/>
    </row>
    <row r="6" ht="30" customHeight="1">
      <c r="A6" s="301" t="inlineStr">
        <is>
          <t>账本归属域</t>
        </is>
      </c>
      <c r="B6" s="301" t="inlineStr">
        <is>
          <t>表现资源</t>
        </is>
      </c>
      <c r="C6" s="301" t="n"/>
      <c r="D6" s="301" t="n"/>
      <c r="E6" s="301" t="n"/>
      <c r="F6" s="301" t="n"/>
    </row>
    <row r="7" ht="30" customHeight="1">
      <c r="A7" s="301" t="inlineStr">
        <is>
          <t>分账本文件</t>
        </is>
      </c>
      <c r="B7" s="301" t="inlineStr">
        <is>
          <t>assets/registry/ledgers/ShellStorm2_表现资源账本_v001.xlsx</t>
        </is>
      </c>
      <c r="C7" s="301" t="n"/>
      <c r="D7" s="301" t="n"/>
      <c r="E7" s="301" t="n"/>
      <c r="F7" s="301" t="n"/>
    </row>
    <row r="8" ht="30" customHeight="1">
      <c r="A8" s="301" t="inlineStr">
        <is>
          <t>覆盖大类</t>
        </is>
      </c>
      <c r="B8" s="301" t="inlineStr">
        <is>
          <t>UI / 音频</t>
        </is>
      </c>
      <c r="C8" s="301" t="n"/>
      <c r="D8" s="301" t="n"/>
      <c r="E8" s="301" t="n"/>
      <c r="F8" s="301" t="n"/>
    </row>
    <row r="9" ht="30" customHeight="1">
      <c r="A9" s="301" t="inlineStr">
        <is>
          <t>AssetID 前缀</t>
        </is>
      </c>
      <c r="B9" s="301" t="inlineStr">
        <is>
          <t>UI / AUD</t>
        </is>
      </c>
      <c r="C9" s="301" t="n"/>
      <c r="D9" s="301" t="n"/>
      <c r="E9" s="301" t="n"/>
      <c r="F9" s="301" t="n"/>
    </row>
    <row r="10" ht="30" customHeight="1">
      <c r="A10" s="301" t="inlineStr">
        <is>
          <t>域内专表</t>
        </is>
      </c>
      <c r="B10" s="301" t="inlineStr">
        <is>
          <t>无</t>
        </is>
      </c>
      <c r="C10" s="301" t="n"/>
      <c r="D10" s="301" t="n"/>
      <c r="E10" s="301" t="n"/>
      <c r="F10" s="301" t="n"/>
    </row>
    <row r="11" ht="30" customHeight="1">
      <c r="A11" s="301" t="inlineStr">
        <is>
          <t>3D Prefab 分页</t>
        </is>
      </c>
      <c r="B11" s="301" t="inlineStr">
        <is>
          <t>无</t>
        </is>
      </c>
      <c r="C11" s="301" t="n"/>
      <c r="D11" s="301" t="n"/>
      <c r="E11" s="301" t="n"/>
      <c r="F11" s="301" t="n"/>
    </row>
    <row r="12" ht="30" customHeight="1">
      <c r="A12" s="301" t="inlineStr">
        <is>
          <t>动画登记表</t>
        </is>
      </c>
      <c r="B12" s="301" t="inlineStr">
        <is>
          <t>无</t>
        </is>
      </c>
      <c r="C12" s="301" t="n"/>
      <c r="D12" s="301" t="n"/>
      <c r="E12" s="301" t="n"/>
      <c r="F12" s="301" t="n"/>
    </row>
    <row r="13" ht="30" customHeight="1">
      <c r="A13" s="301" t="inlineStr">
        <is>
          <t>主账本（总目录）</t>
        </is>
      </c>
      <c r="B13" s="301" t="inlineStr">
        <is>
          <t>assets/registry/ShellStorm2_美术资产台账_v001.xlsx</t>
        </is>
      </c>
      <c r="C13" s="301" t="n"/>
      <c r="D13" s="301" t="n"/>
      <c r="E13" s="301" t="n"/>
      <c r="F13" s="301" t="n"/>
    </row>
    <row r="14" ht="30" customHeight="1">
      <c r="A14" s="301" t="inlineStr">
        <is>
          <t>跨域契约</t>
        </is>
      </c>
      <c r="B14" s="301" t="inlineStr">
        <is>
          <t>分类与编码 / 命名与查重 / 版本记录 / Skill 清单 / 3D Prefab 总控 —— 全部只在主账本维护</t>
        </is>
      </c>
      <c r="C14" s="301" t="n"/>
      <c r="D14" s="301" t="n"/>
      <c r="E14" s="301" t="n"/>
      <c r="F14" s="301" t="n"/>
    </row>
    <row r="15" ht="30" customHeight="1">
      <c r="A15" s="301" t="inlineStr">
        <is>
          <t>首选制作 Skill</t>
        </is>
      </c>
      <c r="B15" s="301" t="inlineStr">
        <is>
          <t>godot-model-asset-import-standard</t>
        </is>
      </c>
      <c r="C15" s="301" t="n"/>
      <c r="D15" s="301" t="n"/>
      <c r="E15" s="301" t="n"/>
      <c r="F15" s="301" t="n"/>
    </row>
    <row r="16" ht="30" customHeight="1">
      <c r="A16" s="301" t="inlineStr">
        <is>
          <t>协作 Skill</t>
        </is>
      </c>
      <c r="B16" s="301" t="inlineStr">
        <is>
          <t>无</t>
        </is>
      </c>
      <c r="C16" s="301" t="n"/>
      <c r="D16" s="301" t="n"/>
      <c r="E16" s="301" t="n"/>
      <c r="F16" s="301" t="n"/>
    </row>
    <row r="17" ht="30" customHeight="1">
      <c r="A17" s="301" t="inlineStr">
        <is>
          <t>负责人</t>
        </is>
      </c>
      <c r="B17" s="301" t="inlineStr">
        <is>
          <t>待分配</t>
        </is>
      </c>
      <c r="C17" s="301" t="n"/>
      <c r="D17" s="301" t="n"/>
      <c r="E17" s="301" t="n"/>
      <c r="F17" s="301" t="n"/>
    </row>
    <row r="18" ht="30" customHeight="1">
      <c r="A18" s="301" t="inlineStr">
        <is>
          <t>登记范围</t>
        </is>
      </c>
      <c r="B18" s="301" t="inlineStr">
        <is>
          <t>UI界面与音频（BGM/SFX）。二者同属非模型表现资源：无 Blender 源与 GLB 链路，登记口径为文件+哈希+事件键。</t>
        </is>
      </c>
      <c r="C18" s="301" t="n"/>
      <c r="D18" s="301" t="n"/>
      <c r="E18" s="301" t="n"/>
      <c r="F18" s="301" t="n"/>
    </row>
    <row r="19" ht="30" customHeight="1">
      <c r="A19" s="301" t="inlineStr">
        <is>
          <t>编辑边界</t>
        </is>
      </c>
      <c r="B19" s="301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301" t="n"/>
      <c r="D19" s="301" t="n"/>
      <c r="E19" s="301" t="n"/>
      <c r="F19" s="301" t="n"/>
    </row>
    <row r="20" ht="30" customHeight="1">
      <c r="A20" s="301" t="inlineStr">
        <is>
          <t>登记口径</t>
        </is>
      </c>
      <c r="B20" s="301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301" t="n"/>
      <c r="D20" s="301" t="n"/>
      <c r="E20" s="301" t="n"/>
      <c r="F20" s="301" t="n"/>
    </row>
    <row r="21" ht="30" customHeight="1">
      <c r="A21" s="301" t="inlineStr">
        <is>
          <t>门禁</t>
        </is>
      </c>
      <c r="B21" s="301" t="inlineStr">
        <is>
          <t>python3 scripts/check_asset_registry.py --scope structure（需 venv python + openpyxl，且在 /tmp 下跑）</t>
        </is>
      </c>
      <c r="C21" s="301" t="n"/>
      <c r="D21" s="301" t="n"/>
      <c r="E21" s="301" t="n"/>
      <c r="F21" s="301" t="n"/>
    </row>
    <row r="22" ht="30" customHeight="1">
      <c r="A22" s="301" t="inlineStr">
        <is>
          <t>无损基线</t>
        </is>
      </c>
      <c r="B22" s="301" t="inlineStr">
        <is>
          <t>assets/registry/ledger_split_baseline.json；python3 tools/asset_pipeline/verify_ledger_split.py 断言并集与拆分前逐格一致</t>
        </is>
      </c>
      <c r="C22" s="301" t="n"/>
      <c r="D22" s="301" t="n"/>
      <c r="E22" s="301" t="n"/>
      <c r="F22" s="301" t="n"/>
    </row>
    <row r="23" ht="30" customHeight="1">
      <c r="A23" s="301" t="inlineStr">
        <is>
          <t>快照日期</t>
        </is>
      </c>
      <c r="B23" s="301" t="inlineStr">
        <is>
          <t>2026-09-18</t>
        </is>
      </c>
      <c r="C23" s="301" t="n"/>
      <c r="D23" s="301" t="n"/>
      <c r="E23" s="301" t="n"/>
      <c r="F23" s="301" t="n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18" customWidth="1" min="4" max="4"/>
    <col width="22" customWidth="1" min="5" max="5"/>
    <col width="12" customWidth="1" min="6" max="6"/>
    <col width="25" customWidth="1" min="7" max="7"/>
    <col width="19" customWidth="1" min="8" max="8"/>
    <col width="15" customWidth="1" min="9" max="9"/>
    <col width="18" customWidth="1" min="10" max="10"/>
    <col width="12" customWidth="1" min="11" max="11"/>
    <col width="8" customWidth="1" min="12" max="12"/>
    <col width="9" customWidth="1" min="13" max="13"/>
    <col width="16" customWidth="1" min="14" max="14"/>
    <col width="36" customWidth="1" min="15" max="15"/>
    <col width="34" customWidth="1" min="16" max="16"/>
    <col width="26" customWidth="1" min="17" max="17"/>
    <col width="42" customWidth="1" min="18" max="18"/>
    <col width="12" customWidth="1" min="19" max="19"/>
    <col width="30" customWidth="1" min="20" max="20"/>
    <col width="12" customWidth="1" min="21" max="21"/>
    <col width="13" customWidth="1" min="22" max="22"/>
    <col width="16" customWidth="1" min="23" max="23"/>
    <col width="52" customWidth="1" min="24" max="24"/>
  </cols>
  <sheetData>
    <row r="1" ht="25" customHeight="1">
      <c r="A1" s="296" t="inlineStr">
        <is>
          <t>资产主表 · 唯一登记源</t>
        </is>
      </c>
    </row>
    <row r="2" ht="12" customHeight="1"/>
    <row r="3" ht="23" customHeight="1">
      <c r="A3" s="297" t="inlineStr">
        <is>
          <t>查重键由公式生成；S 列出现“重复”时禁止制作，先合并或建立变体父子关系</t>
        </is>
      </c>
    </row>
    <row r="4">
      <c r="A4" s="392" t="n"/>
      <c r="B4" s="392" t="n"/>
      <c r="C4" s="392" t="n"/>
      <c r="D4" s="392" t="n"/>
      <c r="E4" s="392" t="n"/>
      <c r="F4" s="392" t="n"/>
      <c r="G4" s="392" t="n"/>
      <c r="H4" s="392" t="n"/>
      <c r="I4" s="392" t="n"/>
      <c r="J4" s="392" t="n"/>
      <c r="K4" s="392" t="n"/>
      <c r="L4" s="392" t="n"/>
      <c r="M4" s="392" t="n"/>
      <c r="N4" s="392" t="n"/>
      <c r="O4" s="392" t="n"/>
      <c r="P4" s="392" t="n"/>
      <c r="Q4" s="392" t="n"/>
      <c r="R4" s="392" t="n"/>
      <c r="S4" s="392" t="n"/>
      <c r="T4" s="392" t="n"/>
      <c r="U4" s="392" t="n"/>
      <c r="V4" s="392" t="n"/>
      <c r="W4" s="392" t="n"/>
      <c r="Y4" s="392" t="n"/>
    </row>
    <row r="5" ht="32" customHeight="1">
      <c r="A5" s="298" t="inlineStr">
        <is>
          <t>AssetID</t>
        </is>
      </c>
      <c r="B5" s="299" t="inlineStr">
        <is>
          <t>中文名</t>
        </is>
      </c>
      <c r="C5" s="299" t="inlineStr">
        <is>
          <t>大类</t>
        </is>
      </c>
      <c r="D5" s="299" t="inlineStr">
        <is>
          <t>子类</t>
        </is>
      </c>
      <c r="E5" s="299" t="inlineStr">
        <is>
          <t>逻辑ID/源键</t>
        </is>
      </c>
      <c r="F5" s="299" t="inlineStr">
        <is>
          <t>组件槽</t>
        </is>
      </c>
      <c r="G5" s="299" t="inlineStr">
        <is>
          <t>变体父ID</t>
        </is>
      </c>
      <c r="H5" s="299" t="inlineStr">
        <is>
          <t>视角</t>
        </is>
      </c>
      <c r="I5" s="299" t="inlineStr">
        <is>
          <t>状态/动画</t>
        </is>
      </c>
      <c r="J5" s="299" t="inlineStr">
        <is>
          <t>复用范围</t>
        </is>
      </c>
      <c r="K5" s="299" t="inlineStr">
        <is>
          <t>制作状态</t>
        </is>
      </c>
      <c r="L5" s="299" t="inlineStr">
        <is>
          <t>优先级</t>
        </is>
      </c>
      <c r="M5" s="299" t="inlineStr">
        <is>
          <t>版本</t>
        </is>
      </c>
      <c r="N5" s="299" t="inlineStr">
        <is>
          <t>规格(px)</t>
        </is>
      </c>
      <c r="O5" s="299" t="inlineStr">
        <is>
          <t>文件路径</t>
        </is>
      </c>
      <c r="P5" s="299" t="inlineStr">
        <is>
          <t>源码/策划依据</t>
        </is>
      </c>
      <c r="Q5" s="299" t="inlineStr">
        <is>
          <t>关键词/别名</t>
        </is>
      </c>
      <c r="R5" s="299" t="inlineStr">
        <is>
          <t>查重键</t>
        </is>
      </c>
      <c r="S5" s="299" t="inlineStr">
        <is>
          <t>查重结果</t>
        </is>
      </c>
      <c r="T5" s="299" t="inlineStr">
        <is>
          <t>SHA-256</t>
        </is>
      </c>
      <c r="U5" s="299" t="inlineStr">
        <is>
          <t>负责人</t>
        </is>
      </c>
      <c r="V5" s="299" t="inlineStr">
        <is>
          <t>更新时间</t>
        </is>
      </c>
      <c r="W5" s="299" t="inlineStr">
        <is>
          <t>来源/许可</t>
        </is>
      </c>
      <c r="X5" s="374" t="inlineStr">
        <is>
          <t>源编号（Blender collection）</t>
        </is>
      </c>
      <c r="Y5" s="300" t="inlineStr">
        <is>
          <t>备注</t>
        </is>
      </c>
    </row>
    <row r="6">
      <c r="A6" s="304" t="inlineStr">
        <is>
          <t>UI-SCREEN-HUD</t>
        </is>
      </c>
      <c r="B6" s="304" t="inlineStr">
        <is>
          <t>战斗 HUD</t>
        </is>
      </c>
      <c r="C6" s="304" t="inlineStr">
        <is>
          <t>UI</t>
        </is>
      </c>
      <c r="D6" s="304" t="inlineStr">
        <is>
          <t>screen</t>
        </is>
      </c>
      <c r="E6" s="304" t="inlineStr">
        <is>
          <t>hud</t>
        </is>
      </c>
      <c r="F6" s="304" t="inlineStr">
        <is>
          <t>root</t>
        </is>
      </c>
      <c r="G6" s="304" t="str"/>
      <c r="H6" s="304" t="inlineStr">
        <is>
          <t>屏幕空间</t>
        </is>
      </c>
      <c r="I6" s="304" t="inlineStr">
        <is>
          <t>default</t>
        </is>
      </c>
      <c r="J6" s="304" t="inlineStr">
        <is>
          <t>跨分辨率</t>
        </is>
      </c>
      <c r="K6" s="304" t="inlineStr">
        <is>
          <t>原型已接入</t>
        </is>
      </c>
      <c r="L6" s="304" t="inlineStr">
        <is>
          <t>P0</t>
        </is>
      </c>
      <c r="M6" s="304" t="inlineStr">
        <is>
          <t>v002</t>
        </is>
      </c>
      <c r="N6" s="304" t="inlineStr">
        <is>
          <t>1280×720 基准；九宫格/矢量优先</t>
        </is>
      </c>
      <c r="O6" s="304" t="inlineStr">
        <is>
          <t>scenes/Dungeon3D.tscn</t>
        </is>
      </c>
      <c r="P6" s="304" t="inlineStr">
        <is>
          <t>src/ui/GameUIManager.gd</t>
        </is>
      </c>
      <c r="Q6" s="304" t="str"/>
      <c r="R6" s="304">
        <f>LOWER(TRIM(C6)&amp;"|"&amp;TRIM(D6)&amp;"|"&amp;TRIM(E6)&amp;"|"&amp;TRIM(F6)&amp;"|"&amp;TRIM(H6)&amp;"|"&amp;TRIM(I6))</f>
        <v/>
      </c>
      <c r="S6" s="304">
        <f>IF(COUNTIF($R$6:$R$79,R6)&gt;1,"重复","唯一")</f>
        <v/>
      </c>
      <c r="T6" s="304" t="inlineStr">
        <is>
          <t>86fa546a86758f57eb7b5c8fae0aeadb30e62b29e08c1b40d7fb685ac36a4b53</t>
        </is>
      </c>
      <c r="U6" s="304" t="inlineStr">
        <is>
          <t>待分配</t>
        </is>
      </c>
      <c r="V6" s="305" t="n">
        <v>46264</v>
      </c>
      <c r="W6" s="304" t="inlineStr">
        <is>
          <t>原创/待确认</t>
        </is>
      </c>
      <c r="X6" s="375" t="inlineStr">
        <is>
          <t>—</t>
        </is>
      </c>
      <c r="Y6" s="304" t="inlineStr">
        <is>
          <t>v0.1：主游戏HUD升级为深色半透明青色全息面板，危险/撤离信息使用琥珀与绿色分层；小地图以20Hz实时更新当前楼层，显示玩家位置与朝向、扫描扇区、脉冲环、透视网格、已发现房间/连线和楼层纵向索引。
2026-08-30 AST-02：登记路径规范化 &lt;空&gt; → scenes/Dungeon3D.tscn；多实现/源码依据保留在P列。
2026-08-30 AST-02：补齐单一生产路径SHA；验收：verify_hud_presenter_3d；verify_3d_performance_budget；SHA 4e61089a3bcd。</t>
        </is>
      </c>
    </row>
    <row r="7">
      <c r="A7" s="138" t="inlineStr">
        <is>
          <t>UI-SCREEN-INVENTORY</t>
        </is>
      </c>
      <c r="B7" s="138" t="inlineStr">
        <is>
          <t>背包</t>
        </is>
      </c>
      <c r="C7" s="138" t="inlineStr">
        <is>
          <t>UI</t>
        </is>
      </c>
      <c r="D7" s="138" t="inlineStr">
        <is>
          <t>screen</t>
        </is>
      </c>
      <c r="E7" s="138" t="inlineStr">
        <is>
          <t>inventory</t>
        </is>
      </c>
      <c r="F7" s="138" t="inlineStr">
        <is>
          <t>root</t>
        </is>
      </c>
      <c r="G7" s="138" t="str"/>
      <c r="H7" s="138" t="inlineStr">
        <is>
          <t>屏幕空间</t>
        </is>
      </c>
      <c r="I7" s="138" t="inlineStr">
        <is>
          <t>default</t>
        </is>
      </c>
      <c r="J7" s="138" t="inlineStr">
        <is>
          <t>跨分辨率</t>
        </is>
      </c>
      <c r="K7" s="138" t="inlineStr">
        <is>
          <t>原型已接入</t>
        </is>
      </c>
      <c r="L7" s="138" t="inlineStr">
        <is>
          <t>P0</t>
        </is>
      </c>
      <c r="M7" s="138" t="inlineStr">
        <is>
          <t>v001</t>
        </is>
      </c>
      <c r="N7" s="138" t="inlineStr">
        <is>
          <t>1280×720 基准；九宫格/矢量优先</t>
        </is>
      </c>
      <c r="O7" s="138" t="inlineStr">
        <is>
          <t>src/ui/InventoryUI.gd</t>
        </is>
      </c>
      <c r="P7" s="138" t="inlineStr">
        <is>
          <t>src/ui/InventoryUI.gd</t>
        </is>
      </c>
      <c r="Q7" s="138" t="str"/>
      <c r="R7" s="138">
        <f>LOWER(TRIM(C7)&amp;"|"&amp;TRIM(D7)&amp;"|"&amp;TRIM(E7)&amp;"|"&amp;TRIM(F7)&amp;"|"&amp;TRIM(H7)&amp;"|"&amp;TRIM(I7))</f>
        <v/>
      </c>
      <c r="S7" s="138">
        <f>IF(COUNTIF($R$6:$R$79,R7)&gt;1,"重复","唯一")</f>
        <v/>
      </c>
      <c r="T7" s="138" t="inlineStr">
        <is>
          <t>7237a181430578fa95598dc6501fe3a37def471fa180f7771ebc816f28ffdce2</t>
        </is>
      </c>
      <c r="U7" s="138" t="inlineStr">
        <is>
          <t>待分配</t>
        </is>
      </c>
      <c r="V7" s="303" t="n">
        <v>46264</v>
      </c>
      <c r="W7" s="138" t="inlineStr">
        <is>
          <t>原创/待确认</t>
        </is>
      </c>
      <c r="X7" s="375" t="inlineStr">
        <is>
          <t>—</t>
        </is>
      </c>
      <c r="Y7" s="138" t="inlineStr">
        <is>
          <t>背包共享逻辑根；3D表现登记为 UI-SCREEN-INVENTORY-3D；12+2槽与保险契约不变
2026-08-30 AST-02：登记路径规范化 &lt;空&gt; → src/ui/InventoryUI.gd；多实现/源码依据保留在P列。
2026-08-30 AST-02：补齐单一生产路径SHA；验收：verify_3d_inventory_weapon_flow；SHA e2c3f432a561。</t>
        </is>
      </c>
    </row>
    <row r="8">
      <c r="A8" s="138" t="inlineStr">
        <is>
          <t>UI-SCREEN-MERCHANT</t>
        </is>
      </c>
      <c r="B8" s="138" t="inlineStr">
        <is>
          <t>商人</t>
        </is>
      </c>
      <c r="C8" s="138" t="inlineStr">
        <is>
          <t>UI</t>
        </is>
      </c>
      <c r="D8" s="138" t="inlineStr">
        <is>
          <t>screen</t>
        </is>
      </c>
      <c r="E8" s="138" t="inlineStr">
        <is>
          <t>merchant</t>
        </is>
      </c>
      <c r="F8" s="138" t="inlineStr">
        <is>
          <t>root</t>
        </is>
      </c>
      <c r="G8" s="138" t="str"/>
      <c r="H8" s="138" t="inlineStr">
        <is>
          <t>屏幕空间</t>
        </is>
      </c>
      <c r="I8" s="138" t="inlineStr">
        <is>
          <t>default</t>
        </is>
      </c>
      <c r="J8" s="138" t="inlineStr">
        <is>
          <t>跨分辨率</t>
        </is>
      </c>
      <c r="K8" s="138" t="inlineStr">
        <is>
          <t>程序占位</t>
        </is>
      </c>
      <c r="L8" s="138" t="inlineStr">
        <is>
          <t>P2</t>
        </is>
      </c>
      <c r="M8" s="138" t="inlineStr">
        <is>
          <t>v001</t>
        </is>
      </c>
      <c r="N8" s="138" t="inlineStr">
        <is>
          <t>1280×720 基准；九宫格/矢量优先</t>
        </is>
      </c>
      <c r="O8" s="138" t="str"/>
      <c r="P8" s="138" t="inlineStr">
        <is>
          <t>src/ui/MerchantUI.gd</t>
        </is>
      </c>
      <c r="Q8" s="138" t="str"/>
      <c r="R8" s="138">
        <f>LOWER(TRIM(C8)&amp;"|"&amp;TRIM(D8)&amp;"|"&amp;TRIM(E8)&amp;"|"&amp;TRIM(F8)&amp;"|"&amp;TRIM(H8)&amp;"|"&amp;TRIM(I8))</f>
        <v/>
      </c>
      <c r="S8" s="138">
        <f>IF(COUNTIF($R$6:$R$79,R8)&gt;1,"重复","唯一")</f>
        <v/>
      </c>
      <c r="T8" s="138" t="str"/>
      <c r="U8" s="138" t="inlineStr">
        <is>
          <t>待分配</t>
        </is>
      </c>
      <c r="V8" s="303" t="n">
        <v>46224</v>
      </c>
      <c r="W8" s="138" t="inlineStr">
        <is>
          <t>原创/待确认</t>
        </is>
      </c>
      <c r="X8" s="375" t="inlineStr">
        <is>
          <t>—</t>
        </is>
      </c>
      <c r="Y8" s="138" t="inlineStr">
        <is>
          <t>先建组件库，再做页面，避免每页重复画按钮/面板</t>
        </is>
      </c>
    </row>
    <row r="9">
      <c r="A9" s="138" t="inlineStr">
        <is>
          <t>UI-SCREEN-WORKSHOP</t>
        </is>
      </c>
      <c r="B9" s="138" t="inlineStr">
        <is>
          <t>枪械工坊</t>
        </is>
      </c>
      <c r="C9" s="138" t="inlineStr">
        <is>
          <t>UI</t>
        </is>
      </c>
      <c r="D9" s="138" t="inlineStr">
        <is>
          <t>screen</t>
        </is>
      </c>
      <c r="E9" s="138" t="inlineStr">
        <is>
          <t>workshop</t>
        </is>
      </c>
      <c r="F9" s="138" t="inlineStr">
        <is>
          <t>root</t>
        </is>
      </c>
      <c r="G9" s="138" t="str"/>
      <c r="H9" s="138" t="inlineStr">
        <is>
          <t>屏幕空间</t>
        </is>
      </c>
      <c r="I9" s="138" t="inlineStr">
        <is>
          <t>default</t>
        </is>
      </c>
      <c r="J9" s="138" t="inlineStr">
        <is>
          <t>跨分辨率</t>
        </is>
      </c>
      <c r="K9" s="138" t="inlineStr">
        <is>
          <t>程序占位</t>
        </is>
      </c>
      <c r="L9" s="138" t="inlineStr">
        <is>
          <t>P2</t>
        </is>
      </c>
      <c r="M9" s="138" t="inlineStr">
        <is>
          <t>v001</t>
        </is>
      </c>
      <c r="N9" s="138" t="inlineStr">
        <is>
          <t>1280×720 基准；九宫格/矢量优先</t>
        </is>
      </c>
      <c r="O9" s="138" t="str"/>
      <c r="P9" s="138" t="inlineStr">
        <is>
          <t>src/ui/WorkshopMenu.gd</t>
        </is>
      </c>
      <c r="Q9" s="138" t="str"/>
      <c r="R9" s="138">
        <f>LOWER(TRIM(C9)&amp;"|"&amp;TRIM(D9)&amp;"|"&amp;TRIM(E9)&amp;"|"&amp;TRIM(F9)&amp;"|"&amp;TRIM(H9)&amp;"|"&amp;TRIM(I9))</f>
        <v/>
      </c>
      <c r="S9" s="138">
        <f>IF(COUNTIF($R$6:$R$79,R9)&gt;1,"重复","唯一")</f>
        <v/>
      </c>
      <c r="T9" s="138" t="str"/>
      <c r="U9" s="138" t="inlineStr">
        <is>
          <t>待分配</t>
        </is>
      </c>
      <c r="V9" s="303" t="n">
        <v>46224</v>
      </c>
      <c r="W9" s="138" t="inlineStr">
        <is>
          <t>原创/待确认</t>
        </is>
      </c>
      <c r="X9" s="375" t="inlineStr">
        <is>
          <t>—</t>
        </is>
      </c>
      <c r="Y9" s="138" t="inlineStr">
        <is>
          <t>先建组件库，再做页面，避免每页重复画按钮/面板</t>
        </is>
      </c>
    </row>
    <row r="10">
      <c r="A10" s="138" t="inlineStr">
        <is>
          <t>UI-SCREEN-WORKBENCH</t>
        </is>
      </c>
      <c r="B10" s="138" t="inlineStr">
        <is>
          <t>工作台</t>
        </is>
      </c>
      <c r="C10" s="138" t="inlineStr">
        <is>
          <t>UI</t>
        </is>
      </c>
      <c r="D10" s="138" t="inlineStr">
        <is>
          <t>screen</t>
        </is>
      </c>
      <c r="E10" s="138" t="inlineStr">
        <is>
          <t>workbench</t>
        </is>
      </c>
      <c r="F10" s="138" t="inlineStr">
        <is>
          <t>root</t>
        </is>
      </c>
      <c r="G10" s="138" t="str"/>
      <c r="H10" s="138" t="inlineStr">
        <is>
          <t>屏幕空间</t>
        </is>
      </c>
      <c r="I10" s="138" t="inlineStr">
        <is>
          <t>default</t>
        </is>
      </c>
      <c r="J10" s="138" t="inlineStr">
        <is>
          <t>跨分辨率</t>
        </is>
      </c>
      <c r="K10" s="138" t="inlineStr">
        <is>
          <t>程序占位</t>
        </is>
      </c>
      <c r="L10" s="138" t="inlineStr">
        <is>
          <t>P2</t>
        </is>
      </c>
      <c r="M10" s="138" t="inlineStr">
        <is>
          <t>v001</t>
        </is>
      </c>
      <c r="N10" s="138" t="inlineStr">
        <is>
          <t>1280×720 基准；九宫格/矢量优先</t>
        </is>
      </c>
      <c r="O10" s="138" t="str"/>
      <c r="P10" s="138" t="inlineStr">
        <is>
          <t>src/ui/WorkbenchPanel.gd</t>
        </is>
      </c>
      <c r="Q10" s="138" t="str"/>
      <c r="R10" s="138">
        <f>LOWER(TRIM(C10)&amp;"|"&amp;TRIM(D10)&amp;"|"&amp;TRIM(E10)&amp;"|"&amp;TRIM(F10)&amp;"|"&amp;TRIM(H10)&amp;"|"&amp;TRIM(I10))</f>
        <v/>
      </c>
      <c r="S10" s="138">
        <f>IF(COUNTIF($R$6:$R$79,R10)&gt;1,"重复","唯一")</f>
        <v/>
      </c>
      <c r="T10" s="138" t="str"/>
      <c r="U10" s="138" t="inlineStr">
        <is>
          <t>待分配</t>
        </is>
      </c>
      <c r="V10" s="303" t="n">
        <v>46224</v>
      </c>
      <c r="W10" s="138" t="inlineStr">
        <is>
          <t>原创/待确认</t>
        </is>
      </c>
      <c r="X10" s="375" t="inlineStr">
        <is>
          <t>—</t>
        </is>
      </c>
      <c r="Y10" s="138" t="inlineStr">
        <is>
          <t>先建组件库，再做页面，避免每页重复画按钮/面板</t>
        </is>
      </c>
    </row>
    <row r="11">
      <c r="A11" s="138" t="inlineStr">
        <is>
          <t>UI-SCREEN-WEAPON-TREE</t>
        </is>
      </c>
      <c r="B11" s="138" t="inlineStr">
        <is>
          <t>武器装配树</t>
        </is>
      </c>
      <c r="C11" s="138" t="inlineStr">
        <is>
          <t>UI</t>
        </is>
      </c>
      <c r="D11" s="138" t="inlineStr">
        <is>
          <t>screen</t>
        </is>
      </c>
      <c r="E11" s="138" t="inlineStr">
        <is>
          <t>weapon_tree</t>
        </is>
      </c>
      <c r="F11" s="138" t="inlineStr">
        <is>
          <t>root</t>
        </is>
      </c>
      <c r="G11" s="138" t="str"/>
      <c r="H11" s="138" t="inlineStr">
        <is>
          <t>屏幕空间</t>
        </is>
      </c>
      <c r="I11" s="138" t="inlineStr">
        <is>
          <t>default</t>
        </is>
      </c>
      <c r="J11" s="138" t="inlineStr">
        <is>
          <t>跨分辨率</t>
        </is>
      </c>
      <c r="K11" s="138" t="inlineStr">
        <is>
          <t>程序占位</t>
        </is>
      </c>
      <c r="L11" s="138" t="inlineStr">
        <is>
          <t>P2</t>
        </is>
      </c>
      <c r="M11" s="138" t="inlineStr">
        <is>
          <t>v001</t>
        </is>
      </c>
      <c r="N11" s="138" t="inlineStr">
        <is>
          <t>1280×720 基准；九宫格/矢量优先</t>
        </is>
      </c>
      <c r="O11" s="138" t="str"/>
      <c r="P11" s="138" t="inlineStr">
        <is>
          <t>src/ui/WeaponAssemblyTreePanel.gd</t>
        </is>
      </c>
      <c r="Q11" s="138" t="str"/>
      <c r="R11" s="138">
        <f>LOWER(TRIM(C11)&amp;"|"&amp;TRIM(D11)&amp;"|"&amp;TRIM(E11)&amp;"|"&amp;TRIM(F11)&amp;"|"&amp;TRIM(H11)&amp;"|"&amp;TRIM(I11))</f>
        <v/>
      </c>
      <c r="S11" s="138">
        <f>IF(COUNTIF($R$6:$R$79,R11)&gt;1,"重复","唯一")</f>
        <v/>
      </c>
      <c r="T11" s="138" t="str"/>
      <c r="U11" s="138" t="inlineStr">
        <is>
          <t>待分配</t>
        </is>
      </c>
      <c r="V11" s="303" t="n">
        <v>46224</v>
      </c>
      <c r="W11" s="138" t="inlineStr">
        <is>
          <t>原创/待确认</t>
        </is>
      </c>
      <c r="X11" s="375" t="inlineStr">
        <is>
          <t>—</t>
        </is>
      </c>
      <c r="Y11" s="138" t="inlineStr">
        <is>
          <t>先建组件库，再做页面，避免每页重复画按钮/面板</t>
        </is>
      </c>
    </row>
    <row r="12">
      <c r="A12" s="138" t="inlineStr">
        <is>
          <t>UI-SCREEN-FATE-SELECT</t>
        </is>
      </c>
      <c r="B12" s="138" t="inlineStr">
        <is>
          <t>命运卡选择</t>
        </is>
      </c>
      <c r="C12" s="138" t="inlineStr">
        <is>
          <t>UI</t>
        </is>
      </c>
      <c r="D12" s="138" t="inlineStr">
        <is>
          <t>screen</t>
        </is>
      </c>
      <c r="E12" s="138" t="inlineStr">
        <is>
          <t>fate_select</t>
        </is>
      </c>
      <c r="F12" s="138" t="inlineStr">
        <is>
          <t>root</t>
        </is>
      </c>
      <c r="G12" s="138" t="str"/>
      <c r="H12" s="138" t="inlineStr">
        <is>
          <t>屏幕空间</t>
        </is>
      </c>
      <c r="I12" s="138" t="inlineStr">
        <is>
          <t>default</t>
        </is>
      </c>
      <c r="J12" s="138" t="inlineStr">
        <is>
          <t>跨分辨率</t>
        </is>
      </c>
      <c r="K12" s="138" t="inlineStr">
        <is>
          <t>程序占位</t>
        </is>
      </c>
      <c r="L12" s="138" t="inlineStr">
        <is>
          <t>P2</t>
        </is>
      </c>
      <c r="M12" s="138" t="inlineStr">
        <is>
          <t>v001</t>
        </is>
      </c>
      <c r="N12" s="138" t="inlineStr">
        <is>
          <t>1280×720 基准；九宫格/矢量优先</t>
        </is>
      </c>
      <c r="O12" s="138" t="str"/>
      <c r="P12" s="138" t="inlineStr">
        <is>
          <t>src/ui/FateCardUIController.gd</t>
        </is>
      </c>
      <c r="Q12" s="138" t="str"/>
      <c r="R12" s="138">
        <f>LOWER(TRIM(C12)&amp;"|"&amp;TRIM(D12)&amp;"|"&amp;TRIM(E12)&amp;"|"&amp;TRIM(F12)&amp;"|"&amp;TRIM(H12)&amp;"|"&amp;TRIM(I12))</f>
        <v/>
      </c>
      <c r="S12" s="138">
        <f>IF(COUNTIF($R$6:$R$79,R12)&gt;1,"重复","唯一")</f>
        <v/>
      </c>
      <c r="T12" s="138" t="str"/>
      <c r="U12" s="138" t="inlineStr">
        <is>
          <t>待分配</t>
        </is>
      </c>
      <c r="V12" s="303" t="n">
        <v>46224</v>
      </c>
      <c r="W12" s="138" t="inlineStr">
        <is>
          <t>原创/待确认</t>
        </is>
      </c>
      <c r="X12" s="375" t="inlineStr">
        <is>
          <t>—</t>
        </is>
      </c>
      <c r="Y12" s="138" t="inlineStr">
        <is>
          <t>先建组件库，再做页面，避免每页重复画按钮/面板</t>
        </is>
      </c>
    </row>
    <row r="13">
      <c r="A13" s="138" t="inlineStr">
        <is>
          <t>UI-SCREEN-FATE-COLLECTION</t>
        </is>
      </c>
      <c r="B13" s="138" t="inlineStr">
        <is>
          <t>命运卡收藏</t>
        </is>
      </c>
      <c r="C13" s="138" t="inlineStr">
        <is>
          <t>UI</t>
        </is>
      </c>
      <c r="D13" s="138" t="inlineStr">
        <is>
          <t>screen</t>
        </is>
      </c>
      <c r="E13" s="138" t="inlineStr">
        <is>
          <t>fate_collection</t>
        </is>
      </c>
      <c r="F13" s="138" t="inlineStr">
        <is>
          <t>root</t>
        </is>
      </c>
      <c r="G13" s="138" t="str"/>
      <c r="H13" s="138" t="inlineStr">
        <is>
          <t>屏幕空间</t>
        </is>
      </c>
      <c r="I13" s="138" t="inlineStr">
        <is>
          <t>default</t>
        </is>
      </c>
      <c r="J13" s="138" t="inlineStr">
        <is>
          <t>跨分辨率</t>
        </is>
      </c>
      <c r="K13" s="138" t="inlineStr">
        <is>
          <t>程序占位</t>
        </is>
      </c>
      <c r="L13" s="138" t="inlineStr">
        <is>
          <t>P2</t>
        </is>
      </c>
      <c r="M13" s="138" t="inlineStr">
        <is>
          <t>v001</t>
        </is>
      </c>
      <c r="N13" s="138" t="inlineStr">
        <is>
          <t>1280×720 基准；九宫格/矢量优先</t>
        </is>
      </c>
      <c r="O13" s="138" t="str"/>
      <c r="P13" s="138" t="inlineStr">
        <is>
          <t>src/ui/FateCardCollectionMenu.gd</t>
        </is>
      </c>
      <c r="Q13" s="138" t="str"/>
      <c r="R13" s="138">
        <f>LOWER(TRIM(C13)&amp;"|"&amp;TRIM(D13)&amp;"|"&amp;TRIM(E13)&amp;"|"&amp;TRIM(F13)&amp;"|"&amp;TRIM(H13)&amp;"|"&amp;TRIM(I13))</f>
        <v/>
      </c>
      <c r="S13" s="138">
        <f>IF(COUNTIF($R$6:$R$79,R13)&gt;1,"重复","唯一")</f>
        <v/>
      </c>
      <c r="T13" s="138" t="str"/>
      <c r="U13" s="138" t="inlineStr">
        <is>
          <t>待分配</t>
        </is>
      </c>
      <c r="V13" s="303" t="n">
        <v>46224</v>
      </c>
      <c r="W13" s="138" t="inlineStr">
        <is>
          <t>原创/待确认</t>
        </is>
      </c>
      <c r="X13" s="375" t="inlineStr">
        <is>
          <t>—</t>
        </is>
      </c>
      <c r="Y13" s="138" t="inlineStr">
        <is>
          <t>先建组件库，再做页面，避免每页重复画按钮/面板</t>
        </is>
      </c>
    </row>
    <row r="14">
      <c r="A14" s="138" t="inlineStr">
        <is>
          <t>UI-SCREEN-LEVEL-SELECT</t>
        </is>
      </c>
      <c r="B14" s="138" t="inlineStr">
        <is>
          <t>关卡选择</t>
        </is>
      </c>
      <c r="C14" s="138" t="inlineStr">
        <is>
          <t>UI</t>
        </is>
      </c>
      <c r="D14" s="138" t="inlineStr">
        <is>
          <t>screen</t>
        </is>
      </c>
      <c r="E14" s="138" t="inlineStr">
        <is>
          <t>level_select</t>
        </is>
      </c>
      <c r="F14" s="138" t="inlineStr">
        <is>
          <t>root</t>
        </is>
      </c>
      <c r="G14" s="138" t="str"/>
      <c r="H14" s="138" t="inlineStr">
        <is>
          <t>屏幕空间</t>
        </is>
      </c>
      <c r="I14" s="138" t="inlineStr">
        <is>
          <t>default</t>
        </is>
      </c>
      <c r="J14" s="138" t="inlineStr">
        <is>
          <t>跨分辨率</t>
        </is>
      </c>
      <c r="K14" s="138" t="inlineStr">
        <is>
          <t>程序占位</t>
        </is>
      </c>
      <c r="L14" s="138" t="inlineStr">
        <is>
          <t>P2</t>
        </is>
      </c>
      <c r="M14" s="138" t="inlineStr">
        <is>
          <t>v001</t>
        </is>
      </c>
      <c r="N14" s="138" t="inlineStr">
        <is>
          <t>1280×720 基准；九宫格/矢量优先</t>
        </is>
      </c>
      <c r="O14" s="138" t="str"/>
      <c r="P14" s="138" t="inlineStr">
        <is>
          <t>src/ui/LevelSelectMenu.gd</t>
        </is>
      </c>
      <c r="Q14" s="138" t="str"/>
      <c r="R14" s="138">
        <f>LOWER(TRIM(C14)&amp;"|"&amp;TRIM(D14)&amp;"|"&amp;TRIM(E14)&amp;"|"&amp;TRIM(F14)&amp;"|"&amp;TRIM(H14)&amp;"|"&amp;TRIM(I14))</f>
        <v/>
      </c>
      <c r="S14" s="138">
        <f>IF(COUNTIF($R$6:$R$79,R14)&gt;1,"重复","唯一")</f>
        <v/>
      </c>
      <c r="T14" s="138" t="str"/>
      <c r="U14" s="138" t="inlineStr">
        <is>
          <t>待分配</t>
        </is>
      </c>
      <c r="V14" s="303" t="n">
        <v>46224</v>
      </c>
      <c r="W14" s="138" t="inlineStr">
        <is>
          <t>原创/待确认</t>
        </is>
      </c>
      <c r="X14" s="375" t="inlineStr">
        <is>
          <t>—</t>
        </is>
      </c>
      <c r="Y14" s="138" t="inlineStr">
        <is>
          <t>先建组件库，再做页面，避免每页重复画按钮/面板</t>
        </is>
      </c>
    </row>
    <row r="15">
      <c r="A15" s="138" t="inlineStr">
        <is>
          <t>UI-SCREEN-VAULT</t>
        </is>
      </c>
      <c r="B15" s="138" t="inlineStr">
        <is>
          <t>保险柜</t>
        </is>
      </c>
      <c r="C15" s="138" t="inlineStr">
        <is>
          <t>UI</t>
        </is>
      </c>
      <c r="D15" s="138" t="inlineStr">
        <is>
          <t>screen</t>
        </is>
      </c>
      <c r="E15" s="138" t="inlineStr">
        <is>
          <t>vault</t>
        </is>
      </c>
      <c r="F15" s="138" t="inlineStr">
        <is>
          <t>root</t>
        </is>
      </c>
      <c r="G15" s="138" t="str"/>
      <c r="H15" s="138" t="inlineStr">
        <is>
          <t>屏幕空间</t>
        </is>
      </c>
      <c r="I15" s="138" t="inlineStr">
        <is>
          <t>default</t>
        </is>
      </c>
      <c r="J15" s="138" t="inlineStr">
        <is>
          <t>跨分辨率</t>
        </is>
      </c>
      <c r="K15" s="138" t="inlineStr">
        <is>
          <t>程序占位</t>
        </is>
      </c>
      <c r="L15" s="138" t="inlineStr">
        <is>
          <t>P2</t>
        </is>
      </c>
      <c r="M15" s="138" t="inlineStr">
        <is>
          <t>v001</t>
        </is>
      </c>
      <c r="N15" s="138" t="inlineStr">
        <is>
          <t>1280×720 基准；九宫格/矢量优先</t>
        </is>
      </c>
      <c r="O15" s="138" t="str"/>
      <c r="P15" s="138" t="inlineStr">
        <is>
          <t>src/ui/VaultMenu.gd</t>
        </is>
      </c>
      <c r="Q15" s="138" t="str"/>
      <c r="R15" s="138">
        <f>LOWER(TRIM(C15)&amp;"|"&amp;TRIM(D15)&amp;"|"&amp;TRIM(E15)&amp;"|"&amp;TRIM(F15)&amp;"|"&amp;TRIM(H15)&amp;"|"&amp;TRIM(I15))</f>
        <v/>
      </c>
      <c r="S15" s="138">
        <f>IF(COUNTIF($R$6:$R$79,R15)&gt;1,"重复","唯一")</f>
        <v/>
      </c>
      <c r="T15" s="138" t="str"/>
      <c r="U15" s="138" t="inlineStr">
        <is>
          <t>待分配</t>
        </is>
      </c>
      <c r="V15" s="303" t="n">
        <v>46224</v>
      </c>
      <c r="W15" s="138" t="inlineStr">
        <is>
          <t>原创/待确认</t>
        </is>
      </c>
      <c r="X15" s="375" t="inlineStr">
        <is>
          <t>—</t>
        </is>
      </c>
      <c r="Y15" s="138" t="inlineStr">
        <is>
          <t>先建组件库，再做页面，避免每页重复画按钮/面板</t>
        </is>
      </c>
    </row>
    <row r="16">
      <c r="A16" s="138" t="inlineStr">
        <is>
          <t>UI-SCREEN-MONSTER-ARCHIVE</t>
        </is>
      </c>
      <c r="B16" s="138" t="inlineStr">
        <is>
          <t>怪物档案</t>
        </is>
      </c>
      <c r="C16" s="138" t="inlineStr">
        <is>
          <t>UI</t>
        </is>
      </c>
      <c r="D16" s="138" t="inlineStr">
        <is>
          <t>screen</t>
        </is>
      </c>
      <c r="E16" s="138" t="inlineStr">
        <is>
          <t>monster_archive</t>
        </is>
      </c>
      <c r="F16" s="138" t="inlineStr">
        <is>
          <t>root</t>
        </is>
      </c>
      <c r="G16" s="138" t="str"/>
      <c r="H16" s="138" t="inlineStr">
        <is>
          <t>屏幕空间</t>
        </is>
      </c>
      <c r="I16" s="138" t="inlineStr">
        <is>
          <t>default</t>
        </is>
      </c>
      <c r="J16" s="138" t="inlineStr">
        <is>
          <t>跨分辨率</t>
        </is>
      </c>
      <c r="K16" s="138" t="inlineStr">
        <is>
          <t>程序占位</t>
        </is>
      </c>
      <c r="L16" s="138" t="inlineStr">
        <is>
          <t>P2</t>
        </is>
      </c>
      <c r="M16" s="138" t="inlineStr">
        <is>
          <t>v001</t>
        </is>
      </c>
      <c r="N16" s="138" t="inlineStr">
        <is>
          <t>1280×720 基准；九宫格/矢量优先</t>
        </is>
      </c>
      <c r="O16" s="138" t="str"/>
      <c r="P16" s="138" t="inlineStr">
        <is>
          <t>src/ui/MonsterArchiveMenu.gd</t>
        </is>
      </c>
      <c r="Q16" s="138" t="str"/>
      <c r="R16" s="138">
        <f>LOWER(TRIM(C16)&amp;"|"&amp;TRIM(D16)&amp;"|"&amp;TRIM(E16)&amp;"|"&amp;TRIM(F16)&amp;"|"&amp;TRIM(H16)&amp;"|"&amp;TRIM(I16))</f>
        <v/>
      </c>
      <c r="S16" s="138">
        <f>IF(COUNTIF($R$6:$R$79,R16)&gt;1,"重复","唯一")</f>
        <v/>
      </c>
      <c r="T16" s="138" t="str"/>
      <c r="U16" s="138" t="inlineStr">
        <is>
          <t>待分配</t>
        </is>
      </c>
      <c r="V16" s="303" t="n">
        <v>46224</v>
      </c>
      <c r="W16" s="138" t="inlineStr">
        <is>
          <t>原创/待确认</t>
        </is>
      </c>
      <c r="X16" s="375" t="inlineStr">
        <is>
          <t>—</t>
        </is>
      </c>
      <c r="Y16" s="138" t="inlineStr">
        <is>
          <t>先建组件库，再做页面，避免每页重复画按钮/面板</t>
        </is>
      </c>
    </row>
    <row r="17">
      <c r="A17" s="138" t="inlineStr">
        <is>
          <t>UI-SCREEN-BASE-MENU</t>
        </is>
      </c>
      <c r="B17" s="138" t="inlineStr">
        <is>
          <t>基地菜单</t>
        </is>
      </c>
      <c r="C17" s="138" t="inlineStr">
        <is>
          <t>UI</t>
        </is>
      </c>
      <c r="D17" s="138" t="inlineStr">
        <is>
          <t>screen</t>
        </is>
      </c>
      <c r="E17" s="138" t="inlineStr">
        <is>
          <t>base_menu</t>
        </is>
      </c>
      <c r="F17" s="138" t="inlineStr">
        <is>
          <t>root</t>
        </is>
      </c>
      <c r="G17" s="138" t="str"/>
      <c r="H17" s="138" t="inlineStr">
        <is>
          <t>屏幕空间</t>
        </is>
      </c>
      <c r="I17" s="138" t="inlineStr">
        <is>
          <t>default</t>
        </is>
      </c>
      <c r="J17" s="138" t="inlineStr">
        <is>
          <t>跨分辨率</t>
        </is>
      </c>
      <c r="K17" s="138" t="inlineStr">
        <is>
          <t>程序占位</t>
        </is>
      </c>
      <c r="L17" s="138" t="inlineStr">
        <is>
          <t>P2</t>
        </is>
      </c>
      <c r="M17" s="138" t="inlineStr">
        <is>
          <t>v001</t>
        </is>
      </c>
      <c r="N17" s="138" t="inlineStr">
        <is>
          <t>1280×720 基准；九宫格/矢量优先</t>
        </is>
      </c>
      <c r="O17" s="138" t="str"/>
      <c r="P17" s="138" t="inlineStr">
        <is>
          <t>src/ui/BaseMenu.gd</t>
        </is>
      </c>
      <c r="Q17" s="138" t="str"/>
      <c r="R17" s="138">
        <f>LOWER(TRIM(C17)&amp;"|"&amp;TRIM(D17)&amp;"|"&amp;TRIM(E17)&amp;"|"&amp;TRIM(F17)&amp;"|"&amp;TRIM(H17)&amp;"|"&amp;TRIM(I17))</f>
        <v/>
      </c>
      <c r="S17" s="138">
        <f>IF(COUNTIF($R$6:$R$79,R17)&gt;1,"重复","唯一")</f>
        <v/>
      </c>
      <c r="T17" s="138" t="str"/>
      <c r="U17" s="138" t="inlineStr">
        <is>
          <t>待分配</t>
        </is>
      </c>
      <c r="V17" s="303" t="n">
        <v>46224</v>
      </c>
      <c r="W17" s="138" t="inlineStr">
        <is>
          <t>原创/待确认</t>
        </is>
      </c>
      <c r="X17" s="375" t="inlineStr">
        <is>
          <t>—</t>
        </is>
      </c>
      <c r="Y17" s="138" t="inlineStr">
        <is>
          <t>先建组件库，再做页面，避免每页重复画按钮/面板</t>
        </is>
      </c>
    </row>
    <row r="18">
      <c r="A18" s="138" t="inlineStr">
        <is>
          <t>UI-SCREEN-MOBILE-CONTROLS</t>
        </is>
      </c>
      <c r="B18" s="138" t="inlineStr">
        <is>
          <t>移动端控制</t>
        </is>
      </c>
      <c r="C18" s="138" t="inlineStr">
        <is>
          <t>UI</t>
        </is>
      </c>
      <c r="D18" s="138" t="inlineStr">
        <is>
          <t>screen</t>
        </is>
      </c>
      <c r="E18" s="138" t="inlineStr">
        <is>
          <t>mobile_controls</t>
        </is>
      </c>
      <c r="F18" s="138" t="inlineStr">
        <is>
          <t>root</t>
        </is>
      </c>
      <c r="G18" s="138" t="str"/>
      <c r="H18" s="138" t="inlineStr">
        <is>
          <t>屏幕空间</t>
        </is>
      </c>
      <c r="I18" s="138" t="inlineStr">
        <is>
          <t>default</t>
        </is>
      </c>
      <c r="J18" s="138" t="inlineStr">
        <is>
          <t>跨分辨率</t>
        </is>
      </c>
      <c r="K18" s="138" t="inlineStr">
        <is>
          <t>程序占位</t>
        </is>
      </c>
      <c r="L18" s="138" t="inlineStr">
        <is>
          <t>P2</t>
        </is>
      </c>
      <c r="M18" s="138" t="inlineStr">
        <is>
          <t>v001</t>
        </is>
      </c>
      <c r="N18" s="138" t="inlineStr">
        <is>
          <t>1280×720 基准；九宫格/矢量优先</t>
        </is>
      </c>
      <c r="O18" s="138" t="str"/>
      <c r="P18" s="138" t="inlineStr">
        <is>
          <t>src/ui/MobileControls.gd</t>
        </is>
      </c>
      <c r="Q18" s="138" t="str"/>
      <c r="R18" s="138">
        <f>LOWER(TRIM(C18)&amp;"|"&amp;TRIM(D18)&amp;"|"&amp;TRIM(E18)&amp;"|"&amp;TRIM(F18)&amp;"|"&amp;TRIM(H18)&amp;"|"&amp;TRIM(I18))</f>
        <v/>
      </c>
      <c r="S18" s="138">
        <f>IF(COUNTIF($R$6:$R$79,R18)&gt;1,"重复","唯一")</f>
        <v/>
      </c>
      <c r="T18" s="138" t="str"/>
      <c r="U18" s="138" t="inlineStr">
        <is>
          <t>待分配</t>
        </is>
      </c>
      <c r="V18" s="303" t="n">
        <v>46224</v>
      </c>
      <c r="W18" s="138" t="inlineStr">
        <is>
          <t>原创/待确认</t>
        </is>
      </c>
      <c r="X18" s="375" t="inlineStr">
        <is>
          <t>—</t>
        </is>
      </c>
      <c r="Y18" s="138" t="inlineStr">
        <is>
          <t>先建组件库，再做页面，避免每页重复画按钮/面板</t>
        </is>
      </c>
    </row>
    <row r="19">
      <c r="A19" s="138" t="inlineStr">
        <is>
          <t>AUD-BGM-WASTELAND</t>
        </is>
      </c>
      <c r="B19" s="138" t="inlineStr">
        <is>
          <t>末日荒野 BGM</t>
        </is>
      </c>
      <c r="C19" s="138" t="inlineStr">
        <is>
          <t>音频</t>
        </is>
      </c>
      <c r="D19" s="138" t="inlineStr">
        <is>
          <t>bgm</t>
        </is>
      </c>
      <c r="E19" s="138" t="inlineStr">
        <is>
          <t>bgm_wasteland</t>
        </is>
      </c>
      <c r="F19" s="138" t="inlineStr">
        <is>
          <t>root</t>
        </is>
      </c>
      <c r="G19" s="138" t="str"/>
      <c r="H19" s="138" t="inlineStr">
        <is>
          <t>不适用</t>
        </is>
      </c>
      <c r="I19" s="138" t="inlineStr">
        <is>
          <t>default</t>
        </is>
      </c>
      <c r="J19" s="138" t="inlineStr">
        <is>
          <t>按事件复用</t>
        </is>
      </c>
      <c r="K19" s="138" t="inlineStr">
        <is>
          <t>待制作</t>
        </is>
      </c>
      <c r="L19" s="138" t="inlineStr">
        <is>
          <t>P2</t>
        </is>
      </c>
      <c r="M19" s="138" t="inlineStr">
        <is>
          <t>v001</t>
        </is>
      </c>
      <c r="N19" s="138" t="inlineStr">
        <is>
          <t>循环 WAV/OGG</t>
        </is>
      </c>
      <c r="O19" s="138" t="str"/>
      <c r="P19" s="138" t="inlineStr">
        <is>
          <t>bgm_wasteland.wav</t>
        </is>
      </c>
      <c r="Q19" s="138" t="str"/>
      <c r="R19" s="138">
        <f>LOWER(TRIM(C19)&amp;"|"&amp;TRIM(D19)&amp;"|"&amp;TRIM(E19)&amp;"|"&amp;TRIM(F19)&amp;"|"&amp;TRIM(H19)&amp;"|"&amp;TRIM(I19))</f>
        <v/>
      </c>
      <c r="S19" s="138">
        <f>IF(COUNTIF($R$6:$R$79,R19)&gt;1,"重复","唯一")</f>
        <v/>
      </c>
      <c r="T19" s="138" t="str"/>
      <c r="U19" s="138" t="inlineStr">
        <is>
          <t>待分配</t>
        </is>
      </c>
      <c r="V19" s="303" t="n">
        <v>46224</v>
      </c>
      <c r="W19" s="138" t="inlineStr">
        <is>
          <t>项目现有/待核对</t>
        </is>
      </c>
      <c r="X19" s="375" t="inlineStr">
        <is>
          <t>—</t>
        </is>
      </c>
      <c r="Y19" s="138" t="inlineStr">
        <is>
          <t>2026-08-30 AST-02：仓库未找到 bgm_wasteland.wav/.ogg，原“已完成”状态无文件证据，降级为待制作；不伪造路径或SHA。</t>
        </is>
      </c>
    </row>
    <row r="20">
      <c r="A20" s="138" t="inlineStr">
        <is>
          <t>AUD-PISTOL-FIRE</t>
        </is>
      </c>
      <c r="B20" s="138" t="inlineStr">
        <is>
          <t>手枪射击</t>
        </is>
      </c>
      <c r="C20" s="138" t="inlineStr">
        <is>
          <t>音频</t>
        </is>
      </c>
      <c r="D20" s="138" t="inlineStr">
        <is>
          <t>sfx</t>
        </is>
      </c>
      <c r="E20" s="138" t="inlineStr">
        <is>
          <t>pistol_fire</t>
        </is>
      </c>
      <c r="F20" s="138" t="inlineStr">
        <is>
          <t>root</t>
        </is>
      </c>
      <c r="G20" s="138" t="str"/>
      <c r="H20" s="138" t="inlineStr">
        <is>
          <t>不适用</t>
        </is>
      </c>
      <c r="I20" s="138" t="inlineStr">
        <is>
          <t>default</t>
        </is>
      </c>
      <c r="J20" s="138" t="inlineStr">
        <is>
          <t>按事件复用</t>
        </is>
      </c>
      <c r="K20" s="138" t="inlineStr">
        <is>
          <t>待制作</t>
        </is>
      </c>
      <c r="L20" s="138" t="inlineStr">
        <is>
          <t>P2</t>
        </is>
      </c>
      <c r="M20" s="138" t="inlineStr">
        <is>
          <t>v001</t>
        </is>
      </c>
      <c r="N20" s="138" t="inlineStr">
        <is>
          <t>0.1–2.0s WAV/OGG</t>
        </is>
      </c>
      <c r="O20" s="138" t="str"/>
      <c r="P20" s="138" t="inlineStr">
        <is>
          <t>src/core/AudioManager.gd</t>
        </is>
      </c>
      <c r="Q20" s="138" t="str"/>
      <c r="R20" s="138">
        <f>LOWER(TRIM(C20)&amp;"|"&amp;TRIM(D20)&amp;"|"&amp;TRIM(E20)&amp;"|"&amp;TRIM(F20)&amp;"|"&amp;TRIM(H20)&amp;"|"&amp;TRIM(I20))</f>
        <v/>
      </c>
      <c r="S20" s="138">
        <f>IF(COUNTIF($R$6:$R$79,R20)&gt;1,"重复","唯一")</f>
        <v/>
      </c>
      <c r="T20" s="138" t="str"/>
      <c r="U20" s="138" t="inlineStr">
        <is>
          <t>待分配</t>
        </is>
      </c>
      <c r="V20" s="303" t="n">
        <v>46224</v>
      </c>
      <c r="W20" s="138" t="inlineStr">
        <is>
          <t>原创/待确认</t>
        </is>
      </c>
      <c r="X20" s="375" t="inlineStr">
        <is>
          <t>—</t>
        </is>
      </c>
      <c r="Y20" s="138" t="n"/>
    </row>
    <row r="21">
      <c r="A21" s="138" t="inlineStr">
        <is>
          <t>AUD-RIFLE-FIRE</t>
        </is>
      </c>
      <c r="B21" s="138" t="inlineStr">
        <is>
          <t>步枪射击</t>
        </is>
      </c>
      <c r="C21" s="138" t="inlineStr">
        <is>
          <t>音频</t>
        </is>
      </c>
      <c r="D21" s="138" t="inlineStr">
        <is>
          <t>sfx</t>
        </is>
      </c>
      <c r="E21" s="138" t="inlineStr">
        <is>
          <t>rifle_fire</t>
        </is>
      </c>
      <c r="F21" s="138" t="inlineStr">
        <is>
          <t>root</t>
        </is>
      </c>
      <c r="G21" s="138" t="str"/>
      <c r="H21" s="138" t="inlineStr">
        <is>
          <t>不适用</t>
        </is>
      </c>
      <c r="I21" s="138" t="inlineStr">
        <is>
          <t>default</t>
        </is>
      </c>
      <c r="J21" s="138" t="inlineStr">
        <is>
          <t>按事件复用</t>
        </is>
      </c>
      <c r="K21" s="138" t="inlineStr">
        <is>
          <t>待制作</t>
        </is>
      </c>
      <c r="L21" s="138" t="inlineStr">
        <is>
          <t>P2</t>
        </is>
      </c>
      <c r="M21" s="138" t="inlineStr">
        <is>
          <t>v001</t>
        </is>
      </c>
      <c r="N21" s="138" t="inlineStr">
        <is>
          <t>0.1–2.0s WAV/OGG</t>
        </is>
      </c>
      <c r="O21" s="138" t="str"/>
      <c r="P21" s="138" t="inlineStr">
        <is>
          <t>src/core/AudioManager.gd</t>
        </is>
      </c>
      <c r="Q21" s="138" t="str"/>
      <c r="R21" s="138">
        <f>LOWER(TRIM(C21)&amp;"|"&amp;TRIM(D21)&amp;"|"&amp;TRIM(E21)&amp;"|"&amp;TRIM(F21)&amp;"|"&amp;TRIM(H21)&amp;"|"&amp;TRIM(I21))</f>
        <v/>
      </c>
      <c r="S21" s="138">
        <f>IF(COUNTIF($R$6:$R$79,R21)&gt;1,"重复","唯一")</f>
        <v/>
      </c>
      <c r="T21" s="138" t="str"/>
      <c r="U21" s="138" t="inlineStr">
        <is>
          <t>待分配</t>
        </is>
      </c>
      <c r="V21" s="303" t="n">
        <v>46224</v>
      </c>
      <c r="W21" s="138" t="inlineStr">
        <is>
          <t>原创/待确认</t>
        </is>
      </c>
      <c r="X21" s="375" t="inlineStr">
        <is>
          <t>—</t>
        </is>
      </c>
      <c r="Y21" s="138" t="n"/>
    </row>
    <row r="22">
      <c r="A22" s="138" t="inlineStr">
        <is>
          <t>AUD-SHOTGUN-FIRE</t>
        </is>
      </c>
      <c r="B22" s="138" t="inlineStr">
        <is>
          <t>霰弹枪射击</t>
        </is>
      </c>
      <c r="C22" s="138" t="inlineStr">
        <is>
          <t>音频</t>
        </is>
      </c>
      <c r="D22" s="138" t="inlineStr">
        <is>
          <t>sfx</t>
        </is>
      </c>
      <c r="E22" s="138" t="inlineStr">
        <is>
          <t>shotgun_fire</t>
        </is>
      </c>
      <c r="F22" s="138" t="inlineStr">
        <is>
          <t>root</t>
        </is>
      </c>
      <c r="G22" s="138" t="str"/>
      <c r="H22" s="138" t="inlineStr">
        <is>
          <t>不适用</t>
        </is>
      </c>
      <c r="I22" s="138" t="inlineStr">
        <is>
          <t>default</t>
        </is>
      </c>
      <c r="J22" s="138" t="inlineStr">
        <is>
          <t>按事件复用</t>
        </is>
      </c>
      <c r="K22" s="138" t="inlineStr">
        <is>
          <t>待制作</t>
        </is>
      </c>
      <c r="L22" s="138" t="inlineStr">
        <is>
          <t>P2</t>
        </is>
      </c>
      <c r="M22" s="138" t="inlineStr">
        <is>
          <t>v001</t>
        </is>
      </c>
      <c r="N22" s="138" t="inlineStr">
        <is>
          <t>0.1–2.0s WAV/OGG</t>
        </is>
      </c>
      <c r="O22" s="138" t="str"/>
      <c r="P22" s="138" t="inlineStr">
        <is>
          <t>src/core/AudioManager.gd</t>
        </is>
      </c>
      <c r="Q22" s="138" t="str"/>
      <c r="R22" s="138">
        <f>LOWER(TRIM(C22)&amp;"|"&amp;TRIM(D22)&amp;"|"&amp;TRIM(E22)&amp;"|"&amp;TRIM(F22)&amp;"|"&amp;TRIM(H22)&amp;"|"&amp;TRIM(I22))</f>
        <v/>
      </c>
      <c r="S22" s="138">
        <f>IF(COUNTIF($R$6:$R$79,R22)&gt;1,"重复","唯一")</f>
        <v/>
      </c>
      <c r="T22" s="138" t="str"/>
      <c r="U22" s="138" t="inlineStr">
        <is>
          <t>待分配</t>
        </is>
      </c>
      <c r="V22" s="303" t="n">
        <v>46224</v>
      </c>
      <c r="W22" s="138" t="inlineStr">
        <is>
          <t>原创/待确认</t>
        </is>
      </c>
      <c r="X22" s="375" t="inlineStr">
        <is>
          <t>—</t>
        </is>
      </c>
      <c r="Y22" s="138" t="n"/>
    </row>
    <row r="23">
      <c r="A23" s="138" t="inlineStr">
        <is>
          <t>AUD-SMG-FIRE</t>
        </is>
      </c>
      <c r="B23" s="138" t="inlineStr">
        <is>
          <t>机枪射击</t>
        </is>
      </c>
      <c r="C23" s="138" t="inlineStr">
        <is>
          <t>音频</t>
        </is>
      </c>
      <c r="D23" s="138" t="inlineStr">
        <is>
          <t>sfx</t>
        </is>
      </c>
      <c r="E23" s="138" t="inlineStr">
        <is>
          <t>smg_fire</t>
        </is>
      </c>
      <c r="F23" s="138" t="inlineStr">
        <is>
          <t>root</t>
        </is>
      </c>
      <c r="G23" s="138" t="str"/>
      <c r="H23" s="138" t="inlineStr">
        <is>
          <t>不适用</t>
        </is>
      </c>
      <c r="I23" s="138" t="inlineStr">
        <is>
          <t>default</t>
        </is>
      </c>
      <c r="J23" s="138" t="inlineStr">
        <is>
          <t>按事件复用</t>
        </is>
      </c>
      <c r="K23" s="138" t="inlineStr">
        <is>
          <t>待制作</t>
        </is>
      </c>
      <c r="L23" s="138" t="inlineStr">
        <is>
          <t>P2</t>
        </is>
      </c>
      <c r="M23" s="138" t="inlineStr">
        <is>
          <t>v001</t>
        </is>
      </c>
      <c r="N23" s="138" t="inlineStr">
        <is>
          <t>0.1–2.0s WAV/OGG</t>
        </is>
      </c>
      <c r="O23" s="138" t="str"/>
      <c r="P23" s="138" t="inlineStr">
        <is>
          <t>src/core/AudioManager.gd</t>
        </is>
      </c>
      <c r="Q23" s="138" t="str"/>
      <c r="R23" s="138">
        <f>LOWER(TRIM(C23)&amp;"|"&amp;TRIM(D23)&amp;"|"&amp;TRIM(E23)&amp;"|"&amp;TRIM(F23)&amp;"|"&amp;TRIM(H23)&amp;"|"&amp;TRIM(I23))</f>
        <v/>
      </c>
      <c r="S23" s="138">
        <f>IF(COUNTIF($R$6:$R$79,R23)&gt;1,"重复","唯一")</f>
        <v/>
      </c>
      <c r="T23" s="138" t="str"/>
      <c r="U23" s="138" t="inlineStr">
        <is>
          <t>待分配</t>
        </is>
      </c>
      <c r="V23" s="303" t="n">
        <v>46224</v>
      </c>
      <c r="W23" s="138" t="inlineStr">
        <is>
          <t>原创/待确认</t>
        </is>
      </c>
      <c r="X23" s="375" t="inlineStr">
        <is>
          <t>—</t>
        </is>
      </c>
      <c r="Y23" s="138" t="n"/>
    </row>
    <row r="24">
      <c r="A24" s="138" t="inlineStr">
        <is>
          <t>AUD-SNIPER-FIRE</t>
        </is>
      </c>
      <c r="B24" s="138" t="inlineStr">
        <is>
          <t>狙击射击</t>
        </is>
      </c>
      <c r="C24" s="138" t="inlineStr">
        <is>
          <t>音频</t>
        </is>
      </c>
      <c r="D24" s="138" t="inlineStr">
        <is>
          <t>sfx</t>
        </is>
      </c>
      <c r="E24" s="138" t="inlineStr">
        <is>
          <t>sniper_fire</t>
        </is>
      </c>
      <c r="F24" s="138" t="inlineStr">
        <is>
          <t>root</t>
        </is>
      </c>
      <c r="G24" s="138" t="str"/>
      <c r="H24" s="138" t="inlineStr">
        <is>
          <t>不适用</t>
        </is>
      </c>
      <c r="I24" s="138" t="inlineStr">
        <is>
          <t>default</t>
        </is>
      </c>
      <c r="J24" s="138" t="inlineStr">
        <is>
          <t>按事件复用</t>
        </is>
      </c>
      <c r="K24" s="138" t="inlineStr">
        <is>
          <t>待制作</t>
        </is>
      </c>
      <c r="L24" s="138" t="inlineStr">
        <is>
          <t>P2</t>
        </is>
      </c>
      <c r="M24" s="138" t="inlineStr">
        <is>
          <t>v001</t>
        </is>
      </c>
      <c r="N24" s="138" t="inlineStr">
        <is>
          <t>0.1–2.0s WAV/OGG</t>
        </is>
      </c>
      <c r="O24" s="138" t="str"/>
      <c r="P24" s="138" t="inlineStr">
        <is>
          <t>src/core/AudioManager.gd</t>
        </is>
      </c>
      <c r="Q24" s="138" t="str"/>
      <c r="R24" s="138">
        <f>LOWER(TRIM(C24)&amp;"|"&amp;TRIM(D24)&amp;"|"&amp;TRIM(E24)&amp;"|"&amp;TRIM(F24)&amp;"|"&amp;TRIM(H24)&amp;"|"&amp;TRIM(I24))</f>
        <v/>
      </c>
      <c r="S24" s="138">
        <f>IF(COUNTIF($R$6:$R$79,R24)&gt;1,"重复","唯一")</f>
        <v/>
      </c>
      <c r="T24" s="138" t="str"/>
      <c r="U24" s="138" t="inlineStr">
        <is>
          <t>待分配</t>
        </is>
      </c>
      <c r="V24" s="303" t="n">
        <v>46224</v>
      </c>
      <c r="W24" s="138" t="inlineStr">
        <is>
          <t>原创/待确认</t>
        </is>
      </c>
      <c r="X24" s="375" t="inlineStr">
        <is>
          <t>—</t>
        </is>
      </c>
      <c r="Y24" s="138" t="n"/>
    </row>
    <row r="25">
      <c r="A25" s="138" t="inlineStr">
        <is>
          <t>AUD-PLAYER-HIT</t>
        </is>
      </c>
      <c r="B25" s="138" t="inlineStr">
        <is>
          <t>玩家受击</t>
        </is>
      </c>
      <c r="C25" s="138" t="inlineStr">
        <is>
          <t>音频</t>
        </is>
      </c>
      <c r="D25" s="138" t="inlineStr">
        <is>
          <t>sfx</t>
        </is>
      </c>
      <c r="E25" s="138" t="inlineStr">
        <is>
          <t>player_hit</t>
        </is>
      </c>
      <c r="F25" s="138" t="inlineStr">
        <is>
          <t>root</t>
        </is>
      </c>
      <c r="G25" s="138" t="str"/>
      <c r="H25" s="138" t="inlineStr">
        <is>
          <t>不适用</t>
        </is>
      </c>
      <c r="I25" s="138" t="inlineStr">
        <is>
          <t>default</t>
        </is>
      </c>
      <c r="J25" s="138" t="inlineStr">
        <is>
          <t>按事件复用</t>
        </is>
      </c>
      <c r="K25" s="138" t="inlineStr">
        <is>
          <t>待制作</t>
        </is>
      </c>
      <c r="L25" s="138" t="inlineStr">
        <is>
          <t>P2</t>
        </is>
      </c>
      <c r="M25" s="138" t="inlineStr">
        <is>
          <t>v001</t>
        </is>
      </c>
      <c r="N25" s="138" t="inlineStr">
        <is>
          <t>0.1–2.0s WAV/OGG</t>
        </is>
      </c>
      <c r="O25" s="138" t="str"/>
      <c r="P25" s="138" t="inlineStr">
        <is>
          <t>src/core/AudioManager.gd</t>
        </is>
      </c>
      <c r="Q25" s="138" t="str"/>
      <c r="R25" s="138">
        <f>LOWER(TRIM(C25)&amp;"|"&amp;TRIM(D25)&amp;"|"&amp;TRIM(E25)&amp;"|"&amp;TRIM(F25)&amp;"|"&amp;TRIM(H25)&amp;"|"&amp;TRIM(I25))</f>
        <v/>
      </c>
      <c r="S25" s="138">
        <f>IF(COUNTIF($R$6:$R$79,R25)&gt;1,"重复","唯一")</f>
        <v/>
      </c>
      <c r="T25" s="138" t="str"/>
      <c r="U25" s="138" t="inlineStr">
        <is>
          <t>待分配</t>
        </is>
      </c>
      <c r="V25" s="303" t="n">
        <v>46224</v>
      </c>
      <c r="W25" s="138" t="inlineStr">
        <is>
          <t>原创/待确认</t>
        </is>
      </c>
      <c r="X25" s="375" t="inlineStr">
        <is>
          <t>—</t>
        </is>
      </c>
      <c r="Y25" s="138" t="n"/>
    </row>
    <row r="26">
      <c r="A26" s="138" t="inlineStr">
        <is>
          <t>AUD-PLAYER-DASH</t>
        </is>
      </c>
      <c r="B26" s="138" t="inlineStr">
        <is>
          <t>玩家冲刺</t>
        </is>
      </c>
      <c r="C26" s="138" t="inlineStr">
        <is>
          <t>音频</t>
        </is>
      </c>
      <c r="D26" s="138" t="inlineStr">
        <is>
          <t>sfx</t>
        </is>
      </c>
      <c r="E26" s="138" t="inlineStr">
        <is>
          <t>player_dash</t>
        </is>
      </c>
      <c r="F26" s="138" t="inlineStr">
        <is>
          <t>root</t>
        </is>
      </c>
      <c r="G26" s="138" t="str"/>
      <c r="H26" s="138" t="inlineStr">
        <is>
          <t>不适用</t>
        </is>
      </c>
      <c r="I26" s="138" t="inlineStr">
        <is>
          <t>default</t>
        </is>
      </c>
      <c r="J26" s="138" t="inlineStr">
        <is>
          <t>按事件复用</t>
        </is>
      </c>
      <c r="K26" s="138" t="inlineStr">
        <is>
          <t>待制作</t>
        </is>
      </c>
      <c r="L26" s="138" t="inlineStr">
        <is>
          <t>P2</t>
        </is>
      </c>
      <c r="M26" s="138" t="inlineStr">
        <is>
          <t>v001</t>
        </is>
      </c>
      <c r="N26" s="138" t="inlineStr">
        <is>
          <t>0.1–2.0s WAV/OGG</t>
        </is>
      </c>
      <c r="O26" s="138" t="str"/>
      <c r="P26" s="138" t="inlineStr">
        <is>
          <t>src/core/AudioManager.gd</t>
        </is>
      </c>
      <c r="Q26" s="138" t="str"/>
      <c r="R26" s="138">
        <f>LOWER(TRIM(C26)&amp;"|"&amp;TRIM(D26)&amp;"|"&amp;TRIM(E26)&amp;"|"&amp;TRIM(F26)&amp;"|"&amp;TRIM(H26)&amp;"|"&amp;TRIM(I26))</f>
        <v/>
      </c>
      <c r="S26" s="138">
        <f>IF(COUNTIF($R$6:$R$79,R26)&gt;1,"重复","唯一")</f>
        <v/>
      </c>
      <c r="T26" s="138" t="str"/>
      <c r="U26" s="138" t="inlineStr">
        <is>
          <t>待分配</t>
        </is>
      </c>
      <c r="V26" s="303" t="n">
        <v>46224</v>
      </c>
      <c r="W26" s="138" t="inlineStr">
        <is>
          <t>原创/待确认</t>
        </is>
      </c>
      <c r="X26" s="375" t="inlineStr">
        <is>
          <t>—</t>
        </is>
      </c>
      <c r="Y26" s="138" t="n"/>
    </row>
    <row r="27">
      <c r="A27" s="138" t="inlineStr">
        <is>
          <t>AUD-ENEMY-HIT</t>
        </is>
      </c>
      <c r="B27" s="138" t="inlineStr">
        <is>
          <t>敌人受击</t>
        </is>
      </c>
      <c r="C27" s="138" t="inlineStr">
        <is>
          <t>音频</t>
        </is>
      </c>
      <c r="D27" s="138" t="inlineStr">
        <is>
          <t>sfx</t>
        </is>
      </c>
      <c r="E27" s="138" t="inlineStr">
        <is>
          <t>enemy_hit</t>
        </is>
      </c>
      <c r="F27" s="138" t="inlineStr">
        <is>
          <t>root</t>
        </is>
      </c>
      <c r="G27" s="138" t="str"/>
      <c r="H27" s="138" t="inlineStr">
        <is>
          <t>不适用</t>
        </is>
      </c>
      <c r="I27" s="138" t="inlineStr">
        <is>
          <t>default</t>
        </is>
      </c>
      <c r="J27" s="138" t="inlineStr">
        <is>
          <t>按事件复用</t>
        </is>
      </c>
      <c r="K27" s="138" t="inlineStr">
        <is>
          <t>待制作</t>
        </is>
      </c>
      <c r="L27" s="138" t="inlineStr">
        <is>
          <t>P2</t>
        </is>
      </c>
      <c r="M27" s="138" t="inlineStr">
        <is>
          <t>v001</t>
        </is>
      </c>
      <c r="N27" s="138" t="inlineStr">
        <is>
          <t>0.1–2.0s WAV/OGG</t>
        </is>
      </c>
      <c r="O27" s="138" t="str"/>
      <c r="P27" s="138" t="inlineStr">
        <is>
          <t>src/core/AudioManager.gd</t>
        </is>
      </c>
      <c r="Q27" s="138" t="str"/>
      <c r="R27" s="138">
        <f>LOWER(TRIM(C27)&amp;"|"&amp;TRIM(D27)&amp;"|"&amp;TRIM(E27)&amp;"|"&amp;TRIM(F27)&amp;"|"&amp;TRIM(H27)&amp;"|"&amp;TRIM(I27))</f>
        <v/>
      </c>
      <c r="S27" s="138">
        <f>IF(COUNTIF($R$6:$R$79,R27)&gt;1,"重复","唯一")</f>
        <v/>
      </c>
      <c r="T27" s="138" t="str"/>
      <c r="U27" s="138" t="inlineStr">
        <is>
          <t>待分配</t>
        </is>
      </c>
      <c r="V27" s="303" t="n">
        <v>46224</v>
      </c>
      <c r="W27" s="138" t="inlineStr">
        <is>
          <t>原创/待确认</t>
        </is>
      </c>
      <c r="X27" s="375" t="inlineStr">
        <is>
          <t>—</t>
        </is>
      </c>
      <c r="Y27" s="138" t="n"/>
    </row>
    <row r="28">
      <c r="A28" s="138" t="inlineStr">
        <is>
          <t>AUD-ENEMY-DIE</t>
        </is>
      </c>
      <c r="B28" s="138" t="inlineStr">
        <is>
          <t>敌人死亡</t>
        </is>
      </c>
      <c r="C28" s="138" t="inlineStr">
        <is>
          <t>音频</t>
        </is>
      </c>
      <c r="D28" s="138" t="inlineStr">
        <is>
          <t>sfx</t>
        </is>
      </c>
      <c r="E28" s="138" t="inlineStr">
        <is>
          <t>enemy_die</t>
        </is>
      </c>
      <c r="F28" s="138" t="inlineStr">
        <is>
          <t>root</t>
        </is>
      </c>
      <c r="G28" s="138" t="str"/>
      <c r="H28" s="138" t="inlineStr">
        <is>
          <t>不适用</t>
        </is>
      </c>
      <c r="I28" s="138" t="inlineStr">
        <is>
          <t>default</t>
        </is>
      </c>
      <c r="J28" s="138" t="inlineStr">
        <is>
          <t>按事件复用</t>
        </is>
      </c>
      <c r="K28" s="138" t="inlineStr">
        <is>
          <t>待制作</t>
        </is>
      </c>
      <c r="L28" s="138" t="inlineStr">
        <is>
          <t>P2</t>
        </is>
      </c>
      <c r="M28" s="138" t="inlineStr">
        <is>
          <t>v001</t>
        </is>
      </c>
      <c r="N28" s="138" t="inlineStr">
        <is>
          <t>0.1–2.0s WAV/OGG</t>
        </is>
      </c>
      <c r="O28" s="138" t="str"/>
      <c r="P28" s="138" t="inlineStr">
        <is>
          <t>src/core/AudioManager.gd</t>
        </is>
      </c>
      <c r="Q28" s="138" t="str"/>
      <c r="R28" s="138">
        <f>LOWER(TRIM(C28)&amp;"|"&amp;TRIM(D28)&amp;"|"&amp;TRIM(E28)&amp;"|"&amp;TRIM(F28)&amp;"|"&amp;TRIM(H28)&amp;"|"&amp;TRIM(I28))</f>
        <v/>
      </c>
      <c r="S28" s="138">
        <f>IF(COUNTIF($R$6:$R$79,R28)&gt;1,"重复","唯一")</f>
        <v/>
      </c>
      <c r="T28" s="138" t="str"/>
      <c r="U28" s="138" t="inlineStr">
        <is>
          <t>待分配</t>
        </is>
      </c>
      <c r="V28" s="303" t="n">
        <v>46224</v>
      </c>
      <c r="W28" s="138" t="inlineStr">
        <is>
          <t>原创/待确认</t>
        </is>
      </c>
      <c r="X28" s="375" t="inlineStr">
        <is>
          <t>—</t>
        </is>
      </c>
      <c r="Y28" s="138" t="n"/>
    </row>
    <row r="29">
      <c r="A29" s="138" t="inlineStr">
        <is>
          <t>AUD-RELOAD</t>
        </is>
      </c>
      <c r="B29" s="138" t="inlineStr">
        <is>
          <t>换弹</t>
        </is>
      </c>
      <c r="C29" s="138" t="inlineStr">
        <is>
          <t>音频</t>
        </is>
      </c>
      <c r="D29" s="138" t="inlineStr">
        <is>
          <t>sfx</t>
        </is>
      </c>
      <c r="E29" s="138" t="inlineStr">
        <is>
          <t>reload</t>
        </is>
      </c>
      <c r="F29" s="138" t="inlineStr">
        <is>
          <t>root</t>
        </is>
      </c>
      <c r="G29" s="138" t="str"/>
      <c r="H29" s="138" t="inlineStr">
        <is>
          <t>不适用</t>
        </is>
      </c>
      <c r="I29" s="138" t="inlineStr">
        <is>
          <t>default</t>
        </is>
      </c>
      <c r="J29" s="138" t="inlineStr">
        <is>
          <t>按事件复用</t>
        </is>
      </c>
      <c r="K29" s="138" t="inlineStr">
        <is>
          <t>待制作</t>
        </is>
      </c>
      <c r="L29" s="138" t="inlineStr">
        <is>
          <t>P2</t>
        </is>
      </c>
      <c r="M29" s="138" t="inlineStr">
        <is>
          <t>v001</t>
        </is>
      </c>
      <c r="N29" s="138" t="inlineStr">
        <is>
          <t>0.1–2.0s WAV/OGG</t>
        </is>
      </c>
      <c r="O29" s="138" t="str"/>
      <c r="P29" s="138" t="inlineStr">
        <is>
          <t>src/core/AudioManager.gd</t>
        </is>
      </c>
      <c r="Q29" s="138" t="str"/>
      <c r="R29" s="138">
        <f>LOWER(TRIM(C29)&amp;"|"&amp;TRIM(D29)&amp;"|"&amp;TRIM(E29)&amp;"|"&amp;TRIM(F29)&amp;"|"&amp;TRIM(H29)&amp;"|"&amp;TRIM(I29))</f>
        <v/>
      </c>
      <c r="S29" s="138">
        <f>IF(COUNTIF($R$6:$R$79,R29)&gt;1,"重复","唯一")</f>
        <v/>
      </c>
      <c r="T29" s="138" t="str"/>
      <c r="U29" s="138" t="inlineStr">
        <is>
          <t>待分配</t>
        </is>
      </c>
      <c r="V29" s="303" t="n">
        <v>46224</v>
      </c>
      <c r="W29" s="138" t="inlineStr">
        <is>
          <t>原创/待确认</t>
        </is>
      </c>
      <c r="X29" s="375" t="inlineStr">
        <is>
          <t>—</t>
        </is>
      </c>
      <c r="Y29" s="138" t="n"/>
    </row>
    <row r="30">
      <c r="A30" s="138" t="inlineStr">
        <is>
          <t>AUD-EXTRACTION-START</t>
        </is>
      </c>
      <c r="B30" s="138" t="inlineStr">
        <is>
          <t>撤离启动</t>
        </is>
      </c>
      <c r="C30" s="138" t="inlineStr">
        <is>
          <t>音频</t>
        </is>
      </c>
      <c r="D30" s="138" t="inlineStr">
        <is>
          <t>sfx</t>
        </is>
      </c>
      <c r="E30" s="138" t="inlineStr">
        <is>
          <t>extraction_start</t>
        </is>
      </c>
      <c r="F30" s="138" t="inlineStr">
        <is>
          <t>root</t>
        </is>
      </c>
      <c r="G30" s="138" t="str"/>
      <c r="H30" s="138" t="inlineStr">
        <is>
          <t>不适用</t>
        </is>
      </c>
      <c r="I30" s="138" t="inlineStr">
        <is>
          <t>default</t>
        </is>
      </c>
      <c r="J30" s="138" t="inlineStr">
        <is>
          <t>按事件复用</t>
        </is>
      </c>
      <c r="K30" s="138" t="inlineStr">
        <is>
          <t>待制作</t>
        </is>
      </c>
      <c r="L30" s="138" t="inlineStr">
        <is>
          <t>P2</t>
        </is>
      </c>
      <c r="M30" s="138" t="inlineStr">
        <is>
          <t>v001</t>
        </is>
      </c>
      <c r="N30" s="138" t="inlineStr">
        <is>
          <t>0.1–2.0s WAV/OGG</t>
        </is>
      </c>
      <c r="O30" s="138" t="str"/>
      <c r="P30" s="138" t="inlineStr">
        <is>
          <t>src/core/AudioManager.gd</t>
        </is>
      </c>
      <c r="Q30" s="138" t="str"/>
      <c r="R30" s="138">
        <f>LOWER(TRIM(C30)&amp;"|"&amp;TRIM(D30)&amp;"|"&amp;TRIM(E30)&amp;"|"&amp;TRIM(F30)&amp;"|"&amp;TRIM(H30)&amp;"|"&amp;TRIM(I30))</f>
        <v/>
      </c>
      <c r="S30" s="138">
        <f>IF(COUNTIF($R$6:$R$79,R30)&gt;1,"重复","唯一")</f>
        <v/>
      </c>
      <c r="T30" s="138" t="str"/>
      <c r="U30" s="138" t="inlineStr">
        <is>
          <t>待分配</t>
        </is>
      </c>
      <c r="V30" s="303" t="n">
        <v>46224</v>
      </c>
      <c r="W30" s="138" t="inlineStr">
        <is>
          <t>原创/待确认</t>
        </is>
      </c>
      <c r="X30" s="375" t="inlineStr">
        <is>
          <t>—</t>
        </is>
      </c>
      <c r="Y30" s="138" t="n"/>
    </row>
    <row r="31">
      <c r="A31" s="138" t="inlineStr">
        <is>
          <t>AUD-EXTRACTION-DONE</t>
        </is>
      </c>
      <c r="B31" s="138" t="inlineStr">
        <is>
          <t>撤离完成</t>
        </is>
      </c>
      <c r="C31" s="138" t="inlineStr">
        <is>
          <t>音频</t>
        </is>
      </c>
      <c r="D31" s="138" t="inlineStr">
        <is>
          <t>sfx</t>
        </is>
      </c>
      <c r="E31" s="138" t="inlineStr">
        <is>
          <t>extraction_done</t>
        </is>
      </c>
      <c r="F31" s="138" t="inlineStr">
        <is>
          <t>root</t>
        </is>
      </c>
      <c r="G31" s="138" t="str"/>
      <c r="H31" s="138" t="inlineStr">
        <is>
          <t>不适用</t>
        </is>
      </c>
      <c r="I31" s="138" t="inlineStr">
        <is>
          <t>default</t>
        </is>
      </c>
      <c r="J31" s="138" t="inlineStr">
        <is>
          <t>按事件复用</t>
        </is>
      </c>
      <c r="K31" s="138" t="inlineStr">
        <is>
          <t>待制作</t>
        </is>
      </c>
      <c r="L31" s="138" t="inlineStr">
        <is>
          <t>P2</t>
        </is>
      </c>
      <c r="M31" s="138" t="inlineStr">
        <is>
          <t>v001</t>
        </is>
      </c>
      <c r="N31" s="138" t="inlineStr">
        <is>
          <t>0.1–2.0s WAV/OGG</t>
        </is>
      </c>
      <c r="O31" s="138" t="str"/>
      <c r="P31" s="138" t="inlineStr">
        <is>
          <t>src/core/AudioManager.gd</t>
        </is>
      </c>
      <c r="Q31" s="138" t="str"/>
      <c r="R31" s="138">
        <f>LOWER(TRIM(C31)&amp;"|"&amp;TRIM(D31)&amp;"|"&amp;TRIM(E31)&amp;"|"&amp;TRIM(F31)&amp;"|"&amp;TRIM(H31)&amp;"|"&amp;TRIM(I31))</f>
        <v/>
      </c>
      <c r="S31" s="138">
        <f>IF(COUNTIF($R$6:$R$79,R31)&gt;1,"重复","唯一")</f>
        <v/>
      </c>
      <c r="T31" s="138" t="str"/>
      <c r="U31" s="138" t="inlineStr">
        <is>
          <t>待分配</t>
        </is>
      </c>
      <c r="V31" s="303" t="n">
        <v>46224</v>
      </c>
      <c r="W31" s="138" t="inlineStr">
        <is>
          <t>原创/待确认</t>
        </is>
      </c>
      <c r="X31" s="375" t="inlineStr">
        <is>
          <t>—</t>
        </is>
      </c>
      <c r="Y31" s="138" t="n"/>
    </row>
    <row r="32">
      <c r="A32" s="392" t="inlineStr">
        <is>
          <t>UI-SCREEN-INVENTORY-3D</t>
        </is>
      </c>
      <c r="B32" s="392" t="inlineStr">
        <is>
          <t>3D背包与保险界面</t>
        </is>
      </c>
      <c r="C32" s="392" t="inlineStr">
        <is>
          <t>UI</t>
        </is>
      </c>
      <c r="D32" s="392" t="inlineStr">
        <is>
          <t>screen</t>
        </is>
      </c>
      <c r="E32" s="392" t="inlineStr">
        <is>
          <t>inventory</t>
        </is>
      </c>
      <c r="F32" s="392" t="inlineStr">
        <is>
          <t>root_3d</t>
        </is>
      </c>
      <c r="G32" s="392" t="inlineStr">
        <is>
          <t>UI-SCREEN-INVENTORY</t>
        </is>
      </c>
      <c r="H32" s="392" t="inlineStr">
        <is>
          <t>屏幕空间</t>
        </is>
      </c>
      <c r="I32" s="392" t="inlineStr">
        <is>
          <t>default</t>
        </is>
      </c>
      <c r="J32" s="392" t="inlineStr">
        <is>
          <t>3D行动区</t>
        </is>
      </c>
      <c r="K32" s="392" t="inlineStr">
        <is>
          <t>原型已接入</t>
        </is>
      </c>
      <c r="L32" s="392" t="inlineStr">
        <is>
          <t>P0</t>
        </is>
      </c>
      <c r="M32" s="392" t="inlineStr">
        <is>
          <t>v002</t>
        </is>
      </c>
      <c r="N32" s="392" t="inlineStr">
        <is>
          <t>全屏Control/12+2槽/96×96投影</t>
        </is>
      </c>
      <c r="O32" s="392" t="inlineStr">
        <is>
          <t>src/ui/InventoryUI.gd</t>
        </is>
      </c>
      <c r="P32" s="392" t="inlineStr">
        <is>
          <t>scenes/Dungeon3D.tscn</t>
        </is>
      </c>
      <c r="Q32" s="392" t="inlineStr">
        <is>
          <t>背包;保险;I键;Tab;模态输入锁;3D道具投影;实际点击装备</t>
        </is>
      </c>
      <c r="R32" s="392">
        <f>LOWER(TRIM(C32)&amp;"|"&amp;TRIM(D32)&amp;"|"&amp;TRIM(E32)&amp;"|"&amp;TRIM(F32)&amp;"|"&amp;TRIM(H32)&amp;"|"&amp;TRIM(I32))</f>
        <v/>
      </c>
      <c r="S32" s="392">
        <f>IF(COUNTIF($R$6:$R$79,R32)&gt;1,"重复","唯一")</f>
        <v/>
      </c>
      <c r="T32" s="392" t="inlineStr">
        <is>
          <t>7237a181430578fa95598dc6501fe3a37def471fa180f7771ebc816f28ffdce2</t>
        </is>
      </c>
      <c r="U32" s="392" t="inlineStr">
        <is>
          <t>Codex</t>
        </is>
      </c>
      <c r="V32" s="392" t="n">
        <v>46264</v>
      </c>
      <c r="W32" s="392" t="inlineStr">
        <is>
          <t>原创程序UI</t>
        </is>
      </c>
      <c r="X32" s="375" t="inlineStr">
        <is>
          <t>—</t>
        </is>
      </c>
      <c r="Y32" s="392" t="inlineStr">
        <is>
          <t>复用背包根身份的3D子变体；I/Tab；打开时锁输入；道具共用 ItemModelFactory3D；实际 ItemSlot 信号完成换枪 ｜ 2026-08-07：左角色装备/右包裹网格；主副武器、背包装备、快捷物、物品与保险格统一正方形图标；深蓝黑+霓虹青+生命红语言。
2026-08-30 AST-02：合法内容更新；文件为Git已跟踪且修改时间不早于原台账日期；验收：verify_3d_inventory_weapon_flow；SHA ccd8f7d7f3c9→e2c3f432a561。</t>
        </is>
      </c>
    </row>
    <row r="33">
      <c r="A33" s="392" t="inlineStr">
        <is>
          <t>UI-SCREEN-PAUSE-3D</t>
        </is>
      </c>
      <c r="B33" s="392" t="inlineStr">
        <is>
          <t>3D共用暂停界面</t>
        </is>
      </c>
      <c r="C33" s="392" t="inlineStr">
        <is>
          <t>UI</t>
        </is>
      </c>
      <c r="D33" s="392" t="inlineStr">
        <is>
          <t>screen</t>
        </is>
      </c>
      <c r="E33" s="392" t="inlineStr">
        <is>
          <t>pause</t>
        </is>
      </c>
      <c r="F33" s="392" t="inlineStr">
        <is>
          <t>root_3d</t>
        </is>
      </c>
      <c r="G33" s="392" t="n"/>
      <c r="H33" s="392" t="inlineStr">
        <is>
          <t>屏幕空间</t>
        </is>
      </c>
      <c r="I33" s="392" t="inlineStr">
        <is>
          <t>default</t>
        </is>
      </c>
      <c r="J33" s="392" t="inlineStr">
        <is>
          <t>地下城/基地/靶场</t>
        </is>
      </c>
      <c r="K33" s="392" t="inlineStr">
        <is>
          <t>已完成</t>
        </is>
      </c>
      <c r="L33" s="392" t="inlineStr">
        <is>
          <t>P0</t>
        </is>
      </c>
      <c r="M33" s="392" t="inlineStr">
        <is>
          <t>v001</t>
        </is>
      </c>
      <c r="N33" s="392" t="inlineStr">
        <is>
          <t>PackedScene/全屏Control</t>
        </is>
      </c>
      <c r="O33" s="392" t="inlineStr">
        <is>
          <t>assets/art/ui/pause_3d/ui_pause_overlay_screen.tscn</t>
        </is>
      </c>
      <c r="P33" s="392" t="inlineStr">
        <is>
          <t>src/ui/PauseMenu3D.gd</t>
        </is>
      </c>
      <c r="Q33" s="392" t="inlineStr">
        <is>
          <t>暂停;Esc;继续;全局模态;3D HUD</t>
        </is>
      </c>
      <c r="R33" s="392">
        <f>LOWER(TRIM(C33)&amp;"|"&amp;TRIM(D33)&amp;"|"&amp;TRIM(E33)&amp;"|"&amp;TRIM(F33)&amp;"|"&amp;TRIM(H33)&amp;"|"&amp;TRIM(I33))</f>
        <v/>
      </c>
      <c r="S33" s="392">
        <f>IF(COUNTIF($R$6:$R$79,R33)&gt;1,"重复","唯一")</f>
        <v/>
      </c>
      <c r="T33" s="392" t="inlineStr">
        <is>
          <t>0ed9c0963e35156a1116af3eb6878b084a498bac87af50a9e9a4071d5f6b49b8</t>
        </is>
      </c>
      <c r="U33" s="392" t="inlineStr">
        <is>
          <t>Codex</t>
        </is>
      </c>
      <c r="V33" s="392" t="n">
        <v>46264</v>
      </c>
      <c r="W33" s="392" t="inlineStr">
        <is>
          <t>原创程序UI</t>
        </is>
      </c>
      <c r="X33" s="375" t="inlineStr">
        <is>
          <t>—</t>
        </is>
      </c>
      <c r="Y33" s="392" t="inlineStr">
        <is>
          <t>三张3D地图共用；Esc先关闭最上层模态，再进入真实暂停
2026-08-30 AST-02：合法内容更新；文件为Git已跟踪且修改时间不早于原台账日期；验收：verify_pause_game_save_reset_flow；SHA 8fed542ebf6b→47f097938d22。</t>
        </is>
      </c>
    </row>
    <row r="34">
      <c r="A34" s="392" t="inlineStr">
        <is>
          <t>UI-ICON-ITEM-MODEL-3D</t>
        </is>
      </c>
      <c r="B34" s="392" t="inlineStr">
        <is>
          <t>背包道具3D模型投影组件</t>
        </is>
      </c>
      <c r="C34" s="392" t="inlineStr">
        <is>
          <t>UI</t>
        </is>
      </c>
      <c r="D34" s="392" t="inlineStr">
        <is>
          <t>icon</t>
        </is>
      </c>
      <c r="E34" s="392" t="inlineStr">
        <is>
          <t>item_model_icon</t>
        </is>
      </c>
      <c r="F34" s="392" t="inlineStr">
        <is>
          <t>root_3d</t>
        </is>
      </c>
      <c r="G34" s="392" t="inlineStr">
        <is>
          <t>UI-SCREEN-INVENTORY-3D</t>
        </is>
      </c>
      <c r="H34" s="392" t="inlineStr">
        <is>
          <t>屏幕空间/3D投影</t>
        </is>
      </c>
      <c r="I34" s="392" t="inlineStr">
        <is>
          <t>default</t>
        </is>
      </c>
      <c r="J34" s="392" t="inlineStr">
        <is>
          <t>背包/保险格/道具预览</t>
        </is>
      </c>
      <c r="K34" s="392" t="inlineStr">
        <is>
          <t>原型已接入</t>
        </is>
      </c>
      <c r="L34" s="392" t="inlineStr">
        <is>
          <t>P0</t>
        </is>
      </c>
      <c r="M34" s="392" t="inlineStr">
        <is>
          <t>v001</t>
        </is>
      </c>
      <c r="N34" s="392" t="inlineStr">
        <is>
          <t>96×96 SubViewport/UPDATE_ONCE</t>
        </is>
      </c>
      <c r="O34" s="392" t="inlineStr">
        <is>
          <t>assets/art/ui/inventory_3d/ui_item_model_icon_root.tscn</t>
        </is>
      </c>
      <c r="P34" s="392" t="inlineStr">
        <is>
          <t>src/ui/ItemModelIcon3D.gd</t>
        </is>
      </c>
      <c r="Q34" s="392" t="inlineStr">
        <is>
          <t>3D道具图标;模型投影;背包图标;共享世界模型;单次渲染</t>
        </is>
      </c>
      <c r="R34" s="392">
        <f>LOWER(TRIM(C34)&amp;"|"&amp;TRIM(D34)&amp;"|"&amp;TRIM(E34)&amp;"|"&amp;TRIM(F34)&amp;"|"&amp;TRIM(H34)&amp;"|"&amp;TRIM(I34))</f>
        <v/>
      </c>
      <c r="S34" s="392">
        <f>IF(COUNTIF($R$6:$R$79,R34)&gt;1,"重复","唯一")</f>
        <v/>
      </c>
      <c r="T34" s="392" t="inlineStr">
        <is>
          <t>7d3deb95a52bbebca119606ce4189e501a812ed496b7c2f8f1e389ebeeb38d3c</t>
        </is>
      </c>
      <c r="U34" s="392" t="inlineStr">
        <is>
          <t>Codex</t>
        </is>
      </c>
      <c r="V34" s="348" t="n">
        <v>46225</v>
      </c>
      <c r="W34" s="392" t="inlineStr">
        <is>
          <t>原创程序UI</t>
        </is>
      </c>
      <c r="X34" s="375" t="inlineStr">
        <is>
          <t>—</t>
        </is>
      </c>
      <c r="Y34" s="392" t="inlineStr">
        <is>
          <t>与地面拾取共用 ItemModelFactory3D；96×96 内部视口缩放至56px槽位；只渲染一次；验收图：assets/art/ui/inventory_3d/ui_inventory_item_model_preview_v001.png</t>
        </is>
      </c>
    </row>
    <row r="35">
      <c r="A35" s="308" t="inlineStr">
        <is>
          <t>UI-SCREEN-BASE-VENDING</t>
        </is>
      </c>
      <c r="B35" s="309" t="inlineStr">
        <is>
          <t>基地自动贩卖机商店界面</t>
        </is>
      </c>
      <c r="C35" s="309" t="inlineStr">
        <is>
          <t>UI</t>
        </is>
      </c>
      <c r="D35" s="309" t="inlineStr">
        <is>
          <t>base_facility</t>
        </is>
      </c>
      <c r="E35" s="309" t="inlineStr">
        <is>
          <t>base_vending_shop</t>
        </is>
      </c>
      <c r="F35" s="309" t="inlineStr">
        <is>
          <t>screen</t>
        </is>
      </c>
      <c r="G35" s="309" t="inlineStr">
        <is>
          <t>UI-SCREEN-MERCHANT</t>
        </is>
      </c>
      <c r="H35" s="309" t="inlineStr">
        <is>
          <t>Screen</t>
        </is>
      </c>
      <c r="I35" s="309" t="inlineStr">
        <is>
          <t>default</t>
        </is>
      </c>
      <c r="J35" s="309" t="inlineStr">
        <is>
          <t>基地自动贩卖机</t>
        </is>
      </c>
      <c r="K35" s="309" t="inlineStr">
        <is>
          <t>原型已接入</t>
        </is>
      </c>
      <c r="L35" s="309" t="inlineStr">
        <is>
          <t>P0</t>
        </is>
      </c>
      <c r="M35" s="309" t="inlineStr">
        <is>
          <t>v002</t>
        </is>
      </c>
      <c r="N35" s="309" t="inlineStr">
        <is>
          <t>1280×720自适应</t>
        </is>
      </c>
      <c r="O35" s="309" t="inlineStr">
        <is>
          <t>scenes/BaseVendingMenu.tscn</t>
        </is>
      </c>
      <c r="P35" s="309" t="inlineStr">
        <is>
          <t>用户设计+docs/v0.1/07_技术施工_基地设施.md</t>
        </is>
      </c>
      <c r="Q35" s="309" t="inlineStr">
        <is>
          <t>基地商店; 购买; 出售; 3D物品图标</t>
        </is>
      </c>
      <c r="R35" s="309">
        <f>LOWER(TRIM(C35)&amp;"|"&amp;TRIM(D35)&amp;"|"&amp;TRIM(E35)&amp;"|"&amp;TRIM(F35)&amp;"|"&amp;TRIM(H35)&amp;"|"&amp;TRIM(I35))</f>
        <v/>
      </c>
      <c r="S35" s="309">
        <f>IF(COUNTIF($R$6:$R$79,R35)&gt;1,"重复","唯一")</f>
        <v/>
      </c>
      <c r="T35" s="309" t="inlineStr">
        <is>
          <t>119e03cab16d9fc3780315b3df088e710f6bf2f2d9e4e84c95c79b6abb540bd3</t>
        </is>
      </c>
      <c r="U35" s="309" t="inlineStr">
        <is>
          <t>Codex</t>
        </is>
      </c>
      <c r="V35" s="309" t="n">
        <v>46264</v>
      </c>
      <c r="W35" s="309" t="inlineStr">
        <is>
          <t>程序控件/原创</t>
        </is>
      </c>
      <c r="X35" s="375" t="inlineStr">
        <is>
          <t>—</t>
        </is>
      </c>
      <c r="Y35" s="309" t="inlineStr">
        <is>
          <t>左右买卖双栏；复用ItemModelIcon3D；资源与容量常驻；Esc退出 ｜ 2026-08-07：购买/出售改为3列商品卡网格，正方形ItemModelIcon3D，与I键背包同源；统一主HUD配色和按钮状态。
2026-08-30 AST-02：登记路径规范化 scenes/BaseVendingMenu.tscn; src/ui/BaseVendingMenu.gd → scenes/BaseVendingMenu.tscn；多实现/源码依据保留在P列。
2026-08-30 AST-02：补齐单一生产路径SHA；验收：verify_base_shop_save_flow；SHA 064d8c1f92cf。</t>
        </is>
      </c>
    </row>
    <row r="36">
      <c r="A36" s="392" t="inlineStr">
        <is>
          <t>AUD-SFX-AMMO-EMPTY</t>
        </is>
      </c>
      <c r="B36" s="392" t="inlineStr">
        <is>
          <t>空仓扳机音效</t>
        </is>
      </c>
      <c r="C36" s="392" t="inlineStr">
        <is>
          <t>音频</t>
        </is>
      </c>
      <c r="D36" s="392" t="inlineStr">
        <is>
          <t>sfx</t>
        </is>
      </c>
      <c r="E36" s="392" t="inlineStr">
        <is>
          <t>ammo_empty</t>
        </is>
      </c>
      <c r="F36" s="392" t="inlineStr">
        <is>
          <t>runtime</t>
        </is>
      </c>
      <c r="G36" s="392" t="n"/>
      <c r="H36" s="392" t="inlineStr">
        <is>
          <t>全局/非空间</t>
        </is>
      </c>
      <c r="I36" s="392" t="inlineStr">
        <is>
          <t>default</t>
        </is>
      </c>
      <c r="J36" s="392" t="inlineStr">
        <is>
          <t>桌面与Android正式运行</t>
        </is>
      </c>
      <c r="K36" s="392" t="inlineStr">
        <is>
          <t>已完成</t>
        </is>
      </c>
      <c r="L36" s="392" t="inlineStr">
        <is>
          <t>P0</t>
        </is>
      </c>
      <c r="M36" s="392" t="inlineStr">
        <is>
          <t>v001</t>
        </is>
      </c>
      <c r="N36" s="392" t="inlineStr">
        <is>
          <t>44.1kHz / OGG Vorbis / stereo</t>
        </is>
      </c>
      <c r="O36" s="392" t="inlineStr">
        <is>
          <t>src/assets/audio/sfx/ammo_empty_v001.ogg</t>
        </is>
      </c>
      <c r="P36" s="392" t="inlineStr">
        <is>
          <t>src/assets/audio/sfx/ammo_empty.wav; src/音效接入说明.md</t>
        </is>
      </c>
      <c r="Q36" s="392" t="inlineStr">
        <is>
          <t>ammo_empty; 音效; OGG; Android; 移动端</t>
        </is>
      </c>
      <c r="R36" s="392">
        <f>LOWER(TRIM(C36)&amp;"|"&amp;TRIM(D36)&amp;"|"&amp;TRIM(E36)&amp;"|"&amp;TRIM(F36)&amp;"|"&amp;TRIM(H36)&amp;"|"&amp;TRIM(I36))</f>
        <v/>
      </c>
      <c r="S36" s="392">
        <f>IF(COUNTIF($R$6:$R$79,R36)&gt;1,"重复","唯一")</f>
        <v/>
      </c>
      <c r="T36" s="392" t="inlineStr">
        <is>
          <t>f5d0339c3c7fce8227970163bd773a11f15faffa57a878ec41111308657a000c</t>
        </is>
      </c>
      <c r="U36" s="392" t="inlineStr">
        <is>
          <t>Codex</t>
        </is>
      </c>
      <c r="V36" s="348" t="n">
        <v>46241</v>
      </c>
      <c r="W36" s="392" t="inlineStr">
        <is>
          <t>项目WAV母版转码</t>
        </is>
      </c>
      <c r="X36" s="375" t="inlineStr">
        <is>
          <t>—</t>
        </is>
      </c>
      <c r="Y36" s="392" t="inlineStr">
        <is>
          <t>正式运行OGG；WAV仅作母版；AudioManager事件=ammo_empty；Android/桌面统一版本化路径，禁止旧音效回退。</t>
        </is>
      </c>
    </row>
    <row r="37">
      <c r="A37" s="392" t="inlineStr">
        <is>
          <t>AUD-SFX-BOSS-DEFEAT</t>
        </is>
      </c>
      <c r="B37" s="392" t="inlineStr">
        <is>
          <t>Boss击败音效</t>
        </is>
      </c>
      <c r="C37" s="392" t="inlineStr">
        <is>
          <t>音频</t>
        </is>
      </c>
      <c r="D37" s="392" t="inlineStr">
        <is>
          <t>sfx</t>
        </is>
      </c>
      <c r="E37" s="392" t="inlineStr">
        <is>
          <t>boss_defeat</t>
        </is>
      </c>
      <c r="F37" s="392" t="inlineStr">
        <is>
          <t>runtime</t>
        </is>
      </c>
      <c r="G37" s="392" t="n"/>
      <c r="H37" s="392" t="inlineStr">
        <is>
          <t>全局/非空间</t>
        </is>
      </c>
      <c r="I37" s="392" t="inlineStr">
        <is>
          <t>default</t>
        </is>
      </c>
      <c r="J37" s="392" t="inlineStr">
        <is>
          <t>桌面与Android正式运行</t>
        </is>
      </c>
      <c r="K37" s="392" t="inlineStr">
        <is>
          <t>已完成</t>
        </is>
      </c>
      <c r="L37" s="392" t="inlineStr">
        <is>
          <t>P0</t>
        </is>
      </c>
      <c r="M37" s="392" t="inlineStr">
        <is>
          <t>v001</t>
        </is>
      </c>
      <c r="N37" s="392" t="inlineStr">
        <is>
          <t>44.1kHz / OGG Vorbis / stereo</t>
        </is>
      </c>
      <c r="O37" s="392" t="inlineStr">
        <is>
          <t>src/assets/audio/sfx/boss_defeat_v001.ogg</t>
        </is>
      </c>
      <c r="P37" s="392" t="inlineStr">
        <is>
          <t>src/assets/audio/sfx/boss_defeat.wav; src/音效接入说明.md</t>
        </is>
      </c>
      <c r="Q37" s="392" t="inlineStr">
        <is>
          <t>boss_defeat; 音效; OGG; Android; 移动端</t>
        </is>
      </c>
      <c r="R37" s="392">
        <f>LOWER(TRIM(C37)&amp;"|"&amp;TRIM(D37)&amp;"|"&amp;TRIM(E37)&amp;"|"&amp;TRIM(F37)&amp;"|"&amp;TRIM(H37)&amp;"|"&amp;TRIM(I37))</f>
        <v/>
      </c>
      <c r="S37" s="392">
        <f>IF(COUNTIF($R$6:$R$79,R37)&gt;1,"重复","唯一")</f>
        <v/>
      </c>
      <c r="T37" s="392" t="inlineStr">
        <is>
          <t>245b27a482a9166c6bc09cdabae3094f4a2bb1e67956f8a8f54b767eb15fefba</t>
        </is>
      </c>
      <c r="U37" s="392" t="inlineStr">
        <is>
          <t>Codex</t>
        </is>
      </c>
      <c r="V37" s="348" t="n">
        <v>46241</v>
      </c>
      <c r="W37" s="392" t="inlineStr">
        <is>
          <t>项目WAV母版转码</t>
        </is>
      </c>
      <c r="X37" s="375" t="inlineStr">
        <is>
          <t>—</t>
        </is>
      </c>
      <c r="Y37" s="392" t="inlineStr">
        <is>
          <t>正式运行OGG；WAV仅作母版；AudioManager事件=boss_defeat；Android/桌面统一版本化路径，禁止旧音效回退。</t>
        </is>
      </c>
    </row>
    <row r="38">
      <c r="A38" s="392" t="inlineStr">
        <is>
          <t>AUD-SFX-BOSS-INTRO</t>
        </is>
      </c>
      <c r="B38" s="392" t="inlineStr">
        <is>
          <t>Boss入场音效</t>
        </is>
      </c>
      <c r="C38" s="392" t="inlineStr">
        <is>
          <t>音频</t>
        </is>
      </c>
      <c r="D38" s="392" t="inlineStr">
        <is>
          <t>sfx</t>
        </is>
      </c>
      <c r="E38" s="392" t="inlineStr">
        <is>
          <t>boss_intro</t>
        </is>
      </c>
      <c r="F38" s="392" t="inlineStr">
        <is>
          <t>runtime</t>
        </is>
      </c>
      <c r="G38" s="392" t="n"/>
      <c r="H38" s="392" t="inlineStr">
        <is>
          <t>全局/非空间</t>
        </is>
      </c>
      <c r="I38" s="392" t="inlineStr">
        <is>
          <t>default</t>
        </is>
      </c>
      <c r="J38" s="392" t="inlineStr">
        <is>
          <t>桌面与Android正式运行</t>
        </is>
      </c>
      <c r="K38" s="392" t="inlineStr">
        <is>
          <t>已完成</t>
        </is>
      </c>
      <c r="L38" s="392" t="inlineStr">
        <is>
          <t>P0</t>
        </is>
      </c>
      <c r="M38" s="392" t="inlineStr">
        <is>
          <t>v001</t>
        </is>
      </c>
      <c r="N38" s="392" t="inlineStr">
        <is>
          <t>44.1kHz / OGG Vorbis / stereo</t>
        </is>
      </c>
      <c r="O38" s="392" t="inlineStr">
        <is>
          <t>src/assets/audio/sfx/boss_intro_v001.ogg</t>
        </is>
      </c>
      <c r="P38" s="392" t="inlineStr">
        <is>
          <t>src/assets/audio/sfx/boss_intro.wav; src/音效接入说明.md</t>
        </is>
      </c>
      <c r="Q38" s="392" t="inlineStr">
        <is>
          <t>boss_intro; 音效; OGG; Android; 移动端</t>
        </is>
      </c>
      <c r="R38" s="392">
        <f>LOWER(TRIM(C38)&amp;"|"&amp;TRIM(D38)&amp;"|"&amp;TRIM(E38)&amp;"|"&amp;TRIM(F38)&amp;"|"&amp;TRIM(H38)&amp;"|"&amp;TRIM(I38))</f>
        <v/>
      </c>
      <c r="S38" s="392">
        <f>IF(COUNTIF($R$6:$R$79,R38)&gt;1,"重复","唯一")</f>
        <v/>
      </c>
      <c r="T38" s="392" t="inlineStr">
        <is>
          <t>4e18a3afe9c7b804e6fb6905fbf05b62cba70d9b15a324c650a04d04a981d5ff</t>
        </is>
      </c>
      <c r="U38" s="392" t="inlineStr">
        <is>
          <t>Codex</t>
        </is>
      </c>
      <c r="V38" s="348" t="n">
        <v>46241</v>
      </c>
      <c r="W38" s="392" t="inlineStr">
        <is>
          <t>项目WAV母版转码</t>
        </is>
      </c>
      <c r="X38" s="375" t="inlineStr">
        <is>
          <t>—</t>
        </is>
      </c>
      <c r="Y38" s="392" t="inlineStr">
        <is>
          <t>正式运行OGG；WAV仅作母版；AudioManager事件=boss_intro；Android/桌面统一版本化路径，禁止旧音效回退。</t>
        </is>
      </c>
    </row>
    <row r="39">
      <c r="A39" s="392" t="inlineStr">
        <is>
          <t>AUD-SFX-BOSS-PHASE</t>
        </is>
      </c>
      <c r="B39" s="392" t="inlineStr">
        <is>
          <t>Boss阶段切换音效</t>
        </is>
      </c>
      <c r="C39" s="392" t="inlineStr">
        <is>
          <t>音频</t>
        </is>
      </c>
      <c r="D39" s="392" t="inlineStr">
        <is>
          <t>sfx</t>
        </is>
      </c>
      <c r="E39" s="392" t="inlineStr">
        <is>
          <t>boss_phase</t>
        </is>
      </c>
      <c r="F39" s="392" t="inlineStr">
        <is>
          <t>runtime</t>
        </is>
      </c>
      <c r="G39" s="392" t="n"/>
      <c r="H39" s="392" t="inlineStr">
        <is>
          <t>全局/非空间</t>
        </is>
      </c>
      <c r="I39" s="392" t="inlineStr">
        <is>
          <t>default</t>
        </is>
      </c>
      <c r="J39" s="392" t="inlineStr">
        <is>
          <t>桌面与Android正式运行</t>
        </is>
      </c>
      <c r="K39" s="392" t="inlineStr">
        <is>
          <t>已完成</t>
        </is>
      </c>
      <c r="L39" s="392" t="inlineStr">
        <is>
          <t>P0</t>
        </is>
      </c>
      <c r="M39" s="392" t="inlineStr">
        <is>
          <t>v001</t>
        </is>
      </c>
      <c r="N39" s="392" t="inlineStr">
        <is>
          <t>44.1kHz / OGG Vorbis / stereo</t>
        </is>
      </c>
      <c r="O39" s="392" t="inlineStr">
        <is>
          <t>src/assets/audio/sfx/boss_phase_v001.ogg</t>
        </is>
      </c>
      <c r="P39" s="392" t="inlineStr">
        <is>
          <t>src/assets/audio/sfx/boss_phase.wav; src/音效接入说明.md</t>
        </is>
      </c>
      <c r="Q39" s="392" t="inlineStr">
        <is>
          <t>boss_phase; 音效; OGG; Android; 移动端</t>
        </is>
      </c>
      <c r="R39" s="392">
        <f>LOWER(TRIM(C39)&amp;"|"&amp;TRIM(D39)&amp;"|"&amp;TRIM(E39)&amp;"|"&amp;TRIM(F39)&amp;"|"&amp;TRIM(H39)&amp;"|"&amp;TRIM(I39))</f>
        <v/>
      </c>
      <c r="S39" s="392">
        <f>IF(COUNTIF($R$6:$R$79,R39)&gt;1,"重复","唯一")</f>
        <v/>
      </c>
      <c r="T39" s="392" t="inlineStr">
        <is>
          <t>804457fc13cb83e18bdc1e7e84d1b9a27414be72128f82811e016c17fc331ad3</t>
        </is>
      </c>
      <c r="U39" s="392" t="inlineStr">
        <is>
          <t>Codex</t>
        </is>
      </c>
      <c r="V39" s="348" t="n">
        <v>46241</v>
      </c>
      <c r="W39" s="392" t="inlineStr">
        <is>
          <t>项目WAV母版转码</t>
        </is>
      </c>
      <c r="X39" s="375" t="inlineStr">
        <is>
          <t>—</t>
        </is>
      </c>
      <c r="Y39" s="392" t="inlineStr">
        <is>
          <t>正式运行OGG；WAV仅作母版；AudioManager事件=boss_phase；Android/桌面统一版本化路径，禁止旧音效回退。</t>
        </is>
      </c>
    </row>
    <row r="40">
      <c r="A40" s="392" t="inlineStr">
        <is>
          <t>AUD-SFX-CONTAINER-OPEN</t>
        </is>
      </c>
      <c r="B40" s="392" t="inlineStr">
        <is>
          <t>搜索容器开启音效</t>
        </is>
      </c>
      <c r="C40" s="392" t="inlineStr">
        <is>
          <t>音频</t>
        </is>
      </c>
      <c r="D40" s="392" t="inlineStr">
        <is>
          <t>sfx</t>
        </is>
      </c>
      <c r="E40" s="392" t="inlineStr">
        <is>
          <t>container_open</t>
        </is>
      </c>
      <c r="F40" s="392" t="inlineStr">
        <is>
          <t>runtime</t>
        </is>
      </c>
      <c r="G40" s="392" t="n"/>
      <c r="H40" s="392" t="inlineStr">
        <is>
          <t>全局/非空间</t>
        </is>
      </c>
      <c r="I40" s="392" t="inlineStr">
        <is>
          <t>default</t>
        </is>
      </c>
      <c r="J40" s="392" t="inlineStr">
        <is>
          <t>桌面与Android正式运行</t>
        </is>
      </c>
      <c r="K40" s="392" t="inlineStr">
        <is>
          <t>已完成</t>
        </is>
      </c>
      <c r="L40" s="392" t="inlineStr">
        <is>
          <t>P0</t>
        </is>
      </c>
      <c r="M40" s="392" t="inlineStr">
        <is>
          <t>v001</t>
        </is>
      </c>
      <c r="N40" s="392" t="inlineStr">
        <is>
          <t>44.1kHz / OGG Vorbis / stereo</t>
        </is>
      </c>
      <c r="O40" s="392" t="inlineStr">
        <is>
          <t>src/assets/audio/sfx/container_open_v001.ogg</t>
        </is>
      </c>
      <c r="P40" s="392" t="inlineStr">
        <is>
          <t>src/assets/audio/sfx/container_open.wav; src/音效接入说明.md</t>
        </is>
      </c>
      <c r="Q40" s="392" t="inlineStr">
        <is>
          <t>container_open; 音效; OGG; Android; 移动端</t>
        </is>
      </c>
      <c r="R40" s="392">
        <f>LOWER(TRIM(C40)&amp;"|"&amp;TRIM(D40)&amp;"|"&amp;TRIM(E40)&amp;"|"&amp;TRIM(F40)&amp;"|"&amp;TRIM(H40)&amp;"|"&amp;TRIM(I40))</f>
        <v/>
      </c>
      <c r="S40" s="392">
        <f>IF(COUNTIF($R$6:$R$79,R40)&gt;1,"重复","唯一")</f>
        <v/>
      </c>
      <c r="T40" s="392" t="inlineStr">
        <is>
          <t>8e9d9e0a773ab0daf850734913302212a2f279dc7afb0f457a193300325840d0</t>
        </is>
      </c>
      <c r="U40" s="392" t="inlineStr">
        <is>
          <t>Codex</t>
        </is>
      </c>
      <c r="V40" s="348" t="n">
        <v>46241</v>
      </c>
      <c r="W40" s="392" t="inlineStr">
        <is>
          <t>项目WAV母版转码</t>
        </is>
      </c>
      <c r="X40" s="375" t="inlineStr">
        <is>
          <t>—</t>
        </is>
      </c>
      <c r="Y40" s="392" t="inlineStr">
        <is>
          <t>正式运行OGG；WAV仅作母版；AudioManager事件=container_open；Android/桌面统一版本化路径，禁止旧音效回退。</t>
        </is>
      </c>
    </row>
    <row r="41">
      <c r="A41" s="392" t="inlineStr">
        <is>
          <t>AUD-SFX-CRIT-HIT</t>
        </is>
      </c>
      <c r="B41" s="392" t="inlineStr">
        <is>
          <t>暴击命中音效</t>
        </is>
      </c>
      <c r="C41" s="392" t="inlineStr">
        <is>
          <t>音频</t>
        </is>
      </c>
      <c r="D41" s="392" t="inlineStr">
        <is>
          <t>sfx</t>
        </is>
      </c>
      <c r="E41" s="392" t="inlineStr">
        <is>
          <t>crit_hit</t>
        </is>
      </c>
      <c r="F41" s="392" t="inlineStr">
        <is>
          <t>runtime</t>
        </is>
      </c>
      <c r="G41" s="392" t="n"/>
      <c r="H41" s="392" t="inlineStr">
        <is>
          <t>全局/非空间</t>
        </is>
      </c>
      <c r="I41" s="392" t="inlineStr">
        <is>
          <t>default</t>
        </is>
      </c>
      <c r="J41" s="392" t="inlineStr">
        <is>
          <t>桌面与Android正式运行</t>
        </is>
      </c>
      <c r="K41" s="392" t="inlineStr">
        <is>
          <t>已完成</t>
        </is>
      </c>
      <c r="L41" s="392" t="inlineStr">
        <is>
          <t>P0</t>
        </is>
      </c>
      <c r="M41" s="392" t="inlineStr">
        <is>
          <t>v001</t>
        </is>
      </c>
      <c r="N41" s="392" t="inlineStr">
        <is>
          <t>44.1kHz / OGG Vorbis / stereo</t>
        </is>
      </c>
      <c r="O41" s="392" t="inlineStr">
        <is>
          <t>src/assets/audio/sfx/crit_hit_v001.ogg</t>
        </is>
      </c>
      <c r="P41" s="392" t="inlineStr">
        <is>
          <t>src/assets/audio/sfx/crit_hit.wav; src/音效接入说明.md</t>
        </is>
      </c>
      <c r="Q41" s="392" t="inlineStr">
        <is>
          <t>crit_hit; 音效; OGG; Android; 移动端</t>
        </is>
      </c>
      <c r="R41" s="392">
        <f>LOWER(TRIM(C41)&amp;"|"&amp;TRIM(D41)&amp;"|"&amp;TRIM(E41)&amp;"|"&amp;TRIM(F41)&amp;"|"&amp;TRIM(H41)&amp;"|"&amp;TRIM(I41))</f>
        <v/>
      </c>
      <c r="S41" s="392">
        <f>IF(COUNTIF($R$6:$R$79,R41)&gt;1,"重复","唯一")</f>
        <v/>
      </c>
      <c r="T41" s="392" t="inlineStr">
        <is>
          <t>9228e4544dc5472afe0dfaa53df5be2ec8c95bd253ea7ffd9b6136c6dd19069f</t>
        </is>
      </c>
      <c r="U41" s="392" t="inlineStr">
        <is>
          <t>Codex</t>
        </is>
      </c>
      <c r="V41" s="348" t="n">
        <v>46241</v>
      </c>
      <c r="W41" s="392" t="inlineStr">
        <is>
          <t>项目WAV母版转码</t>
        </is>
      </c>
      <c r="X41" s="375" t="inlineStr">
        <is>
          <t>—</t>
        </is>
      </c>
      <c r="Y41" s="392" t="inlineStr">
        <is>
          <t>正式运行OGG；WAV仅作母版；AudioManager事件=crit_hit；Android/桌面统一版本化路径，禁止旧音效回退。</t>
        </is>
      </c>
    </row>
    <row r="42">
      <c r="A42" s="392" t="inlineStr">
        <is>
          <t>AUD-SFX-DOOR-LOCKED</t>
        </is>
      </c>
      <c r="B42" s="392" t="inlineStr">
        <is>
          <t>门锁定音效</t>
        </is>
      </c>
      <c r="C42" s="392" t="inlineStr">
        <is>
          <t>音频</t>
        </is>
      </c>
      <c r="D42" s="392" t="inlineStr">
        <is>
          <t>sfx</t>
        </is>
      </c>
      <c r="E42" s="392" t="inlineStr">
        <is>
          <t>door_locked</t>
        </is>
      </c>
      <c r="F42" s="392" t="inlineStr">
        <is>
          <t>runtime</t>
        </is>
      </c>
      <c r="G42" s="392" t="n"/>
      <c r="H42" s="392" t="inlineStr">
        <is>
          <t>全局/非空间</t>
        </is>
      </c>
      <c r="I42" s="392" t="inlineStr">
        <is>
          <t>default</t>
        </is>
      </c>
      <c r="J42" s="392" t="inlineStr">
        <is>
          <t>桌面与Android正式运行</t>
        </is>
      </c>
      <c r="K42" s="392" t="inlineStr">
        <is>
          <t>已完成</t>
        </is>
      </c>
      <c r="L42" s="392" t="inlineStr">
        <is>
          <t>P0</t>
        </is>
      </c>
      <c r="M42" s="392" t="inlineStr">
        <is>
          <t>v001</t>
        </is>
      </c>
      <c r="N42" s="392" t="inlineStr">
        <is>
          <t>44.1kHz / OGG Vorbis / stereo</t>
        </is>
      </c>
      <c r="O42" s="392" t="inlineStr">
        <is>
          <t>src/assets/audio/sfx/door_locked_v001.ogg</t>
        </is>
      </c>
      <c r="P42" s="392" t="inlineStr">
        <is>
          <t>src/assets/audio/sfx/door_locked.wav; src/音效接入说明.md</t>
        </is>
      </c>
      <c r="Q42" s="392" t="inlineStr">
        <is>
          <t>door_locked; 音效; OGG; Android; 移动端</t>
        </is>
      </c>
      <c r="R42" s="392">
        <f>LOWER(TRIM(C42)&amp;"|"&amp;TRIM(D42)&amp;"|"&amp;TRIM(E42)&amp;"|"&amp;TRIM(F42)&amp;"|"&amp;TRIM(H42)&amp;"|"&amp;TRIM(I42))</f>
        <v/>
      </c>
      <c r="S42" s="392">
        <f>IF(COUNTIF($R$6:$R$79,R42)&gt;1,"重复","唯一")</f>
        <v/>
      </c>
      <c r="T42" s="392" t="inlineStr">
        <is>
          <t>db9ece4cf6a904b8c23319b0d3bc83bce2d48ea69d7ebd246dd2bb30f2587e74</t>
        </is>
      </c>
      <c r="U42" s="392" t="inlineStr">
        <is>
          <t>Codex</t>
        </is>
      </c>
      <c r="V42" s="348" t="n">
        <v>46241</v>
      </c>
      <c r="W42" s="392" t="inlineStr">
        <is>
          <t>项目WAV母版转码</t>
        </is>
      </c>
      <c r="X42" s="375" t="inlineStr">
        <is>
          <t>—</t>
        </is>
      </c>
      <c r="Y42" s="392" t="inlineStr">
        <is>
          <t>正式运行OGG；WAV仅作母版；AudioManager事件=door_locked；Android/桌面统一版本化路径，禁止旧音效回退。</t>
        </is>
      </c>
    </row>
    <row r="43">
      <c r="A43" s="392" t="inlineStr">
        <is>
          <t>AUD-SFX-DOOR-OPEN</t>
        </is>
      </c>
      <c r="B43" s="392" t="inlineStr">
        <is>
          <t>门开启音效</t>
        </is>
      </c>
      <c r="C43" s="392" t="inlineStr">
        <is>
          <t>音频</t>
        </is>
      </c>
      <c r="D43" s="392" t="inlineStr">
        <is>
          <t>sfx</t>
        </is>
      </c>
      <c r="E43" s="392" t="inlineStr">
        <is>
          <t>door_open</t>
        </is>
      </c>
      <c r="F43" s="392" t="inlineStr">
        <is>
          <t>runtime</t>
        </is>
      </c>
      <c r="G43" s="392" t="n"/>
      <c r="H43" s="392" t="inlineStr">
        <is>
          <t>全局/非空间</t>
        </is>
      </c>
      <c r="I43" s="392" t="inlineStr">
        <is>
          <t>default</t>
        </is>
      </c>
      <c r="J43" s="392" t="inlineStr">
        <is>
          <t>桌面与Android正式运行</t>
        </is>
      </c>
      <c r="K43" s="392" t="inlineStr">
        <is>
          <t>已完成</t>
        </is>
      </c>
      <c r="L43" s="392" t="inlineStr">
        <is>
          <t>P0</t>
        </is>
      </c>
      <c r="M43" s="392" t="inlineStr">
        <is>
          <t>v001</t>
        </is>
      </c>
      <c r="N43" s="392" t="inlineStr">
        <is>
          <t>44.1kHz / OGG Vorbis / stereo</t>
        </is>
      </c>
      <c r="O43" s="392" t="inlineStr">
        <is>
          <t>src/assets/audio/sfx/door_open_v001.ogg</t>
        </is>
      </c>
      <c r="P43" s="392" t="inlineStr">
        <is>
          <t>src/assets/audio/sfx/door_open.wav; src/音效接入说明.md</t>
        </is>
      </c>
      <c r="Q43" s="392" t="inlineStr">
        <is>
          <t>door_open; 音效; OGG; Android; 移动端</t>
        </is>
      </c>
      <c r="R43" s="392">
        <f>LOWER(TRIM(C43)&amp;"|"&amp;TRIM(D43)&amp;"|"&amp;TRIM(E43)&amp;"|"&amp;TRIM(F43)&amp;"|"&amp;TRIM(H43)&amp;"|"&amp;TRIM(I43))</f>
        <v/>
      </c>
      <c r="S43" s="392">
        <f>IF(COUNTIF($R$6:$R$79,R43)&gt;1,"重复","唯一")</f>
        <v/>
      </c>
      <c r="T43" s="392" t="inlineStr">
        <is>
          <t>6b3044e0231f425a54103d7a4e44c2a1f21f895310841347ea9ceb76485a5565</t>
        </is>
      </c>
      <c r="U43" s="392" t="inlineStr">
        <is>
          <t>Codex</t>
        </is>
      </c>
      <c r="V43" s="348" t="n">
        <v>46241</v>
      </c>
      <c r="W43" s="392" t="inlineStr">
        <is>
          <t>项目WAV母版转码</t>
        </is>
      </c>
      <c r="X43" s="375" t="inlineStr">
        <is>
          <t>—</t>
        </is>
      </c>
      <c r="Y43" s="392" t="inlineStr">
        <is>
          <t>正式运行OGG；WAV仅作母版；AudioManager事件=door_open；Android/桌面统一版本化路径，禁止旧音效回退。</t>
        </is>
      </c>
    </row>
    <row r="44">
      <c r="A44" s="392" t="inlineStr">
        <is>
          <t>AUD-SFX-ENEMY-DIE</t>
        </is>
      </c>
      <c r="B44" s="392" t="inlineStr">
        <is>
          <t>敌人死亡音效</t>
        </is>
      </c>
      <c r="C44" s="392" t="inlineStr">
        <is>
          <t>音频</t>
        </is>
      </c>
      <c r="D44" s="392" t="inlineStr">
        <is>
          <t>sfx</t>
        </is>
      </c>
      <c r="E44" s="392" t="inlineStr">
        <is>
          <t>enemy_die</t>
        </is>
      </c>
      <c r="F44" s="392" t="inlineStr">
        <is>
          <t>runtime</t>
        </is>
      </c>
      <c r="G44" s="392" t="n"/>
      <c r="H44" s="392" t="inlineStr">
        <is>
          <t>全局/非空间</t>
        </is>
      </c>
      <c r="I44" s="392" t="inlineStr">
        <is>
          <t>default</t>
        </is>
      </c>
      <c r="J44" s="392" t="inlineStr">
        <is>
          <t>桌面与Android正式运行</t>
        </is>
      </c>
      <c r="K44" s="392" t="inlineStr">
        <is>
          <t>已完成</t>
        </is>
      </c>
      <c r="L44" s="392" t="inlineStr">
        <is>
          <t>P0</t>
        </is>
      </c>
      <c r="M44" s="392" t="inlineStr">
        <is>
          <t>v001</t>
        </is>
      </c>
      <c r="N44" s="392" t="inlineStr">
        <is>
          <t>44.1kHz / OGG Vorbis / stereo</t>
        </is>
      </c>
      <c r="O44" s="392" t="inlineStr">
        <is>
          <t>src/assets/audio/sfx/enemy_die_v001.ogg</t>
        </is>
      </c>
      <c r="P44" s="392" t="inlineStr">
        <is>
          <t>src/assets/audio/sfx/enemy_die.wav; src/音效接入说明.md</t>
        </is>
      </c>
      <c r="Q44" s="392" t="inlineStr">
        <is>
          <t>enemy_die; 音效; OGG; Android; 移动端</t>
        </is>
      </c>
      <c r="R44" s="392">
        <f>LOWER(TRIM(C44)&amp;"|"&amp;TRIM(D44)&amp;"|"&amp;TRIM(E44)&amp;"|"&amp;TRIM(F44)&amp;"|"&amp;TRIM(H44)&amp;"|"&amp;TRIM(I44))</f>
        <v/>
      </c>
      <c r="S44" s="392">
        <f>IF(COUNTIF($R$6:$R$79,R44)&gt;1,"重复","唯一")</f>
        <v/>
      </c>
      <c r="T44" s="392" t="inlineStr">
        <is>
          <t>eba3495cc7bf7a301a526a8131c3ee989fd8bfa162e9fafca2c5f923936e4c36</t>
        </is>
      </c>
      <c r="U44" s="392" t="inlineStr">
        <is>
          <t>Codex</t>
        </is>
      </c>
      <c r="V44" s="348" t="n">
        <v>46241</v>
      </c>
      <c r="W44" s="392" t="inlineStr">
        <is>
          <t>项目WAV母版转码</t>
        </is>
      </c>
      <c r="X44" s="375" t="inlineStr">
        <is>
          <t>—</t>
        </is>
      </c>
      <c r="Y44" s="392" t="inlineStr">
        <is>
          <t>正式运行OGG；WAV仅作母版；AudioManager事件=enemy_die；Android/桌面统一版本化路径，禁止旧音效回退。</t>
        </is>
      </c>
    </row>
    <row r="45">
      <c r="A45" s="392" t="inlineStr">
        <is>
          <t>AUD-SFX-ENEMY-HIT</t>
        </is>
      </c>
      <c r="B45" s="392" t="inlineStr">
        <is>
          <t>敌人受击音效</t>
        </is>
      </c>
      <c r="C45" s="392" t="inlineStr">
        <is>
          <t>音频</t>
        </is>
      </c>
      <c r="D45" s="392" t="inlineStr">
        <is>
          <t>sfx</t>
        </is>
      </c>
      <c r="E45" s="392" t="inlineStr">
        <is>
          <t>enemy_hit</t>
        </is>
      </c>
      <c r="F45" s="392" t="inlineStr">
        <is>
          <t>runtime</t>
        </is>
      </c>
      <c r="G45" s="392" t="n"/>
      <c r="H45" s="392" t="inlineStr">
        <is>
          <t>全局/非空间</t>
        </is>
      </c>
      <c r="I45" s="392" t="inlineStr">
        <is>
          <t>default</t>
        </is>
      </c>
      <c r="J45" s="392" t="inlineStr">
        <is>
          <t>桌面与Android正式运行</t>
        </is>
      </c>
      <c r="K45" s="392" t="inlineStr">
        <is>
          <t>已完成</t>
        </is>
      </c>
      <c r="L45" s="392" t="inlineStr">
        <is>
          <t>P0</t>
        </is>
      </c>
      <c r="M45" s="392" t="inlineStr">
        <is>
          <t>v001</t>
        </is>
      </c>
      <c r="N45" s="392" t="inlineStr">
        <is>
          <t>44.1kHz / OGG Vorbis / stereo</t>
        </is>
      </c>
      <c r="O45" s="392" t="inlineStr">
        <is>
          <t>src/assets/audio/sfx/enemy_hit_v001.ogg</t>
        </is>
      </c>
      <c r="P45" s="392" t="inlineStr">
        <is>
          <t>src/assets/audio/sfx/enemy_hit.wav; src/音效接入说明.md</t>
        </is>
      </c>
      <c r="Q45" s="392" t="inlineStr">
        <is>
          <t>enemy_hit; 音效; OGG; Android; 移动端</t>
        </is>
      </c>
      <c r="R45" s="392">
        <f>LOWER(TRIM(C45)&amp;"|"&amp;TRIM(D45)&amp;"|"&amp;TRIM(E45)&amp;"|"&amp;TRIM(F45)&amp;"|"&amp;TRIM(H45)&amp;"|"&amp;TRIM(I45))</f>
        <v/>
      </c>
      <c r="S45" s="392">
        <f>IF(COUNTIF($R$6:$R$79,R45)&gt;1,"重复","唯一")</f>
        <v/>
      </c>
      <c r="T45" s="392" t="inlineStr">
        <is>
          <t>167495a122c9f30351c44c8d4ad7a46d6324703dddf91305adf550037f429ba4</t>
        </is>
      </c>
      <c r="U45" s="392" t="inlineStr">
        <is>
          <t>Codex</t>
        </is>
      </c>
      <c r="V45" s="348" t="n">
        <v>46241</v>
      </c>
      <c r="W45" s="392" t="inlineStr">
        <is>
          <t>项目WAV母版转码</t>
        </is>
      </c>
      <c r="X45" s="375" t="inlineStr">
        <is>
          <t>—</t>
        </is>
      </c>
      <c r="Y45" s="392" t="inlineStr">
        <is>
          <t>正式运行OGG；WAV仅作母版；AudioManager事件=enemy_hit；Android/桌面统一版本化路径，禁止旧音效回退。</t>
        </is>
      </c>
    </row>
    <row r="46">
      <c r="A46" s="392" t="inlineStr">
        <is>
          <t>AUD-SFX-EXTRACTION-ABORT</t>
        </is>
      </c>
      <c r="B46" s="392" t="inlineStr">
        <is>
          <t>撤离中断音效</t>
        </is>
      </c>
      <c r="C46" s="392" t="inlineStr">
        <is>
          <t>音频</t>
        </is>
      </c>
      <c r="D46" s="392" t="inlineStr">
        <is>
          <t>sfx</t>
        </is>
      </c>
      <c r="E46" s="392" t="inlineStr">
        <is>
          <t>extraction_abort</t>
        </is>
      </c>
      <c r="F46" s="392" t="inlineStr">
        <is>
          <t>runtime</t>
        </is>
      </c>
      <c r="G46" s="392" t="n"/>
      <c r="H46" s="392" t="inlineStr">
        <is>
          <t>全局/非空间</t>
        </is>
      </c>
      <c r="I46" s="392" t="inlineStr">
        <is>
          <t>default</t>
        </is>
      </c>
      <c r="J46" s="392" t="inlineStr">
        <is>
          <t>桌面与Android正式运行</t>
        </is>
      </c>
      <c r="K46" s="392" t="inlineStr">
        <is>
          <t>已完成</t>
        </is>
      </c>
      <c r="L46" s="392" t="inlineStr">
        <is>
          <t>P0</t>
        </is>
      </c>
      <c r="M46" s="392" t="inlineStr">
        <is>
          <t>v001</t>
        </is>
      </c>
      <c r="N46" s="392" t="inlineStr">
        <is>
          <t>44.1kHz / OGG Vorbis / stereo</t>
        </is>
      </c>
      <c r="O46" s="392" t="inlineStr">
        <is>
          <t>src/assets/audio/sfx/extraction_abort_v001.ogg</t>
        </is>
      </c>
      <c r="P46" s="392" t="inlineStr">
        <is>
          <t>src/assets/audio/sfx/extraction_abort.wav; src/音效接入说明.md</t>
        </is>
      </c>
      <c r="Q46" s="392" t="inlineStr">
        <is>
          <t>extraction_abort; 音效; OGG; Android; 移动端</t>
        </is>
      </c>
      <c r="R46" s="392">
        <f>LOWER(TRIM(C46)&amp;"|"&amp;TRIM(D46)&amp;"|"&amp;TRIM(E46)&amp;"|"&amp;TRIM(F46)&amp;"|"&amp;TRIM(H46)&amp;"|"&amp;TRIM(I46))</f>
        <v/>
      </c>
      <c r="S46" s="392">
        <f>IF(COUNTIF($R$6:$R$79,R46)&gt;1,"重复","唯一")</f>
        <v/>
      </c>
      <c r="T46" s="392" t="inlineStr">
        <is>
          <t>2b29c153f38d8115cdfae413ad3c4054923c65060341d26b2509e617d7c11de0</t>
        </is>
      </c>
      <c r="U46" s="392" t="inlineStr">
        <is>
          <t>Codex</t>
        </is>
      </c>
      <c r="V46" s="348" t="n">
        <v>46241</v>
      </c>
      <c r="W46" s="392" t="inlineStr">
        <is>
          <t>项目WAV母版转码</t>
        </is>
      </c>
      <c r="X46" s="375" t="inlineStr">
        <is>
          <t>—</t>
        </is>
      </c>
      <c r="Y46" s="392" t="inlineStr">
        <is>
          <t>正式运行OGG；WAV仅作母版；AudioManager事件=extraction_abort；Android/桌面统一版本化路径，禁止旧音效回退。</t>
        </is>
      </c>
    </row>
    <row r="47">
      <c r="A47" s="392" t="inlineStr">
        <is>
          <t>AUD-SFX-EXTRACTION-DONE</t>
        </is>
      </c>
      <c r="B47" s="392" t="inlineStr">
        <is>
          <t>撤离成功音效</t>
        </is>
      </c>
      <c r="C47" s="392" t="inlineStr">
        <is>
          <t>音频</t>
        </is>
      </c>
      <c r="D47" s="392" t="inlineStr">
        <is>
          <t>sfx</t>
        </is>
      </c>
      <c r="E47" s="392" t="inlineStr">
        <is>
          <t>extraction_done</t>
        </is>
      </c>
      <c r="F47" s="392" t="inlineStr">
        <is>
          <t>runtime</t>
        </is>
      </c>
      <c r="G47" s="392" t="n"/>
      <c r="H47" s="392" t="inlineStr">
        <is>
          <t>全局/非空间</t>
        </is>
      </c>
      <c r="I47" s="392" t="inlineStr">
        <is>
          <t>default</t>
        </is>
      </c>
      <c r="J47" s="392" t="inlineStr">
        <is>
          <t>桌面与Android正式运行</t>
        </is>
      </c>
      <c r="K47" s="392" t="inlineStr">
        <is>
          <t>已完成</t>
        </is>
      </c>
      <c r="L47" s="392" t="inlineStr">
        <is>
          <t>P0</t>
        </is>
      </c>
      <c r="M47" s="392" t="inlineStr">
        <is>
          <t>v001</t>
        </is>
      </c>
      <c r="N47" s="392" t="inlineStr">
        <is>
          <t>44.1kHz / OGG Vorbis / stereo</t>
        </is>
      </c>
      <c r="O47" s="392" t="inlineStr">
        <is>
          <t>src/assets/audio/sfx/extraction_done_v001.ogg</t>
        </is>
      </c>
      <c r="P47" s="392" t="inlineStr">
        <is>
          <t>src/assets/audio/sfx/extraction_done.wav; src/音效接入说明.md</t>
        </is>
      </c>
      <c r="Q47" s="392" t="inlineStr">
        <is>
          <t>extraction_done; 音效; OGG; Android; 移动端</t>
        </is>
      </c>
      <c r="R47" s="392">
        <f>LOWER(TRIM(C47)&amp;"|"&amp;TRIM(D47)&amp;"|"&amp;TRIM(E47)&amp;"|"&amp;TRIM(F47)&amp;"|"&amp;TRIM(H47)&amp;"|"&amp;TRIM(I47))</f>
        <v/>
      </c>
      <c r="S47" s="392">
        <f>IF(COUNTIF($R$6:$R$79,R47)&gt;1,"重复","唯一")</f>
        <v/>
      </c>
      <c r="T47" s="392" t="inlineStr">
        <is>
          <t>c6eef279ec7a88822b2554799f0a49e4549576ee4c682ef5a3440ea53279df70</t>
        </is>
      </c>
      <c r="U47" s="392" t="inlineStr">
        <is>
          <t>Codex</t>
        </is>
      </c>
      <c r="V47" s="348" t="n">
        <v>46241</v>
      </c>
      <c r="W47" s="392" t="inlineStr">
        <is>
          <t>项目WAV母版转码</t>
        </is>
      </c>
      <c r="X47" s="375" t="inlineStr">
        <is>
          <t>—</t>
        </is>
      </c>
      <c r="Y47" s="392" t="inlineStr">
        <is>
          <t>正式运行OGG；WAV仅作母版；AudioManager事件=extraction_done；Android/桌面统一版本化路径，禁止旧音效回退。</t>
        </is>
      </c>
    </row>
    <row r="48">
      <c r="A48" s="392" t="inlineStr">
        <is>
          <t>AUD-SFX-EXTRACTION-START</t>
        </is>
      </c>
      <c r="B48" s="392" t="inlineStr">
        <is>
          <t>撤离开始音效</t>
        </is>
      </c>
      <c r="C48" s="392" t="inlineStr">
        <is>
          <t>音频</t>
        </is>
      </c>
      <c r="D48" s="392" t="inlineStr">
        <is>
          <t>sfx</t>
        </is>
      </c>
      <c r="E48" s="392" t="inlineStr">
        <is>
          <t>extraction_start</t>
        </is>
      </c>
      <c r="F48" s="392" t="inlineStr">
        <is>
          <t>runtime</t>
        </is>
      </c>
      <c r="G48" s="392" t="n"/>
      <c r="H48" s="392" t="inlineStr">
        <is>
          <t>全局/非空间</t>
        </is>
      </c>
      <c r="I48" s="392" t="inlineStr">
        <is>
          <t>default</t>
        </is>
      </c>
      <c r="J48" s="392" t="inlineStr">
        <is>
          <t>桌面与Android正式运行</t>
        </is>
      </c>
      <c r="K48" s="392" t="inlineStr">
        <is>
          <t>已完成</t>
        </is>
      </c>
      <c r="L48" s="392" t="inlineStr">
        <is>
          <t>P0</t>
        </is>
      </c>
      <c r="M48" s="392" t="inlineStr">
        <is>
          <t>v001</t>
        </is>
      </c>
      <c r="N48" s="392" t="inlineStr">
        <is>
          <t>44.1kHz / OGG Vorbis / stereo</t>
        </is>
      </c>
      <c r="O48" s="392" t="inlineStr">
        <is>
          <t>src/assets/audio/sfx/extraction_start_v001.ogg</t>
        </is>
      </c>
      <c r="P48" s="392" t="inlineStr">
        <is>
          <t>src/assets/audio/sfx/extraction_start.wav; src/音效接入说明.md</t>
        </is>
      </c>
      <c r="Q48" s="392" t="inlineStr">
        <is>
          <t>extraction_start; 音效; OGG; Android; 移动端</t>
        </is>
      </c>
      <c r="R48" s="392">
        <f>LOWER(TRIM(C48)&amp;"|"&amp;TRIM(D48)&amp;"|"&amp;TRIM(E48)&amp;"|"&amp;TRIM(F48)&amp;"|"&amp;TRIM(H48)&amp;"|"&amp;TRIM(I48))</f>
        <v/>
      </c>
      <c r="S48" s="392">
        <f>IF(COUNTIF($R$6:$R$79,R48)&gt;1,"重复","唯一")</f>
        <v/>
      </c>
      <c r="T48" s="392" t="inlineStr">
        <is>
          <t>e44385e009738b96dac7aa7106bd489ccf55fe700332359407e0663f826c7daa</t>
        </is>
      </c>
      <c r="U48" s="392" t="inlineStr">
        <is>
          <t>Codex</t>
        </is>
      </c>
      <c r="V48" s="348" t="n">
        <v>46241</v>
      </c>
      <c r="W48" s="392" t="inlineStr">
        <is>
          <t>项目WAV母版转码</t>
        </is>
      </c>
      <c r="X48" s="375" t="inlineStr">
        <is>
          <t>—</t>
        </is>
      </c>
      <c r="Y48" s="392" t="inlineStr">
        <is>
          <t>正式运行OGG；WAV仅作母版；AudioManager事件=extraction_start；Android/桌面统一版本化路径，禁止旧音效回退。</t>
        </is>
      </c>
    </row>
    <row r="49">
      <c r="A49" s="392" t="inlineStr">
        <is>
          <t>AUD-SFX-FATE-CARD</t>
        </is>
      </c>
      <c r="B49" s="392" t="inlineStr">
        <is>
          <t>命运卡生效音效</t>
        </is>
      </c>
      <c r="C49" s="392" t="inlineStr">
        <is>
          <t>音频</t>
        </is>
      </c>
      <c r="D49" s="392" t="inlineStr">
        <is>
          <t>sfx</t>
        </is>
      </c>
      <c r="E49" s="392" t="inlineStr">
        <is>
          <t>fate_card</t>
        </is>
      </c>
      <c r="F49" s="392" t="inlineStr">
        <is>
          <t>runtime</t>
        </is>
      </c>
      <c r="G49" s="392" t="n"/>
      <c r="H49" s="392" t="inlineStr">
        <is>
          <t>全局/非空间</t>
        </is>
      </c>
      <c r="I49" s="392" t="inlineStr">
        <is>
          <t>default</t>
        </is>
      </c>
      <c r="J49" s="392" t="inlineStr">
        <is>
          <t>桌面与Android正式运行</t>
        </is>
      </c>
      <c r="K49" s="392" t="inlineStr">
        <is>
          <t>已完成</t>
        </is>
      </c>
      <c r="L49" s="392" t="inlineStr">
        <is>
          <t>P0</t>
        </is>
      </c>
      <c r="M49" s="392" t="inlineStr">
        <is>
          <t>v001</t>
        </is>
      </c>
      <c r="N49" s="392" t="inlineStr">
        <is>
          <t>44.1kHz / OGG Vorbis / stereo</t>
        </is>
      </c>
      <c r="O49" s="392" t="inlineStr">
        <is>
          <t>src/assets/audio/sfx/fate_card_v001.ogg</t>
        </is>
      </c>
      <c r="P49" s="392" t="inlineStr">
        <is>
          <t>src/assets/audio/sfx/fate_card.wav; src/音效接入说明.md</t>
        </is>
      </c>
      <c r="Q49" s="392" t="inlineStr">
        <is>
          <t>fate_card; 音效; OGG; Android; 移动端</t>
        </is>
      </c>
      <c r="R49" s="392">
        <f>LOWER(TRIM(C49)&amp;"|"&amp;TRIM(D49)&amp;"|"&amp;TRIM(E49)&amp;"|"&amp;TRIM(F49)&amp;"|"&amp;TRIM(H49)&amp;"|"&amp;TRIM(I49))</f>
        <v/>
      </c>
      <c r="S49" s="392">
        <f>IF(COUNTIF($R$6:$R$79,R49)&gt;1,"重复","唯一")</f>
        <v/>
      </c>
      <c r="T49" s="392" t="inlineStr">
        <is>
          <t>7cdce8d37b6308c0df873f4f20e80d319e546cb24ab5d860ea0cef5bd4ae3488</t>
        </is>
      </c>
      <c r="U49" s="392" t="inlineStr">
        <is>
          <t>Codex</t>
        </is>
      </c>
      <c r="V49" s="348" t="n">
        <v>46241</v>
      </c>
      <c r="W49" s="392" t="inlineStr">
        <is>
          <t>项目WAV母版转码</t>
        </is>
      </c>
      <c r="X49" s="375" t="inlineStr">
        <is>
          <t>—</t>
        </is>
      </c>
      <c r="Y49" s="392" t="inlineStr">
        <is>
          <t>正式运行OGG；WAV仅作母版；AudioManager事件=fate_card；Android/桌面统一版本化路径，禁止旧音效回退。</t>
        </is>
      </c>
    </row>
    <row r="50">
      <c r="A50" s="392" t="inlineStr">
        <is>
          <t>AUD-SFX-ITEM-PICKUP</t>
        </is>
      </c>
      <c r="B50" s="392" t="inlineStr">
        <is>
          <t>物品拾取音效</t>
        </is>
      </c>
      <c r="C50" s="392" t="inlineStr">
        <is>
          <t>音频</t>
        </is>
      </c>
      <c r="D50" s="392" t="inlineStr">
        <is>
          <t>sfx</t>
        </is>
      </c>
      <c r="E50" s="392" t="inlineStr">
        <is>
          <t>item_pickup</t>
        </is>
      </c>
      <c r="F50" s="392" t="inlineStr">
        <is>
          <t>runtime</t>
        </is>
      </c>
      <c r="G50" s="392" t="n"/>
      <c r="H50" s="392" t="inlineStr">
        <is>
          <t>全局/非空间</t>
        </is>
      </c>
      <c r="I50" s="392" t="inlineStr">
        <is>
          <t>default</t>
        </is>
      </c>
      <c r="J50" s="392" t="inlineStr">
        <is>
          <t>桌面与Android正式运行</t>
        </is>
      </c>
      <c r="K50" s="392" t="inlineStr">
        <is>
          <t>已完成</t>
        </is>
      </c>
      <c r="L50" s="392" t="inlineStr">
        <is>
          <t>P0</t>
        </is>
      </c>
      <c r="M50" s="392" t="inlineStr">
        <is>
          <t>v001</t>
        </is>
      </c>
      <c r="N50" s="392" t="inlineStr">
        <is>
          <t>44.1kHz / OGG Vorbis / stereo</t>
        </is>
      </c>
      <c r="O50" s="392" t="inlineStr">
        <is>
          <t>src/assets/audio/sfx/item_pickup_v001.ogg</t>
        </is>
      </c>
      <c r="P50" s="392" t="inlineStr">
        <is>
          <t>src/assets/audio/sfx/item_pickup.wav; src/音效接入说明.md</t>
        </is>
      </c>
      <c r="Q50" s="392" t="inlineStr">
        <is>
          <t>item_pickup; 音效; OGG; Android; 移动端</t>
        </is>
      </c>
      <c r="R50" s="392">
        <f>LOWER(TRIM(C50)&amp;"|"&amp;TRIM(D50)&amp;"|"&amp;TRIM(E50)&amp;"|"&amp;TRIM(F50)&amp;"|"&amp;TRIM(H50)&amp;"|"&amp;TRIM(I50))</f>
        <v/>
      </c>
      <c r="S50" s="392">
        <f>IF(COUNTIF($R$6:$R$79,R50)&gt;1,"重复","唯一")</f>
        <v/>
      </c>
      <c r="T50" s="392" t="inlineStr">
        <is>
          <t>7114f2ac9b0dc6ee500f5176b315b5f8a84f9ec7e3c5168dc342febdb747c290</t>
        </is>
      </c>
      <c r="U50" s="392" t="inlineStr">
        <is>
          <t>Codex</t>
        </is>
      </c>
      <c r="V50" s="348" t="n">
        <v>46241</v>
      </c>
      <c r="W50" s="392" t="inlineStr">
        <is>
          <t>项目WAV母版转码</t>
        </is>
      </c>
      <c r="X50" s="375" t="inlineStr">
        <is>
          <t>—</t>
        </is>
      </c>
      <c r="Y50" s="392" t="inlineStr">
        <is>
          <t>正式运行OGG；WAV仅作母版；AudioManager事件=item_pickup；Android/桌面统一版本化路径，禁止旧音效回退。</t>
        </is>
      </c>
    </row>
    <row r="51">
      <c r="A51" s="392" t="inlineStr">
        <is>
          <t>AUD-SFX-LASER-FIRE</t>
        </is>
      </c>
      <c r="B51" s="392" t="inlineStr">
        <is>
          <t>能量武器射击音效</t>
        </is>
      </c>
      <c r="C51" s="392" t="inlineStr">
        <is>
          <t>音频</t>
        </is>
      </c>
      <c r="D51" s="392" t="inlineStr">
        <is>
          <t>sfx</t>
        </is>
      </c>
      <c r="E51" s="392" t="inlineStr">
        <is>
          <t>laser_fire</t>
        </is>
      </c>
      <c r="F51" s="392" t="inlineStr">
        <is>
          <t>runtime</t>
        </is>
      </c>
      <c r="G51" s="392" t="n"/>
      <c r="H51" s="392" t="inlineStr">
        <is>
          <t>全局/非空间</t>
        </is>
      </c>
      <c r="I51" s="392" t="inlineStr">
        <is>
          <t>default</t>
        </is>
      </c>
      <c r="J51" s="392" t="inlineStr">
        <is>
          <t>桌面与Android正式运行</t>
        </is>
      </c>
      <c r="K51" s="392" t="inlineStr">
        <is>
          <t>已完成</t>
        </is>
      </c>
      <c r="L51" s="392" t="inlineStr">
        <is>
          <t>P0</t>
        </is>
      </c>
      <c r="M51" s="392" t="inlineStr">
        <is>
          <t>v001</t>
        </is>
      </c>
      <c r="N51" s="392" t="inlineStr">
        <is>
          <t>44.1kHz / OGG Vorbis / stereo</t>
        </is>
      </c>
      <c r="O51" s="392" t="inlineStr">
        <is>
          <t>src/assets/audio/sfx/laser_fire_v001.ogg</t>
        </is>
      </c>
      <c r="P51" s="392" t="inlineStr">
        <is>
          <t>src/assets/audio/sfx/laser_fire.wav; src/音效接入说明.md</t>
        </is>
      </c>
      <c r="Q51" s="392" t="inlineStr">
        <is>
          <t>laser_fire; 音效; OGG; Android; 移动端</t>
        </is>
      </c>
      <c r="R51" s="392">
        <f>LOWER(TRIM(C51)&amp;"|"&amp;TRIM(D51)&amp;"|"&amp;TRIM(E51)&amp;"|"&amp;TRIM(F51)&amp;"|"&amp;TRIM(H51)&amp;"|"&amp;TRIM(I51))</f>
        <v/>
      </c>
      <c r="S51" s="392">
        <f>IF(COUNTIF($R$6:$R$79,R51)&gt;1,"重复","唯一")</f>
        <v/>
      </c>
      <c r="T51" s="392" t="inlineStr">
        <is>
          <t>b9fa5b0e0835a0e18b5a0bb29bff7fcc94944020f3eb9a8424343786ab845191</t>
        </is>
      </c>
      <c r="U51" s="392" t="inlineStr">
        <is>
          <t>Codex</t>
        </is>
      </c>
      <c r="V51" s="348" t="n">
        <v>46241</v>
      </c>
      <c r="W51" s="392" t="inlineStr">
        <is>
          <t>项目WAV母版转码</t>
        </is>
      </c>
      <c r="X51" s="375" t="inlineStr">
        <is>
          <t>—</t>
        </is>
      </c>
      <c r="Y51" s="392" t="inlineStr">
        <is>
          <t>正式运行OGG；WAV仅作母版；AudioManager事件=laser_fire；Android/桌面统一版本化路径，禁止旧音效回退。</t>
        </is>
      </c>
    </row>
    <row r="52">
      <c r="A52" s="392" t="inlineStr">
        <is>
          <t>AUD-SFX-MERCHANT-PURCHASE</t>
        </is>
      </c>
      <c r="B52" s="392" t="inlineStr">
        <is>
          <t>交易成功音效</t>
        </is>
      </c>
      <c r="C52" s="392" t="inlineStr">
        <is>
          <t>音频</t>
        </is>
      </c>
      <c r="D52" s="392" t="inlineStr">
        <is>
          <t>sfx</t>
        </is>
      </c>
      <c r="E52" s="392" t="inlineStr">
        <is>
          <t>merchant_purchase</t>
        </is>
      </c>
      <c r="F52" s="392" t="inlineStr">
        <is>
          <t>runtime</t>
        </is>
      </c>
      <c r="G52" s="392" t="n"/>
      <c r="H52" s="392" t="inlineStr">
        <is>
          <t>全局/非空间</t>
        </is>
      </c>
      <c r="I52" s="392" t="inlineStr">
        <is>
          <t>default</t>
        </is>
      </c>
      <c r="J52" s="392" t="inlineStr">
        <is>
          <t>桌面与Android正式运行</t>
        </is>
      </c>
      <c r="K52" s="392" t="inlineStr">
        <is>
          <t>已完成</t>
        </is>
      </c>
      <c r="L52" s="392" t="inlineStr">
        <is>
          <t>P0</t>
        </is>
      </c>
      <c r="M52" s="392" t="inlineStr">
        <is>
          <t>v001</t>
        </is>
      </c>
      <c r="N52" s="392" t="inlineStr">
        <is>
          <t>44.1kHz / OGG Vorbis / stereo</t>
        </is>
      </c>
      <c r="O52" s="392" t="inlineStr">
        <is>
          <t>src/assets/audio/sfx/merchant_purchase_v001.ogg</t>
        </is>
      </c>
      <c r="P52" s="392" t="inlineStr">
        <is>
          <t>src/assets/audio/sfx/merchant_purchase.wav; src/音效接入说明.md</t>
        </is>
      </c>
      <c r="Q52" s="392" t="inlineStr">
        <is>
          <t>merchant_purchase; 音效; OGG; Android; 移动端</t>
        </is>
      </c>
      <c r="R52" s="392">
        <f>LOWER(TRIM(C52)&amp;"|"&amp;TRIM(D52)&amp;"|"&amp;TRIM(E52)&amp;"|"&amp;TRIM(F52)&amp;"|"&amp;TRIM(H52)&amp;"|"&amp;TRIM(I52))</f>
        <v/>
      </c>
      <c r="S52" s="392">
        <f>IF(COUNTIF($R$6:$R$79,R52)&gt;1,"重复","唯一")</f>
        <v/>
      </c>
      <c r="T52" s="392" t="inlineStr">
        <is>
          <t>ff71a229a012ea8ed985ab286ea01672af277dd33a62549dd080f1e9026d53c2</t>
        </is>
      </c>
      <c r="U52" s="392" t="inlineStr">
        <is>
          <t>Codex</t>
        </is>
      </c>
      <c r="V52" s="348" t="n">
        <v>46241</v>
      </c>
      <c r="W52" s="392" t="inlineStr">
        <is>
          <t>项目WAV母版转码</t>
        </is>
      </c>
      <c r="X52" s="375" t="inlineStr">
        <is>
          <t>—</t>
        </is>
      </c>
      <c r="Y52" s="392" t="inlineStr">
        <is>
          <t>正式运行OGG；WAV仅作母版；AudioManager事件=merchant_purchase；Android/桌面统一版本化路径，禁止旧音效回退。</t>
        </is>
      </c>
    </row>
    <row r="53">
      <c r="A53" s="392" t="inlineStr">
        <is>
          <t>AUD-SFX-PISTOL-FIRE</t>
        </is>
      </c>
      <c r="B53" s="392" t="inlineStr">
        <is>
          <t>手枪射击音效</t>
        </is>
      </c>
      <c r="C53" s="392" t="inlineStr">
        <is>
          <t>音频</t>
        </is>
      </c>
      <c r="D53" s="392" t="inlineStr">
        <is>
          <t>sfx</t>
        </is>
      </c>
      <c r="E53" s="392" t="inlineStr">
        <is>
          <t>pistol_fire</t>
        </is>
      </c>
      <c r="F53" s="392" t="inlineStr">
        <is>
          <t>runtime</t>
        </is>
      </c>
      <c r="G53" s="392" t="n"/>
      <c r="H53" s="392" t="inlineStr">
        <is>
          <t>全局/非空间</t>
        </is>
      </c>
      <c r="I53" s="392" t="inlineStr">
        <is>
          <t>default</t>
        </is>
      </c>
      <c r="J53" s="392" t="inlineStr">
        <is>
          <t>桌面与Android正式运行</t>
        </is>
      </c>
      <c r="K53" s="392" t="inlineStr">
        <is>
          <t>已完成</t>
        </is>
      </c>
      <c r="L53" s="392" t="inlineStr">
        <is>
          <t>P0</t>
        </is>
      </c>
      <c r="M53" s="392" t="inlineStr">
        <is>
          <t>v001</t>
        </is>
      </c>
      <c r="N53" s="392" t="inlineStr">
        <is>
          <t>44.1kHz / OGG Vorbis / stereo</t>
        </is>
      </c>
      <c r="O53" s="392" t="inlineStr">
        <is>
          <t>src/assets/audio/sfx/pistol_fire_v001.ogg</t>
        </is>
      </c>
      <c r="P53" s="392" t="inlineStr">
        <is>
          <t>src/assets/audio/sfx/pistol_fire.wav; src/音效接入说明.md</t>
        </is>
      </c>
      <c r="Q53" s="392" t="inlineStr">
        <is>
          <t>pistol_fire; 音效; OGG; Android; 移动端</t>
        </is>
      </c>
      <c r="R53" s="392">
        <f>LOWER(TRIM(C53)&amp;"|"&amp;TRIM(D53)&amp;"|"&amp;TRIM(E53)&amp;"|"&amp;TRIM(F53)&amp;"|"&amp;TRIM(H53)&amp;"|"&amp;TRIM(I53))</f>
        <v/>
      </c>
      <c r="S53" s="392">
        <f>IF(COUNTIF($R$6:$R$79,R53)&gt;1,"重复","唯一")</f>
        <v/>
      </c>
      <c r="T53" s="392" t="inlineStr">
        <is>
          <t>b2c39d4579cf13e32f98e79eb57b6ea0efeb5af7a497c60dc1acf94e8dd16937</t>
        </is>
      </c>
      <c r="U53" s="392" t="inlineStr">
        <is>
          <t>Codex</t>
        </is>
      </c>
      <c r="V53" s="348" t="n">
        <v>46241</v>
      </c>
      <c r="W53" s="392" t="inlineStr">
        <is>
          <t>项目WAV母版转码</t>
        </is>
      </c>
      <c r="X53" s="375" t="inlineStr">
        <is>
          <t>—</t>
        </is>
      </c>
      <c r="Y53" s="392" t="inlineStr">
        <is>
          <t>正式运行OGG；WAV仅作母版；AudioManager事件=pistol_fire；Android/桌面统一版本化路径，禁止旧音效回退。</t>
        </is>
      </c>
    </row>
    <row r="54">
      <c r="A54" s="392" t="inlineStr">
        <is>
          <t>AUD-SFX-PLAYER-DASH</t>
        </is>
      </c>
      <c r="B54" s="392" t="inlineStr">
        <is>
          <t>玩家冲刺音效</t>
        </is>
      </c>
      <c r="C54" s="392" t="inlineStr">
        <is>
          <t>音频</t>
        </is>
      </c>
      <c r="D54" s="392" t="inlineStr">
        <is>
          <t>sfx</t>
        </is>
      </c>
      <c r="E54" s="392" t="inlineStr">
        <is>
          <t>player_dash</t>
        </is>
      </c>
      <c r="F54" s="392" t="inlineStr">
        <is>
          <t>runtime</t>
        </is>
      </c>
      <c r="G54" s="392" t="n"/>
      <c r="H54" s="392" t="inlineStr">
        <is>
          <t>全局/非空间</t>
        </is>
      </c>
      <c r="I54" s="392" t="inlineStr">
        <is>
          <t>default</t>
        </is>
      </c>
      <c r="J54" s="392" t="inlineStr">
        <is>
          <t>桌面与Android正式运行</t>
        </is>
      </c>
      <c r="K54" s="392" t="inlineStr">
        <is>
          <t>已完成</t>
        </is>
      </c>
      <c r="L54" s="392" t="inlineStr">
        <is>
          <t>P0</t>
        </is>
      </c>
      <c r="M54" s="392" t="inlineStr">
        <is>
          <t>v001</t>
        </is>
      </c>
      <c r="N54" s="392" t="inlineStr">
        <is>
          <t>44.1kHz / OGG Vorbis / stereo</t>
        </is>
      </c>
      <c r="O54" s="392" t="inlineStr">
        <is>
          <t>src/assets/audio/sfx/player_dash_v001.ogg</t>
        </is>
      </c>
      <c r="P54" s="392" t="inlineStr">
        <is>
          <t>src/assets/audio/sfx/player_dash.wav; src/音效接入说明.md</t>
        </is>
      </c>
      <c r="Q54" s="392" t="inlineStr">
        <is>
          <t>player_dash; 音效; OGG; Android; 移动端</t>
        </is>
      </c>
      <c r="R54" s="392">
        <f>LOWER(TRIM(C54)&amp;"|"&amp;TRIM(D54)&amp;"|"&amp;TRIM(E54)&amp;"|"&amp;TRIM(F54)&amp;"|"&amp;TRIM(H54)&amp;"|"&amp;TRIM(I54))</f>
        <v/>
      </c>
      <c r="S54" s="392">
        <f>IF(COUNTIF($R$6:$R$79,R54)&gt;1,"重复","唯一")</f>
        <v/>
      </c>
      <c r="T54" s="392" t="inlineStr">
        <is>
          <t>5d437b11f4b79d593ded0045cf202542b44ac0eb7344561ec96c659ad9ea6930</t>
        </is>
      </c>
      <c r="U54" s="392" t="inlineStr">
        <is>
          <t>Codex</t>
        </is>
      </c>
      <c r="V54" s="348" t="n">
        <v>46241</v>
      </c>
      <c r="W54" s="392" t="inlineStr">
        <is>
          <t>项目WAV母版转码</t>
        </is>
      </c>
      <c r="X54" s="375" t="inlineStr">
        <is>
          <t>—</t>
        </is>
      </c>
      <c r="Y54" s="392" t="inlineStr">
        <is>
          <t>正式运行OGG；WAV仅作母版；AudioManager事件=player_dash；Android/桌面统一版本化路径，禁止旧音效回退。</t>
        </is>
      </c>
    </row>
    <row r="55">
      <c r="A55" s="392" t="inlineStr">
        <is>
          <t>AUD-SFX-PLAYER-HIT</t>
        </is>
      </c>
      <c r="B55" s="392" t="inlineStr">
        <is>
          <t>玩家受击音效</t>
        </is>
      </c>
      <c r="C55" s="392" t="inlineStr">
        <is>
          <t>音频</t>
        </is>
      </c>
      <c r="D55" s="392" t="inlineStr">
        <is>
          <t>sfx</t>
        </is>
      </c>
      <c r="E55" s="392" t="inlineStr">
        <is>
          <t>player_hit</t>
        </is>
      </c>
      <c r="F55" s="392" t="inlineStr">
        <is>
          <t>runtime</t>
        </is>
      </c>
      <c r="G55" s="392" t="n"/>
      <c r="H55" s="392" t="inlineStr">
        <is>
          <t>全局/非空间</t>
        </is>
      </c>
      <c r="I55" s="392" t="inlineStr">
        <is>
          <t>default</t>
        </is>
      </c>
      <c r="J55" s="392" t="inlineStr">
        <is>
          <t>桌面与Android正式运行</t>
        </is>
      </c>
      <c r="K55" s="392" t="inlineStr">
        <is>
          <t>已完成</t>
        </is>
      </c>
      <c r="L55" s="392" t="inlineStr">
        <is>
          <t>P0</t>
        </is>
      </c>
      <c r="M55" s="392" t="inlineStr">
        <is>
          <t>v001</t>
        </is>
      </c>
      <c r="N55" s="392" t="inlineStr">
        <is>
          <t>44.1kHz / OGG Vorbis / stereo</t>
        </is>
      </c>
      <c r="O55" s="392" t="inlineStr">
        <is>
          <t>src/assets/audio/sfx/player_hit_v001.ogg</t>
        </is>
      </c>
      <c r="P55" s="392" t="inlineStr">
        <is>
          <t>src/assets/audio/sfx/player_hit.wav; src/音效接入说明.md</t>
        </is>
      </c>
      <c r="Q55" s="392" t="inlineStr">
        <is>
          <t>player_hit; 音效; OGG; Android; 移动端</t>
        </is>
      </c>
      <c r="R55" s="392">
        <f>LOWER(TRIM(C55)&amp;"|"&amp;TRIM(D55)&amp;"|"&amp;TRIM(E55)&amp;"|"&amp;TRIM(F55)&amp;"|"&amp;TRIM(H55)&amp;"|"&amp;TRIM(I55))</f>
        <v/>
      </c>
      <c r="S55" s="392">
        <f>IF(COUNTIF($R$6:$R$79,R55)&gt;1,"重复","唯一")</f>
        <v/>
      </c>
      <c r="T55" s="392" t="inlineStr">
        <is>
          <t>aa5bec92c2734e64ae75245c0fcb165c915981cf77d107c579649c228fc50eb2</t>
        </is>
      </c>
      <c r="U55" s="392" t="inlineStr">
        <is>
          <t>Codex</t>
        </is>
      </c>
      <c r="V55" s="348" t="n">
        <v>46241</v>
      </c>
      <c r="W55" s="392" t="inlineStr">
        <is>
          <t>项目WAV母版转码</t>
        </is>
      </c>
      <c r="X55" s="375" t="inlineStr">
        <is>
          <t>—</t>
        </is>
      </c>
      <c r="Y55" s="392" t="inlineStr">
        <is>
          <t>正式运行OGG；WAV仅作母版；AudioManager事件=player_hit；Android/桌面统一版本化路径，禁止旧音效回退。</t>
        </is>
      </c>
    </row>
    <row r="56">
      <c r="A56" s="392" t="inlineStr">
        <is>
          <t>AUD-SFX-RELOAD</t>
        </is>
      </c>
      <c r="B56" s="392" t="inlineStr">
        <is>
          <t>换弹音效</t>
        </is>
      </c>
      <c r="C56" s="392" t="inlineStr">
        <is>
          <t>音频</t>
        </is>
      </c>
      <c r="D56" s="392" t="inlineStr">
        <is>
          <t>sfx</t>
        </is>
      </c>
      <c r="E56" s="392" t="inlineStr">
        <is>
          <t>reload</t>
        </is>
      </c>
      <c r="F56" s="392" t="inlineStr">
        <is>
          <t>runtime</t>
        </is>
      </c>
      <c r="G56" s="392" t="n"/>
      <c r="H56" s="392" t="inlineStr">
        <is>
          <t>全局/非空间</t>
        </is>
      </c>
      <c r="I56" s="392" t="inlineStr">
        <is>
          <t>default</t>
        </is>
      </c>
      <c r="J56" s="392" t="inlineStr">
        <is>
          <t>桌面与Android正式运行</t>
        </is>
      </c>
      <c r="K56" s="392" t="inlineStr">
        <is>
          <t>已完成</t>
        </is>
      </c>
      <c r="L56" s="392" t="inlineStr">
        <is>
          <t>P0</t>
        </is>
      </c>
      <c r="M56" s="392" t="inlineStr">
        <is>
          <t>v001</t>
        </is>
      </c>
      <c r="N56" s="392" t="inlineStr">
        <is>
          <t>44.1kHz / OGG Vorbis / stereo</t>
        </is>
      </c>
      <c r="O56" s="392" t="inlineStr">
        <is>
          <t>src/assets/audio/sfx/reload_v001.ogg</t>
        </is>
      </c>
      <c r="P56" s="392" t="inlineStr">
        <is>
          <t>src/assets/audio/sfx/reload.wav; src/音效接入说明.md</t>
        </is>
      </c>
      <c r="Q56" s="392" t="inlineStr">
        <is>
          <t>reload; 音效; OGG; Android; 移动端</t>
        </is>
      </c>
      <c r="R56" s="392">
        <f>LOWER(TRIM(C56)&amp;"|"&amp;TRIM(D56)&amp;"|"&amp;TRIM(E56)&amp;"|"&amp;TRIM(F56)&amp;"|"&amp;TRIM(H56)&amp;"|"&amp;TRIM(I56))</f>
        <v/>
      </c>
      <c r="S56" s="392">
        <f>IF(COUNTIF($R$6:$R$79,R56)&gt;1,"重复","唯一")</f>
        <v/>
      </c>
      <c r="T56" s="392" t="inlineStr">
        <is>
          <t>0d60be5b4b3e9955d34c69e5719ae8d3147d6e87d3ffa58beae8d2beae42d0c7</t>
        </is>
      </c>
      <c r="U56" s="392" t="inlineStr">
        <is>
          <t>Codex</t>
        </is>
      </c>
      <c r="V56" s="348" t="n">
        <v>46241</v>
      </c>
      <c r="W56" s="392" t="inlineStr">
        <is>
          <t>项目WAV母版转码</t>
        </is>
      </c>
      <c r="X56" s="375" t="inlineStr">
        <is>
          <t>—</t>
        </is>
      </c>
      <c r="Y56" s="392" t="inlineStr">
        <is>
          <t>正式运行OGG；WAV仅作母版；AudioManager事件=reload；Android/桌面统一版本化路径，禁止旧音效回退。</t>
        </is>
      </c>
    </row>
    <row r="57">
      <c r="A57" s="392" t="inlineStr">
        <is>
          <t>AUD-SFX-RIFLE-FIRE</t>
        </is>
      </c>
      <c r="B57" s="392" t="inlineStr">
        <is>
          <t>步枪射击音效</t>
        </is>
      </c>
      <c r="C57" s="392" t="inlineStr">
        <is>
          <t>音频</t>
        </is>
      </c>
      <c r="D57" s="392" t="inlineStr">
        <is>
          <t>sfx</t>
        </is>
      </c>
      <c r="E57" s="392" t="inlineStr">
        <is>
          <t>rifle_fire</t>
        </is>
      </c>
      <c r="F57" s="392" t="inlineStr">
        <is>
          <t>runtime</t>
        </is>
      </c>
      <c r="G57" s="392" t="n"/>
      <c r="H57" s="392" t="inlineStr">
        <is>
          <t>全局/非空间</t>
        </is>
      </c>
      <c r="I57" s="392" t="inlineStr">
        <is>
          <t>default</t>
        </is>
      </c>
      <c r="J57" s="392" t="inlineStr">
        <is>
          <t>桌面与Android正式运行</t>
        </is>
      </c>
      <c r="K57" s="392" t="inlineStr">
        <is>
          <t>已完成</t>
        </is>
      </c>
      <c r="L57" s="392" t="inlineStr">
        <is>
          <t>P0</t>
        </is>
      </c>
      <c r="M57" s="392" t="inlineStr">
        <is>
          <t>v001</t>
        </is>
      </c>
      <c r="N57" s="392" t="inlineStr">
        <is>
          <t>44.1kHz / OGG Vorbis / stereo</t>
        </is>
      </c>
      <c r="O57" s="392" t="inlineStr">
        <is>
          <t>src/assets/audio/sfx/rifle_fire_v001.ogg</t>
        </is>
      </c>
      <c r="P57" s="392" t="inlineStr">
        <is>
          <t>src/assets/audio/sfx/rifle_fire.wav; src/音效接入说明.md</t>
        </is>
      </c>
      <c r="Q57" s="392" t="inlineStr">
        <is>
          <t>rifle_fire; 音效; OGG; Android; 移动端</t>
        </is>
      </c>
      <c r="R57" s="392">
        <f>LOWER(TRIM(C57)&amp;"|"&amp;TRIM(D57)&amp;"|"&amp;TRIM(E57)&amp;"|"&amp;TRIM(F57)&amp;"|"&amp;TRIM(H57)&amp;"|"&amp;TRIM(I57))</f>
        <v/>
      </c>
      <c r="S57" s="392">
        <f>IF(COUNTIF($R$6:$R$79,R57)&gt;1,"重复","唯一")</f>
        <v/>
      </c>
      <c r="T57" s="392" t="inlineStr">
        <is>
          <t>c5b6cc8c2beb44f22c72c1d201b750dd79dc877ae88f0067ef246103948e0e33</t>
        </is>
      </c>
      <c r="U57" s="392" t="inlineStr">
        <is>
          <t>Codex</t>
        </is>
      </c>
      <c r="V57" s="348" t="n">
        <v>46241</v>
      </c>
      <c r="W57" s="392" t="inlineStr">
        <is>
          <t>项目WAV母版转码</t>
        </is>
      </c>
      <c r="X57" s="375" t="inlineStr">
        <is>
          <t>—</t>
        </is>
      </c>
      <c r="Y57" s="392" t="inlineStr">
        <is>
          <t>正式运行OGG；WAV仅作母版；AudioManager事件=rifle_fire；Android/桌面统一版本化路径，禁止旧音效回退。</t>
        </is>
      </c>
    </row>
    <row r="58">
      <c r="A58" s="392" t="inlineStr">
        <is>
          <t>AUD-SFX-SHOTGUN-FIRE</t>
        </is>
      </c>
      <c r="B58" s="392" t="inlineStr">
        <is>
          <t>霰弹枪射击音效</t>
        </is>
      </c>
      <c r="C58" s="392" t="inlineStr">
        <is>
          <t>音频</t>
        </is>
      </c>
      <c r="D58" s="392" t="inlineStr">
        <is>
          <t>sfx</t>
        </is>
      </c>
      <c r="E58" s="392" t="inlineStr">
        <is>
          <t>shotgun_fire</t>
        </is>
      </c>
      <c r="F58" s="392" t="inlineStr">
        <is>
          <t>runtime</t>
        </is>
      </c>
      <c r="G58" s="392" t="n"/>
      <c r="H58" s="392" t="inlineStr">
        <is>
          <t>全局/非空间</t>
        </is>
      </c>
      <c r="I58" s="392" t="inlineStr">
        <is>
          <t>default</t>
        </is>
      </c>
      <c r="J58" s="392" t="inlineStr">
        <is>
          <t>桌面与Android正式运行</t>
        </is>
      </c>
      <c r="K58" s="392" t="inlineStr">
        <is>
          <t>已完成</t>
        </is>
      </c>
      <c r="L58" s="392" t="inlineStr">
        <is>
          <t>P0</t>
        </is>
      </c>
      <c r="M58" s="392" t="inlineStr">
        <is>
          <t>v001</t>
        </is>
      </c>
      <c r="N58" s="392" t="inlineStr">
        <is>
          <t>44.1kHz / OGG Vorbis / stereo</t>
        </is>
      </c>
      <c r="O58" s="392" t="inlineStr">
        <is>
          <t>src/assets/audio/sfx/shotgun_fire_v001.ogg</t>
        </is>
      </c>
      <c r="P58" s="392" t="inlineStr">
        <is>
          <t>src/assets/audio/sfx/shotgun_fire.wav; src/音效接入说明.md</t>
        </is>
      </c>
      <c r="Q58" s="392" t="inlineStr">
        <is>
          <t>shotgun_fire; 音效; OGG; Android; 移动端</t>
        </is>
      </c>
      <c r="R58" s="392">
        <f>LOWER(TRIM(C58)&amp;"|"&amp;TRIM(D58)&amp;"|"&amp;TRIM(E58)&amp;"|"&amp;TRIM(F58)&amp;"|"&amp;TRIM(H58)&amp;"|"&amp;TRIM(I58))</f>
        <v/>
      </c>
      <c r="S58" s="392">
        <f>IF(COUNTIF($R$6:$R$79,R58)&gt;1,"重复","唯一")</f>
        <v/>
      </c>
      <c r="T58" s="392" t="inlineStr">
        <is>
          <t>e4b8feb67d9a438892183fa3a2e4afec8e3131235be342c02b1ce72e25767466</t>
        </is>
      </c>
      <c r="U58" s="392" t="inlineStr">
        <is>
          <t>Codex</t>
        </is>
      </c>
      <c r="V58" s="348" t="n">
        <v>46241</v>
      </c>
      <c r="W58" s="392" t="inlineStr">
        <is>
          <t>项目WAV母版转码</t>
        </is>
      </c>
      <c r="X58" s="375" t="inlineStr">
        <is>
          <t>—</t>
        </is>
      </c>
      <c r="Y58" s="392" t="inlineStr">
        <is>
          <t>正式运行OGG；WAV仅作母版；AudioManager事件=shotgun_fire；Android/桌面统一版本化路径，禁止旧音效回退。</t>
        </is>
      </c>
    </row>
    <row r="59">
      <c r="A59" s="392" t="inlineStr">
        <is>
          <t>AUD-SFX-SMG-FIRE</t>
        </is>
      </c>
      <c r="B59" s="392" t="inlineStr">
        <is>
          <t>冲锋枪射击音效</t>
        </is>
      </c>
      <c r="C59" s="392" t="inlineStr">
        <is>
          <t>音频</t>
        </is>
      </c>
      <c r="D59" s="392" t="inlineStr">
        <is>
          <t>sfx</t>
        </is>
      </c>
      <c r="E59" s="392" t="inlineStr">
        <is>
          <t>smg_fire</t>
        </is>
      </c>
      <c r="F59" s="392" t="inlineStr">
        <is>
          <t>runtime</t>
        </is>
      </c>
      <c r="G59" s="392" t="n"/>
      <c r="H59" s="392" t="inlineStr">
        <is>
          <t>全局/非空间</t>
        </is>
      </c>
      <c r="I59" s="392" t="inlineStr">
        <is>
          <t>default</t>
        </is>
      </c>
      <c r="J59" s="392" t="inlineStr">
        <is>
          <t>桌面与Android正式运行</t>
        </is>
      </c>
      <c r="K59" s="392" t="inlineStr">
        <is>
          <t>已完成</t>
        </is>
      </c>
      <c r="L59" s="392" t="inlineStr">
        <is>
          <t>P0</t>
        </is>
      </c>
      <c r="M59" s="392" t="inlineStr">
        <is>
          <t>v001</t>
        </is>
      </c>
      <c r="N59" s="392" t="inlineStr">
        <is>
          <t>44.1kHz / OGG Vorbis / stereo</t>
        </is>
      </c>
      <c r="O59" s="392" t="inlineStr">
        <is>
          <t>src/assets/audio/sfx/smg_fire_v001.ogg</t>
        </is>
      </c>
      <c r="P59" s="392" t="inlineStr">
        <is>
          <t>src/assets/audio/sfx/smg_fire.wav; src/音效接入说明.md</t>
        </is>
      </c>
      <c r="Q59" s="392" t="inlineStr">
        <is>
          <t>smg_fire; 音效; OGG; Android; 移动端</t>
        </is>
      </c>
      <c r="R59" s="392">
        <f>LOWER(TRIM(C59)&amp;"|"&amp;TRIM(D59)&amp;"|"&amp;TRIM(E59)&amp;"|"&amp;TRIM(F59)&amp;"|"&amp;TRIM(H59)&amp;"|"&amp;TRIM(I59))</f>
        <v/>
      </c>
      <c r="S59" s="392">
        <f>IF(COUNTIF($R$6:$R$79,R59)&gt;1,"重复","唯一")</f>
        <v/>
      </c>
      <c r="T59" s="392" t="inlineStr">
        <is>
          <t>282379aa6850e03dd6109928a22ad7792563768414ece93374c7cff725d306fa</t>
        </is>
      </c>
      <c r="U59" s="392" t="inlineStr">
        <is>
          <t>Codex</t>
        </is>
      </c>
      <c r="V59" s="348" t="n">
        <v>46241</v>
      </c>
      <c r="W59" s="392" t="inlineStr">
        <is>
          <t>项目WAV母版转码</t>
        </is>
      </c>
      <c r="X59" s="375" t="inlineStr">
        <is>
          <t>—</t>
        </is>
      </c>
      <c r="Y59" s="392" t="inlineStr">
        <is>
          <t>正式运行OGG；WAV仅作母版；AudioManager事件=smg_fire；Android/桌面统一版本化路径，禁止旧音效回退。</t>
        </is>
      </c>
    </row>
    <row r="60">
      <c r="A60" s="392" t="inlineStr">
        <is>
          <t>AUD-SFX-SNIPER-FIRE</t>
        </is>
      </c>
      <c r="B60" s="392" t="inlineStr">
        <is>
          <t>狙击枪射击音效</t>
        </is>
      </c>
      <c r="C60" s="392" t="inlineStr">
        <is>
          <t>音频</t>
        </is>
      </c>
      <c r="D60" s="392" t="inlineStr">
        <is>
          <t>sfx</t>
        </is>
      </c>
      <c r="E60" s="392" t="inlineStr">
        <is>
          <t>sniper_fire</t>
        </is>
      </c>
      <c r="F60" s="392" t="inlineStr">
        <is>
          <t>runtime</t>
        </is>
      </c>
      <c r="G60" s="392" t="n"/>
      <c r="H60" s="392" t="inlineStr">
        <is>
          <t>全局/非空间</t>
        </is>
      </c>
      <c r="I60" s="392" t="inlineStr">
        <is>
          <t>default</t>
        </is>
      </c>
      <c r="J60" s="392" t="inlineStr">
        <is>
          <t>桌面与Android正式运行</t>
        </is>
      </c>
      <c r="K60" s="392" t="inlineStr">
        <is>
          <t>已完成</t>
        </is>
      </c>
      <c r="L60" s="392" t="inlineStr">
        <is>
          <t>P0</t>
        </is>
      </c>
      <c r="M60" s="392" t="inlineStr">
        <is>
          <t>v001</t>
        </is>
      </c>
      <c r="N60" s="392" t="inlineStr">
        <is>
          <t>44.1kHz / OGG Vorbis / stereo</t>
        </is>
      </c>
      <c r="O60" s="392" t="inlineStr">
        <is>
          <t>src/assets/audio/sfx/sniper_fire_v001.ogg</t>
        </is>
      </c>
      <c r="P60" s="392" t="inlineStr">
        <is>
          <t>src/assets/audio/sfx/sniper_fire.wav; src/音效接入说明.md</t>
        </is>
      </c>
      <c r="Q60" s="392" t="inlineStr">
        <is>
          <t>sniper_fire; 音效; OGG; Android; 移动端</t>
        </is>
      </c>
      <c r="R60" s="392">
        <f>LOWER(TRIM(C60)&amp;"|"&amp;TRIM(D60)&amp;"|"&amp;TRIM(E60)&amp;"|"&amp;TRIM(F60)&amp;"|"&amp;TRIM(H60)&amp;"|"&amp;TRIM(I60))</f>
        <v/>
      </c>
      <c r="S60" s="392">
        <f>IF(COUNTIF($R$6:$R$79,R60)&gt;1,"重复","唯一")</f>
        <v/>
      </c>
      <c r="T60" s="392" t="inlineStr">
        <is>
          <t>0d5161b3b8faece3024ad618916c203cd3d274d3b373af7bcbbd22baa0ab3968</t>
        </is>
      </c>
      <c r="U60" s="392" t="inlineStr">
        <is>
          <t>Codex</t>
        </is>
      </c>
      <c r="V60" s="348" t="n">
        <v>46241</v>
      </c>
      <c r="W60" s="392" t="inlineStr">
        <is>
          <t>项目WAV母版转码</t>
        </is>
      </c>
      <c r="X60" s="375" t="inlineStr">
        <is>
          <t>—</t>
        </is>
      </c>
      <c r="Y60" s="392" t="inlineStr">
        <is>
          <t>正式运行OGG；WAV仅作母版；AudioManager事件=sniper_fire；Android/桌面统一版本化路径，禁止旧音效回退。</t>
        </is>
      </c>
    </row>
    <row r="61">
      <c r="A61" s="392" t="inlineStr">
        <is>
          <t>AUD-SFX-SOUL-PICKUP</t>
        </is>
      </c>
      <c r="B61" s="392" t="inlineStr">
        <is>
          <t>魂球拾取音效</t>
        </is>
      </c>
      <c r="C61" s="392" t="inlineStr">
        <is>
          <t>音频</t>
        </is>
      </c>
      <c r="D61" s="392" t="inlineStr">
        <is>
          <t>sfx</t>
        </is>
      </c>
      <c r="E61" s="392" t="inlineStr">
        <is>
          <t>soul_pickup</t>
        </is>
      </c>
      <c r="F61" s="392" t="inlineStr">
        <is>
          <t>runtime</t>
        </is>
      </c>
      <c r="G61" s="392" t="n"/>
      <c r="H61" s="392" t="inlineStr">
        <is>
          <t>全局/非空间</t>
        </is>
      </c>
      <c r="I61" s="392" t="inlineStr">
        <is>
          <t>default</t>
        </is>
      </c>
      <c r="J61" s="392" t="inlineStr">
        <is>
          <t>桌面与Android正式运行</t>
        </is>
      </c>
      <c r="K61" s="392" t="inlineStr">
        <is>
          <t>已完成</t>
        </is>
      </c>
      <c r="L61" s="392" t="inlineStr">
        <is>
          <t>P0</t>
        </is>
      </c>
      <c r="M61" s="392" t="inlineStr">
        <is>
          <t>v001</t>
        </is>
      </c>
      <c r="N61" s="392" t="inlineStr">
        <is>
          <t>44.1kHz / OGG Vorbis / stereo</t>
        </is>
      </c>
      <c r="O61" s="392" t="inlineStr">
        <is>
          <t>src/assets/audio/sfx/soul_pickup_v001.ogg</t>
        </is>
      </c>
      <c r="P61" s="392" t="inlineStr">
        <is>
          <t>src/assets/audio/sfx/soul_pickup.wav; src/音效接入说明.md</t>
        </is>
      </c>
      <c r="Q61" s="392" t="inlineStr">
        <is>
          <t>soul_pickup; 音效; OGG; Android; 移动端</t>
        </is>
      </c>
      <c r="R61" s="392">
        <f>LOWER(TRIM(C61)&amp;"|"&amp;TRIM(D61)&amp;"|"&amp;TRIM(E61)&amp;"|"&amp;TRIM(F61)&amp;"|"&amp;TRIM(H61)&amp;"|"&amp;TRIM(I61))</f>
        <v/>
      </c>
      <c r="S61" s="392">
        <f>IF(COUNTIF($R$6:$R$79,R61)&gt;1,"重复","唯一")</f>
        <v/>
      </c>
      <c r="T61" s="392" t="inlineStr">
        <is>
          <t>c9f24f23f1c4e8ad28a5ee97e9b11efd00e53bf706faa0655cba4f78b68e76ff</t>
        </is>
      </c>
      <c r="U61" s="392" t="inlineStr">
        <is>
          <t>Codex</t>
        </is>
      </c>
      <c r="V61" s="348" t="n">
        <v>46241</v>
      </c>
      <c r="W61" s="392" t="inlineStr">
        <is>
          <t>项目WAV母版转码</t>
        </is>
      </c>
      <c r="X61" s="375" t="inlineStr">
        <is>
          <t>—</t>
        </is>
      </c>
      <c r="Y61" s="392" t="inlineStr">
        <is>
          <t>正式运行OGG；WAV仅作母版；AudioManager事件=soul_pickup；Android/桌面统一版本化路径，禁止旧音效回退。</t>
        </is>
      </c>
    </row>
    <row r="62">
      <c r="A62" s="392" t="inlineStr">
        <is>
          <t>AUD-SFX-UI-CLICK</t>
        </is>
      </c>
      <c r="B62" s="392" t="inlineStr">
        <is>
          <t>UI点击音效</t>
        </is>
      </c>
      <c r="C62" s="392" t="inlineStr">
        <is>
          <t>音频</t>
        </is>
      </c>
      <c r="D62" s="392" t="inlineStr">
        <is>
          <t>sfx</t>
        </is>
      </c>
      <c r="E62" s="392" t="inlineStr">
        <is>
          <t>ui_click</t>
        </is>
      </c>
      <c r="F62" s="392" t="inlineStr">
        <is>
          <t>runtime</t>
        </is>
      </c>
      <c r="G62" s="392" t="n"/>
      <c r="H62" s="392" t="inlineStr">
        <is>
          <t>全局/非空间</t>
        </is>
      </c>
      <c r="I62" s="392" t="inlineStr">
        <is>
          <t>default</t>
        </is>
      </c>
      <c r="J62" s="392" t="inlineStr">
        <is>
          <t>桌面与Android正式运行</t>
        </is>
      </c>
      <c r="K62" s="392" t="inlineStr">
        <is>
          <t>已完成</t>
        </is>
      </c>
      <c r="L62" s="392" t="inlineStr">
        <is>
          <t>P0</t>
        </is>
      </c>
      <c r="M62" s="392" t="inlineStr">
        <is>
          <t>v001</t>
        </is>
      </c>
      <c r="N62" s="392" t="inlineStr">
        <is>
          <t>44.1kHz / OGG Vorbis / stereo</t>
        </is>
      </c>
      <c r="O62" s="392" t="inlineStr">
        <is>
          <t>src/assets/audio/sfx/ui_click_v001.ogg</t>
        </is>
      </c>
      <c r="P62" s="392" t="inlineStr">
        <is>
          <t>src/assets/audio/sfx/ui_click.wav; src/音效接入说明.md</t>
        </is>
      </c>
      <c r="Q62" s="392" t="inlineStr">
        <is>
          <t>ui_click; 音效; OGG; Android; 移动端</t>
        </is>
      </c>
      <c r="R62" s="392">
        <f>LOWER(TRIM(C62)&amp;"|"&amp;TRIM(D62)&amp;"|"&amp;TRIM(E62)&amp;"|"&amp;TRIM(F62)&amp;"|"&amp;TRIM(H62)&amp;"|"&amp;TRIM(I62))</f>
        <v/>
      </c>
      <c r="S62" s="392">
        <f>IF(COUNTIF($R$6:$R$79,R62)&gt;1,"重复","唯一")</f>
        <v/>
      </c>
      <c r="T62" s="392" t="inlineStr">
        <is>
          <t>a19f1bec70959ea5fd4715ee292080f9932fc3835b060b713a00fc19822fc3a5</t>
        </is>
      </c>
      <c r="U62" s="392" t="inlineStr">
        <is>
          <t>Codex</t>
        </is>
      </c>
      <c r="V62" s="348" t="n">
        <v>46241</v>
      </c>
      <c r="W62" s="392" t="inlineStr">
        <is>
          <t>项目WAV母版转码</t>
        </is>
      </c>
      <c r="X62" s="375" t="inlineStr">
        <is>
          <t>—</t>
        </is>
      </c>
      <c r="Y62" s="392" t="inlineStr">
        <is>
          <t>正式运行OGG；WAV仅作母版；AudioManager事件=ui_click；Android/桌面统一版本化路径，禁止旧音效回退。</t>
        </is>
      </c>
    </row>
    <row r="63">
      <c r="A63" s="392" t="inlineStr">
        <is>
          <t>AUD-SFX-UI-ERROR</t>
        </is>
      </c>
      <c r="B63" s="392" t="inlineStr">
        <is>
          <t>UI错误音效</t>
        </is>
      </c>
      <c r="C63" s="392" t="inlineStr">
        <is>
          <t>音频</t>
        </is>
      </c>
      <c r="D63" s="392" t="inlineStr">
        <is>
          <t>sfx</t>
        </is>
      </c>
      <c r="E63" s="392" t="inlineStr">
        <is>
          <t>ui_error</t>
        </is>
      </c>
      <c r="F63" s="392" t="inlineStr">
        <is>
          <t>runtime</t>
        </is>
      </c>
      <c r="G63" s="392" t="n"/>
      <c r="H63" s="392" t="inlineStr">
        <is>
          <t>全局/非空间</t>
        </is>
      </c>
      <c r="I63" s="392" t="inlineStr">
        <is>
          <t>default</t>
        </is>
      </c>
      <c r="J63" s="392" t="inlineStr">
        <is>
          <t>桌面与Android正式运行</t>
        </is>
      </c>
      <c r="K63" s="392" t="inlineStr">
        <is>
          <t>已完成</t>
        </is>
      </c>
      <c r="L63" s="392" t="inlineStr">
        <is>
          <t>P0</t>
        </is>
      </c>
      <c r="M63" s="392" t="inlineStr">
        <is>
          <t>v001</t>
        </is>
      </c>
      <c r="N63" s="392" t="inlineStr">
        <is>
          <t>44.1kHz / OGG Vorbis / stereo</t>
        </is>
      </c>
      <c r="O63" s="392" t="inlineStr">
        <is>
          <t>src/assets/audio/sfx/ui_error_v001.ogg</t>
        </is>
      </c>
      <c r="P63" s="392" t="inlineStr">
        <is>
          <t>src/assets/audio/sfx/ui_error.wav; src/音效接入说明.md</t>
        </is>
      </c>
      <c r="Q63" s="392" t="inlineStr">
        <is>
          <t>ui_error; 音效; OGG; Android; 移动端</t>
        </is>
      </c>
      <c r="R63" s="392">
        <f>LOWER(TRIM(C63)&amp;"|"&amp;TRIM(D63)&amp;"|"&amp;TRIM(E63)&amp;"|"&amp;TRIM(F63)&amp;"|"&amp;TRIM(H63)&amp;"|"&amp;TRIM(I63))</f>
        <v/>
      </c>
      <c r="S63" s="392">
        <f>IF(COUNTIF($R$6:$R$79,R63)&gt;1,"重复","唯一")</f>
        <v/>
      </c>
      <c r="T63" s="392" t="inlineStr">
        <is>
          <t>eeb07b8cc575869b8d560c929431d8beb43eb533c9900403df6beb9bb83b9b5e</t>
        </is>
      </c>
      <c r="U63" s="392" t="inlineStr">
        <is>
          <t>Codex</t>
        </is>
      </c>
      <c r="V63" s="348" t="n">
        <v>46241</v>
      </c>
      <c r="W63" s="392" t="inlineStr">
        <is>
          <t>项目WAV母版转码</t>
        </is>
      </c>
      <c r="X63" s="375" t="inlineStr">
        <is>
          <t>—</t>
        </is>
      </c>
      <c r="Y63" s="392" t="inlineStr">
        <is>
          <t>正式运行OGG；WAV仅作母版；AudioManager事件=ui_error；Android/桌面统一版本化路径，禁止旧音效回退。</t>
        </is>
      </c>
    </row>
    <row r="64">
      <c r="A64" s="392" t="inlineStr">
        <is>
          <t>AUD-SFX-UI-HOVER</t>
        </is>
      </c>
      <c r="B64" s="392" t="inlineStr">
        <is>
          <t>UI悬停音效</t>
        </is>
      </c>
      <c r="C64" s="392" t="inlineStr">
        <is>
          <t>音频</t>
        </is>
      </c>
      <c r="D64" s="392" t="inlineStr">
        <is>
          <t>sfx</t>
        </is>
      </c>
      <c r="E64" s="392" t="inlineStr">
        <is>
          <t>ui_hover</t>
        </is>
      </c>
      <c r="F64" s="392" t="inlineStr">
        <is>
          <t>runtime</t>
        </is>
      </c>
      <c r="G64" s="392" t="n"/>
      <c r="H64" s="392" t="inlineStr">
        <is>
          <t>全局/非空间</t>
        </is>
      </c>
      <c r="I64" s="392" t="inlineStr">
        <is>
          <t>default</t>
        </is>
      </c>
      <c r="J64" s="392" t="inlineStr">
        <is>
          <t>桌面与Android正式运行</t>
        </is>
      </c>
      <c r="K64" s="392" t="inlineStr">
        <is>
          <t>已完成</t>
        </is>
      </c>
      <c r="L64" s="392" t="inlineStr">
        <is>
          <t>P0</t>
        </is>
      </c>
      <c r="M64" s="392" t="inlineStr">
        <is>
          <t>v001</t>
        </is>
      </c>
      <c r="N64" s="392" t="inlineStr">
        <is>
          <t>44.1kHz / OGG Vorbis / stereo</t>
        </is>
      </c>
      <c r="O64" s="392" t="inlineStr">
        <is>
          <t>src/assets/audio/sfx/ui_hover_v001.ogg</t>
        </is>
      </c>
      <c r="P64" s="392" t="inlineStr">
        <is>
          <t>src/assets/audio/sfx/ui_hover.wav; src/音效接入说明.md</t>
        </is>
      </c>
      <c r="Q64" s="392" t="inlineStr">
        <is>
          <t>ui_hover; 音效; OGG; Android; 移动端</t>
        </is>
      </c>
      <c r="R64" s="392">
        <f>LOWER(TRIM(C64)&amp;"|"&amp;TRIM(D64)&amp;"|"&amp;TRIM(E64)&amp;"|"&amp;TRIM(F64)&amp;"|"&amp;TRIM(H64)&amp;"|"&amp;TRIM(I64))</f>
        <v/>
      </c>
      <c r="S64" s="392">
        <f>IF(COUNTIF($R$6:$R$79,R64)&gt;1,"重复","唯一")</f>
        <v/>
      </c>
      <c r="T64" s="392" t="inlineStr">
        <is>
          <t>edb43f0a80a9833364555c052e01e898d39396bef925566cbadf34e009877bcb</t>
        </is>
      </c>
      <c r="U64" s="392" t="inlineStr">
        <is>
          <t>Codex</t>
        </is>
      </c>
      <c r="V64" s="348" t="n">
        <v>46241</v>
      </c>
      <c r="W64" s="392" t="inlineStr">
        <is>
          <t>项目WAV母版转码</t>
        </is>
      </c>
      <c r="X64" s="375" t="inlineStr">
        <is>
          <t>—</t>
        </is>
      </c>
      <c r="Y64" s="392" t="inlineStr">
        <is>
          <t>正式运行OGG；WAV仅作母版；AudioManager事件=ui_hover；Android/桌面统一版本化路径，禁止旧音效回退。</t>
        </is>
      </c>
    </row>
    <row r="65">
      <c r="A65" s="392" t="inlineStr">
        <is>
          <t>AUD-SFX-WAVE-CLEAR</t>
        </is>
      </c>
      <c r="B65" s="392" t="inlineStr">
        <is>
          <t>波次完成音效</t>
        </is>
      </c>
      <c r="C65" s="392" t="inlineStr">
        <is>
          <t>音频</t>
        </is>
      </c>
      <c r="D65" s="392" t="inlineStr">
        <is>
          <t>sfx</t>
        </is>
      </c>
      <c r="E65" s="392" t="inlineStr">
        <is>
          <t>wave_clear</t>
        </is>
      </c>
      <c r="F65" s="392" t="inlineStr">
        <is>
          <t>runtime</t>
        </is>
      </c>
      <c r="G65" s="392" t="n"/>
      <c r="H65" s="392" t="inlineStr">
        <is>
          <t>全局/非空间</t>
        </is>
      </c>
      <c r="I65" s="392" t="inlineStr">
        <is>
          <t>default</t>
        </is>
      </c>
      <c r="J65" s="392" t="inlineStr">
        <is>
          <t>桌面与Android正式运行</t>
        </is>
      </c>
      <c r="K65" s="392" t="inlineStr">
        <is>
          <t>已完成</t>
        </is>
      </c>
      <c r="L65" s="392" t="inlineStr">
        <is>
          <t>P0</t>
        </is>
      </c>
      <c r="M65" s="392" t="inlineStr">
        <is>
          <t>v001</t>
        </is>
      </c>
      <c r="N65" s="392" t="inlineStr">
        <is>
          <t>44.1kHz / OGG Vorbis / stereo</t>
        </is>
      </c>
      <c r="O65" s="392" t="inlineStr">
        <is>
          <t>src/assets/audio/sfx/wave_clear_v001.ogg</t>
        </is>
      </c>
      <c r="P65" s="392" t="inlineStr">
        <is>
          <t>src/assets/audio/sfx/wave_clear.wav; src/音效接入说明.md</t>
        </is>
      </c>
      <c r="Q65" s="392" t="inlineStr">
        <is>
          <t>wave_clear; 音效; OGG; Android; 移动端</t>
        </is>
      </c>
      <c r="R65" s="392">
        <f>LOWER(TRIM(C65)&amp;"|"&amp;TRIM(D65)&amp;"|"&amp;TRIM(E65)&amp;"|"&amp;TRIM(F65)&amp;"|"&amp;TRIM(H65)&amp;"|"&amp;TRIM(I65))</f>
        <v/>
      </c>
      <c r="S65" s="392">
        <f>IF(COUNTIF($R$6:$R$79,R65)&gt;1,"重复","唯一")</f>
        <v/>
      </c>
      <c r="T65" s="392" t="inlineStr">
        <is>
          <t>aa4d315fd2914681fc9a44533dc4470186f3b3349e88782a9d4a00730b5377a2</t>
        </is>
      </c>
      <c r="U65" s="392" t="inlineStr">
        <is>
          <t>Codex</t>
        </is>
      </c>
      <c r="V65" s="348" t="n">
        <v>46241</v>
      </c>
      <c r="W65" s="392" t="inlineStr">
        <is>
          <t>项目WAV母版转码</t>
        </is>
      </c>
      <c r="X65" s="375" t="inlineStr">
        <is>
          <t>—</t>
        </is>
      </c>
      <c r="Y65" s="392" t="inlineStr">
        <is>
          <t>正式运行OGG；WAV仅作母版；AudioManager事件=wave_clear；Android/桌面统一版本化路径，禁止旧音效回退。</t>
        </is>
      </c>
    </row>
    <row r="66">
      <c r="A66" s="392" t="inlineStr">
        <is>
          <t>AUD-SFX-WAVE-START</t>
        </is>
      </c>
      <c r="B66" s="392" t="inlineStr">
        <is>
          <t>波次开始音效</t>
        </is>
      </c>
      <c r="C66" s="392" t="inlineStr">
        <is>
          <t>音频</t>
        </is>
      </c>
      <c r="D66" s="392" t="inlineStr">
        <is>
          <t>sfx</t>
        </is>
      </c>
      <c r="E66" s="392" t="inlineStr">
        <is>
          <t>wave_start</t>
        </is>
      </c>
      <c r="F66" s="392" t="inlineStr">
        <is>
          <t>runtime</t>
        </is>
      </c>
      <c r="G66" s="392" t="n"/>
      <c r="H66" s="392" t="inlineStr">
        <is>
          <t>全局/非空间</t>
        </is>
      </c>
      <c r="I66" s="392" t="inlineStr">
        <is>
          <t>default</t>
        </is>
      </c>
      <c r="J66" s="392" t="inlineStr">
        <is>
          <t>桌面与Android正式运行</t>
        </is>
      </c>
      <c r="K66" s="392" t="inlineStr">
        <is>
          <t>已完成</t>
        </is>
      </c>
      <c r="L66" s="392" t="inlineStr">
        <is>
          <t>P0</t>
        </is>
      </c>
      <c r="M66" s="392" t="inlineStr">
        <is>
          <t>v001</t>
        </is>
      </c>
      <c r="N66" s="392" t="inlineStr">
        <is>
          <t>44.1kHz / OGG Vorbis / stereo</t>
        </is>
      </c>
      <c r="O66" s="392" t="inlineStr">
        <is>
          <t>src/assets/audio/sfx/wave_start_v001.ogg</t>
        </is>
      </c>
      <c r="P66" s="392" t="inlineStr">
        <is>
          <t>src/assets/audio/sfx/wave_start.wav; src/音效接入说明.md</t>
        </is>
      </c>
      <c r="Q66" s="392" t="inlineStr">
        <is>
          <t>wave_start; 音效; OGG; Android; 移动端</t>
        </is>
      </c>
      <c r="R66" s="392">
        <f>LOWER(TRIM(C66)&amp;"|"&amp;TRIM(D66)&amp;"|"&amp;TRIM(E66)&amp;"|"&amp;TRIM(F66)&amp;"|"&amp;TRIM(H66)&amp;"|"&amp;TRIM(I66))</f>
        <v/>
      </c>
      <c r="S66" s="392">
        <f>IF(COUNTIF($R$6:$R$79,R66)&gt;1,"重复","唯一")</f>
        <v/>
      </c>
      <c r="T66" s="392" t="inlineStr">
        <is>
          <t>be26cec7935eda95510b606cfc8bbebc5fe6f6d4310008a363d889f4bbef6083</t>
        </is>
      </c>
      <c r="U66" s="392" t="inlineStr">
        <is>
          <t>Codex</t>
        </is>
      </c>
      <c r="V66" s="348" t="n">
        <v>46241</v>
      </c>
      <c r="W66" s="392" t="inlineStr">
        <is>
          <t>项目WAV母版转码</t>
        </is>
      </c>
      <c r="X66" s="375" t="inlineStr">
        <is>
          <t>—</t>
        </is>
      </c>
      <c r="Y66" s="392" t="inlineStr">
        <is>
          <t>正式运行OGG；WAV仅作母版；AudioManager事件=wave_start；Android/桌面统一版本化路径，禁止旧音效回退。</t>
        </is>
      </c>
    </row>
    <row r="67">
      <c r="A67" s="392" t="inlineStr">
        <is>
          <t>AUD-SFX-MELEE-IMPACT</t>
        </is>
      </c>
      <c r="B67" s="392" t="inlineStr">
        <is>
          <t>近战命中主层音效</t>
        </is>
      </c>
      <c r="C67" s="392" t="inlineStr">
        <is>
          <t>音频</t>
        </is>
      </c>
      <c r="D67" s="392" t="inlineStr">
        <is>
          <t>sfx</t>
        </is>
      </c>
      <c r="E67" s="392" t="inlineStr">
        <is>
          <t>melee_impact</t>
        </is>
      </c>
      <c r="F67" s="392" t="inlineStr">
        <is>
          <t>runtime</t>
        </is>
      </c>
      <c r="G67" s="392" t="n"/>
      <c r="H67" s="392" t="inlineStr">
        <is>
          <t>全局/非空间</t>
        </is>
      </c>
      <c r="I67" s="392" t="inlineStr">
        <is>
          <t>default</t>
        </is>
      </c>
      <c r="J67" s="392" t="inlineStr">
        <is>
          <t>桌面与Android正式运行</t>
        </is>
      </c>
      <c r="K67" s="392" t="inlineStr">
        <is>
          <t>已完成</t>
        </is>
      </c>
      <c r="L67" s="392" t="inlineStr">
        <is>
          <t>P0</t>
        </is>
      </c>
      <c r="M67" s="392" t="inlineStr">
        <is>
          <t>v001</t>
        </is>
      </c>
      <c r="N67" s="392" t="inlineStr">
        <is>
          <t>44.1kHz / OGG Vorbis / stereo</t>
        </is>
      </c>
      <c r="O67" s="392" t="inlineStr">
        <is>
          <t>src/assets/audio/sfx/melee_impact_v001.ogg</t>
        </is>
      </c>
      <c r="P67" s="392" t="inlineStr">
        <is>
          <t>src/assets/audio/sfx/melee_impact.wav; src/音效接入说明.md</t>
        </is>
      </c>
      <c r="Q67" s="392" t="inlineStr">
        <is>
          <t>melee_impact; 近战命中; 打击; 冲击; OGG; Android</t>
        </is>
      </c>
      <c r="R67" s="392">
        <f>LOWER(TRIM(C67)&amp;"|"&amp;TRIM(D67)&amp;"|"&amp;TRIM(E67)&amp;"|"&amp;TRIM(F67)&amp;"|"&amp;TRIM(H67)&amp;"|"&amp;TRIM(I67))</f>
        <v/>
      </c>
      <c r="S67" s="392">
        <f>IF(COUNTIF($R$6:$R$79,R67)&gt;1,"重复","唯一")</f>
        <v/>
      </c>
      <c r="T67" s="392" t="inlineStr">
        <is>
          <t>adef9ec927d3d54967c605bfd3b779237e4f2b2b4430c30b4b656d4a204db8f8</t>
        </is>
      </c>
      <c r="U67" s="392" t="inlineStr">
        <is>
          <t>Codex</t>
        </is>
      </c>
      <c r="V67" s="392" t="n">
        <v>46244</v>
      </c>
      <c r="W67" s="392" t="inlineStr">
        <is>
          <t>原创程序合成母版</t>
        </is>
      </c>
      <c r="X67" s="375" t="inlineStr">
        <is>
          <t>—</t>
        </is>
      </c>
      <c r="Y67" s="392" t="inlineStr">
        <is>
          <t>正式运行OGG；WAV为原创程序合成母版；AudioManager事件=melee_impact；攻击级单次播放，敌人enemy_hit/crit_hit仍逐目标负责材质接触层。</t>
        </is>
      </c>
    </row>
    <row r="68">
      <c r="A68" s="392" t="inlineStr">
        <is>
          <t>AUD-SFX-MELEE-SWING</t>
        </is>
      </c>
      <c r="B68" s="392" t="inlineStr">
        <is>
          <t>近战挥砍空气层音效</t>
        </is>
      </c>
      <c r="C68" s="392" t="inlineStr">
        <is>
          <t>音频</t>
        </is>
      </c>
      <c r="D68" s="392" t="inlineStr">
        <is>
          <t>sfx</t>
        </is>
      </c>
      <c r="E68" s="392" t="inlineStr">
        <is>
          <t>melee_swing</t>
        </is>
      </c>
      <c r="F68" s="392" t="inlineStr">
        <is>
          <t>runtime</t>
        </is>
      </c>
      <c r="G68" s="392" t="n"/>
      <c r="H68" s="392" t="inlineStr">
        <is>
          <t>全局/非空间</t>
        </is>
      </c>
      <c r="I68" s="392" t="inlineStr">
        <is>
          <t>default</t>
        </is>
      </c>
      <c r="J68" s="392" t="inlineStr">
        <is>
          <t>桌面与Android正式运行</t>
        </is>
      </c>
      <c r="K68" s="392" t="inlineStr">
        <is>
          <t>已完成</t>
        </is>
      </c>
      <c r="L68" s="392" t="inlineStr">
        <is>
          <t>P0</t>
        </is>
      </c>
      <c r="M68" s="392" t="inlineStr">
        <is>
          <t>v001</t>
        </is>
      </c>
      <c r="N68" s="392" t="inlineStr">
        <is>
          <t>44.1kHz / OGG Vorbis / stereo</t>
        </is>
      </c>
      <c r="O68" s="392" t="inlineStr">
        <is>
          <t>src/assets/audio/sfx/melee_swing_v001.ogg</t>
        </is>
      </c>
      <c r="P68" s="392" t="inlineStr">
        <is>
          <t>src/assets/audio/sfx/melee_swing.wav; src/音效接入说明.md</t>
        </is>
      </c>
      <c r="Q68" s="392" t="inlineStr">
        <is>
          <t>melee_swing; 近战挥砍; 切风; 空气层; OGG; Android</t>
        </is>
      </c>
      <c r="R68" s="392">
        <f>LOWER(TRIM(C68)&amp;"|"&amp;TRIM(D68)&amp;"|"&amp;TRIM(E68)&amp;"|"&amp;TRIM(F68)&amp;"|"&amp;TRIM(H68)&amp;"|"&amp;TRIM(I68))</f>
        <v/>
      </c>
      <c r="S68" s="392">
        <f>IF(COUNTIF($R$6:$R$79,R68)&gt;1,"重复","唯一")</f>
        <v/>
      </c>
      <c r="T68" s="392" t="inlineStr">
        <is>
          <t>a3deeeeae55f1944ccf5df07167dad6c5cc4ac2869cf7b397383ce9828cfdad4</t>
        </is>
      </c>
      <c r="U68" s="392" t="inlineStr">
        <is>
          <t>Codex</t>
        </is>
      </c>
      <c r="V68" s="392" t="n">
        <v>46244</v>
      </c>
      <c r="W68" s="392" t="inlineStr">
        <is>
          <t>原创程序合成母版</t>
        </is>
      </c>
      <c r="X68" s="375" t="inlineStr">
        <is>
          <t>—</t>
        </is>
      </c>
      <c r="Y68" s="392" t="inlineStr">
        <is>
          <t>正式运行OGG；WAV为原创程序合成母版；AudioManager事件=melee_swing；每段active一次，按连段与武器类型固定调整音高/响度。</t>
        </is>
      </c>
    </row>
    <row r="69">
      <c r="A69" s="392" t="inlineStr">
        <is>
          <t>AUD-SFX-FLASHLIGHT-CHARGE-UP</t>
        </is>
      </c>
      <c r="B69" s="392" t="inlineStr">
        <is>
          <t>手电筒充能音效</t>
        </is>
      </c>
      <c r="C69" s="392" t="inlineStr">
        <is>
          <t>音频</t>
        </is>
      </c>
      <c r="D69" s="392" t="inlineStr">
        <is>
          <t>sfx</t>
        </is>
      </c>
      <c r="E69" s="392" t="inlineStr">
        <is>
          <t>flashlight_charge_up</t>
        </is>
      </c>
      <c r="F69" s="392" t="inlineStr">
        <is>
          <t>runtime</t>
        </is>
      </c>
      <c r="G69" s="392" t="n"/>
      <c r="H69" s="392" t="inlineStr">
        <is>
          <t>全局/非空间</t>
        </is>
      </c>
      <c r="I69" s="392" t="inlineStr">
        <is>
          <t>default</t>
        </is>
      </c>
      <c r="J69" s="392" t="inlineStr">
        <is>
          <t>手电筒系统</t>
        </is>
      </c>
      <c r="K69" s="392" t="inlineStr">
        <is>
          <t>已完成</t>
        </is>
      </c>
      <c r="L69" s="392" t="inlineStr">
        <is>
          <t>P0</t>
        </is>
      </c>
      <c r="M69" s="392" t="inlineStr">
        <is>
          <t>v001</t>
        </is>
      </c>
      <c r="N69" s="392" t="inlineStr">
        <is>
          <t>0.950s；44.1kHz；stereo OGG</t>
        </is>
      </c>
      <c r="O69" s="392" t="inlineStr">
        <is>
          <t>src/assets/audio/sfx/flashlight_charge_up_v001.ogg</t>
        </is>
      </c>
      <c r="P69" s="392" t="inlineStr">
        <is>
          <t>src/assets/audio/sfx/flashlight_charge_up.wav; tools/asset_pipeline/create_flashlight_sfx.py</t>
        </is>
      </c>
      <c r="Q69" s="392" t="inlineStr">
        <is>
          <t>flashlight; charge; 手电筒; 充能</t>
        </is>
      </c>
      <c r="R69" s="392">
        <f>LOWER(TRIM(C69)&amp;"|"&amp;TRIM(D69)&amp;"|"&amp;TRIM(E69)&amp;"|"&amp;TRIM(F69)&amp;"|"&amp;TRIM(H69)&amp;"|"&amp;TRIM(I69))</f>
        <v/>
      </c>
      <c r="S69" s="392">
        <f>IF(COUNTIF($R$6:$R$79,R69)&gt;1,"重复","唯一")</f>
        <v/>
      </c>
      <c r="T69" s="392" t="inlineStr">
        <is>
          <t>eee07c1942c32004dd750f670630d087e3491f5007537ba742cd102032ade878</t>
        </is>
      </c>
      <c r="U69" s="392" t="inlineStr">
        <is>
          <t>Codex</t>
        </is>
      </c>
      <c r="V69" s="392" t="n">
        <v>46247</v>
      </c>
      <c r="W69" s="392" t="inlineStr">
        <is>
          <t>原创程序合成</t>
        </is>
      </c>
      <c r="X69" s="375" t="inlineStr">
        <is>
          <t>—</t>
        </is>
      </c>
      <c r="Y69" s="392" t="inlineStr">
        <is>
          <t>WAV母版；OGG运行；桌面/Android统一路径。
2026-08-30 AST-01规范化（原制作状态：正式接入）</t>
        </is>
      </c>
    </row>
    <row r="70">
      <c r="A70" s="392" t="inlineStr">
        <is>
          <t>AUD-SFX-FLASHLIGHT-DEPLETED</t>
        </is>
      </c>
      <c r="B70" s="392" t="inlineStr">
        <is>
          <t>手电筒耗尽音效</t>
        </is>
      </c>
      <c r="C70" s="392" t="inlineStr">
        <is>
          <t>音频</t>
        </is>
      </c>
      <c r="D70" s="392" t="inlineStr">
        <is>
          <t>sfx</t>
        </is>
      </c>
      <c r="E70" s="392" t="inlineStr">
        <is>
          <t>flashlight_depleted</t>
        </is>
      </c>
      <c r="F70" s="392" t="inlineStr">
        <is>
          <t>runtime</t>
        </is>
      </c>
      <c r="G70" s="392" t="n"/>
      <c r="H70" s="392" t="inlineStr">
        <is>
          <t>全局/非空间</t>
        </is>
      </c>
      <c r="I70" s="392" t="inlineStr">
        <is>
          <t>default</t>
        </is>
      </c>
      <c r="J70" s="392" t="inlineStr">
        <is>
          <t>手电筒系统</t>
        </is>
      </c>
      <c r="K70" s="392" t="inlineStr">
        <is>
          <t>已完成</t>
        </is>
      </c>
      <c r="L70" s="392" t="inlineStr">
        <is>
          <t>P0</t>
        </is>
      </c>
      <c r="M70" s="392" t="inlineStr">
        <is>
          <t>v001</t>
        </is>
      </c>
      <c r="N70" s="392" t="inlineStr">
        <is>
          <t>0.850s；44.1kHz；stereo OGG</t>
        </is>
      </c>
      <c r="O70" s="392" t="inlineStr">
        <is>
          <t>src/assets/audio/sfx/flashlight_depleted_v001.ogg</t>
        </is>
      </c>
      <c r="P70" s="392" t="inlineStr">
        <is>
          <t>src/assets/audio/sfx/flashlight_depleted.wav; tools/asset_pipeline/create_flashlight_sfx.py</t>
        </is>
      </c>
      <c r="Q70" s="392" t="inlineStr">
        <is>
          <t>flashlight; depleted; 手电筒; 耗尽</t>
        </is>
      </c>
      <c r="R70" s="392">
        <f>LOWER(TRIM(C70)&amp;"|"&amp;TRIM(D70)&amp;"|"&amp;TRIM(E70)&amp;"|"&amp;TRIM(F70)&amp;"|"&amp;TRIM(H70)&amp;"|"&amp;TRIM(I70))</f>
        <v/>
      </c>
      <c r="S70" s="392">
        <f>IF(COUNTIF($R$6:$R$79,R70)&gt;1,"重复","唯一")</f>
        <v/>
      </c>
      <c r="T70" s="392" t="inlineStr">
        <is>
          <t>c1aa6d3eb619bd1b714689118442e873af08a05e9ebc64cd56161b96a91fa095</t>
        </is>
      </c>
      <c r="U70" s="392" t="inlineStr">
        <is>
          <t>Codex</t>
        </is>
      </c>
      <c r="V70" s="392" t="n">
        <v>46247</v>
      </c>
      <c r="W70" s="392" t="inlineStr">
        <is>
          <t>原创程序合成</t>
        </is>
      </c>
      <c r="X70" s="375" t="inlineStr">
        <is>
          <t>—</t>
        </is>
      </c>
      <c r="Y70" s="392" t="inlineStr">
        <is>
          <t>WAV母版；OGG运行；桌面/Android统一路径。
2026-08-30 AST-01规范化（原制作状态：正式接入）</t>
        </is>
      </c>
    </row>
    <row r="71">
      <c r="A71" s="392" t="inlineStr">
        <is>
          <t>AUD-SFX-FLASHLIGHT-LOW-BATTERY</t>
        </is>
      </c>
      <c r="B71" s="392" t="inlineStr">
        <is>
          <t>手电筒低电量音效</t>
        </is>
      </c>
      <c r="C71" s="392" t="inlineStr">
        <is>
          <t>音频</t>
        </is>
      </c>
      <c r="D71" s="392" t="inlineStr">
        <is>
          <t>sfx</t>
        </is>
      </c>
      <c r="E71" s="392" t="inlineStr">
        <is>
          <t>flashlight_low_battery</t>
        </is>
      </c>
      <c r="F71" s="392" t="inlineStr">
        <is>
          <t>runtime</t>
        </is>
      </c>
      <c r="G71" s="392" t="n"/>
      <c r="H71" s="392" t="inlineStr">
        <is>
          <t>全局/非空间</t>
        </is>
      </c>
      <c r="I71" s="392" t="inlineStr">
        <is>
          <t>default</t>
        </is>
      </c>
      <c r="J71" s="392" t="inlineStr">
        <is>
          <t>手电筒系统</t>
        </is>
      </c>
      <c r="K71" s="392" t="inlineStr">
        <is>
          <t>已完成</t>
        </is>
      </c>
      <c r="L71" s="392" t="inlineStr">
        <is>
          <t>P0</t>
        </is>
      </c>
      <c r="M71" s="392" t="inlineStr">
        <is>
          <t>v001</t>
        </is>
      </c>
      <c r="N71" s="392" t="inlineStr">
        <is>
          <t>0.650s；44.1kHz；stereo OGG</t>
        </is>
      </c>
      <c r="O71" s="392" t="inlineStr">
        <is>
          <t>src/assets/audio/sfx/flashlight_low_battery_v001.ogg</t>
        </is>
      </c>
      <c r="P71" s="392" t="inlineStr">
        <is>
          <t>src/assets/audio/sfx/flashlight_low_battery.wav; tools/asset_pipeline/create_flashlight_sfx.py</t>
        </is>
      </c>
      <c r="Q71" s="392" t="inlineStr">
        <is>
          <t>flashlight; low battery; 手电筒; 低电量</t>
        </is>
      </c>
      <c r="R71" s="392">
        <f>LOWER(TRIM(C71)&amp;"|"&amp;TRIM(D71)&amp;"|"&amp;TRIM(E71)&amp;"|"&amp;TRIM(F71)&amp;"|"&amp;TRIM(H71)&amp;"|"&amp;TRIM(I71))</f>
        <v/>
      </c>
      <c r="S71" s="392">
        <f>IF(COUNTIF($R$6:$R$79,R71)&gt;1,"重复","唯一")</f>
        <v/>
      </c>
      <c r="T71" s="392" t="inlineStr">
        <is>
          <t>e9fb880d366d90b203569bae843c30bfc02541bd03b16e56a30cbd440b61fb4a</t>
        </is>
      </c>
      <c r="U71" s="392" t="inlineStr">
        <is>
          <t>Codex</t>
        </is>
      </c>
      <c r="V71" s="392" t="n">
        <v>46247</v>
      </c>
      <c r="W71" s="392" t="inlineStr">
        <is>
          <t>原创程序合成</t>
        </is>
      </c>
      <c r="X71" s="375" t="inlineStr">
        <is>
          <t>—</t>
        </is>
      </c>
      <c r="Y71" s="392" t="inlineStr">
        <is>
          <t>WAV母版；OGG运行；桌面/Android统一路径。
2026-08-30 AST-01规范化（原制作状态：正式接入）</t>
        </is>
      </c>
    </row>
    <row r="72">
      <c r="A72" t="inlineStr">
        <is>
          <t>AUD-BGM-BASE-PASSION-A</t>
        </is>
      </c>
      <c r="B72" t="inlineStr">
        <is>
          <t>基地热血激情 BGM A</t>
        </is>
      </c>
      <c r="C72" t="inlineStr">
        <is>
          <t>音频</t>
        </is>
      </c>
      <c r="D72" t="inlineStr">
        <is>
          <t>bgm</t>
        </is>
      </c>
      <c r="E72" t="inlineStr">
        <is>
          <t>base_passion</t>
        </is>
      </c>
      <c r="F72" t="inlineStr">
        <is>
          <t>track_a</t>
        </is>
      </c>
      <c r="H72" t="inlineStr">
        <is>
          <t>不适用</t>
        </is>
      </c>
      <c r="I72" t="inlineStr">
        <is>
          <t>loop</t>
        </is>
      </c>
      <c r="J72" t="inlineStr">
        <is>
          <t>按场景复用</t>
        </is>
      </c>
      <c r="K72" t="inlineStr">
        <is>
          <t>原型已接入</t>
        </is>
      </c>
      <c r="L72" t="inlineStr">
        <is>
          <t>P1</t>
        </is>
      </c>
      <c r="M72" t="inlineStr">
        <is>
          <t>v001</t>
        </is>
      </c>
      <c r="N72" t="inlineStr">
        <is>
          <t>OGG/Vorbis；循环；Music 总线</t>
        </is>
      </c>
      <c r="O72" t="inlineStr">
        <is>
          <t>assets/audio/music/base_passion/base_passion_a_v001.ogg</t>
        </is>
      </c>
      <c r="P72" t="inlineStr">
        <is>
          <t>src/audio/MusicCatalog.gd；docs/v0.1/14.8_音乐系统与配乐资产.md；tests/verification/verify_music_system.tscn</t>
        </is>
      </c>
      <c r="Q72" t="inlineStr">
        <is>
          <t>base_passion track_a</t>
        </is>
      </c>
      <c r="R72">
        <f>LOWER(TRIM(C72)&amp;"|"&amp;TRIM(D72)&amp;"|"&amp;TRIM(E72)&amp;"|"&amp;TRIM(F72)&amp;"|"&amp;TRIM(H72)&amp;"|"&amp;TRIM(I72))</f>
        <v/>
      </c>
      <c r="S72">
        <f>IF(COUNTIF($R$6:$R$79,R72)&gt;1,"重复","唯一")</f>
        <v/>
      </c>
      <c r="T72" t="inlineStr">
        <is>
          <t>e841cd4e93112d1be28859c2431aade46c52dff27165135e9991cdae6fac5967</t>
        </is>
      </c>
      <c r="U72" t="inlineStr">
        <is>
          <t>音频</t>
        </is>
      </c>
      <c r="V72" t="n">
        <v>46264</v>
      </c>
      <c r="W72" t="inlineStr">
        <is>
          <t>Suno.cn 任务 2092992444135116800；商业使用授权须由项目方按生成账户订阅证明复核</t>
        </is>
      </c>
      <c r="X72" s="375" t="inlineStr">
        <is>
          <t>—</t>
        </is>
      </c>
      <c r="Y72" t="inlineStr">
        <is>
          <t>2026-08-30 AST-04：原 MP3 移入 source/ 保留可恢复母版；运行时转码为规范化 OGG v001；asset_guard PASS；MusicCatalog 已迁移；验收 verify_music_system。</t>
        </is>
      </c>
    </row>
    <row r="73">
      <c r="A73" t="inlineStr">
        <is>
          <t>AUD-BGM-BASE-PASSION-B</t>
        </is>
      </c>
      <c r="B73" t="inlineStr">
        <is>
          <t>基地热血激情 BGM B</t>
        </is>
      </c>
      <c r="C73" t="inlineStr">
        <is>
          <t>音频</t>
        </is>
      </c>
      <c r="D73" t="inlineStr">
        <is>
          <t>bgm</t>
        </is>
      </c>
      <c r="E73" t="inlineStr">
        <is>
          <t>base_passion</t>
        </is>
      </c>
      <c r="F73" t="inlineStr">
        <is>
          <t>track_b</t>
        </is>
      </c>
      <c r="H73" t="inlineStr">
        <is>
          <t>不适用</t>
        </is>
      </c>
      <c r="I73" t="inlineStr">
        <is>
          <t>loop</t>
        </is>
      </c>
      <c r="J73" t="inlineStr">
        <is>
          <t>按场景复用</t>
        </is>
      </c>
      <c r="K73" t="inlineStr">
        <is>
          <t>原型已接入</t>
        </is>
      </c>
      <c r="L73" t="inlineStr">
        <is>
          <t>P1</t>
        </is>
      </c>
      <c r="M73" t="inlineStr">
        <is>
          <t>v001</t>
        </is>
      </c>
      <c r="N73" t="inlineStr">
        <is>
          <t>OGG/Vorbis；循环；Music 总线</t>
        </is>
      </c>
      <c r="O73" t="inlineStr">
        <is>
          <t>assets/audio/music/base_passion/base_passion_b_v001.ogg</t>
        </is>
      </c>
      <c r="P73" t="inlineStr">
        <is>
          <t>src/audio/MusicCatalog.gd；docs/v0.1/14.8_音乐系统与配乐资产.md；tests/verification/verify_music_system.tscn</t>
        </is>
      </c>
      <c r="Q73" t="inlineStr">
        <is>
          <t>base_passion track_b</t>
        </is>
      </c>
      <c r="R73">
        <f>LOWER(TRIM(C73)&amp;"|"&amp;TRIM(D73)&amp;"|"&amp;TRIM(E73)&amp;"|"&amp;TRIM(F73)&amp;"|"&amp;TRIM(H73)&amp;"|"&amp;TRIM(I73))</f>
        <v/>
      </c>
      <c r="S73">
        <f>IF(COUNTIF($R$6:$R$79,R73)&gt;1,"重复","唯一")</f>
        <v/>
      </c>
      <c r="T73" t="inlineStr">
        <is>
          <t>4a6c1e9aca3fee17f168fb92be212e14cdf252a155c729fc11763c140aaa230f</t>
        </is>
      </c>
      <c r="U73" t="inlineStr">
        <is>
          <t>音频</t>
        </is>
      </c>
      <c r="V73" t="n">
        <v>46264</v>
      </c>
      <c r="W73" t="inlineStr">
        <is>
          <t>Suno.cn 任务 2092992444135116801；商业使用授权须由项目方按生成账户订阅证明复核</t>
        </is>
      </c>
      <c r="X73" s="375" t="inlineStr">
        <is>
          <t>—</t>
        </is>
      </c>
      <c r="Y73" t="inlineStr">
        <is>
          <t>2026-08-30 AST-04：原 MP3 移入 source/ 保留可恢复母版；运行时转码为规范化 OGG v001；asset_guard PASS；MusicCatalog 已迁移；验收 verify_music_system。</t>
        </is>
      </c>
    </row>
    <row r="74">
      <c r="A74" t="inlineStr">
        <is>
          <t>AUD-BGM-ROOFTOP-RELAX-A</t>
        </is>
      </c>
      <c r="B74" t="inlineStr">
        <is>
          <t>天台放松 BGM A</t>
        </is>
      </c>
      <c r="C74" t="inlineStr">
        <is>
          <t>音频</t>
        </is>
      </c>
      <c r="D74" t="inlineStr">
        <is>
          <t>bgm</t>
        </is>
      </c>
      <c r="E74" t="inlineStr">
        <is>
          <t>rooftop_relax</t>
        </is>
      </c>
      <c r="F74" t="inlineStr">
        <is>
          <t>track_a</t>
        </is>
      </c>
      <c r="H74" t="inlineStr">
        <is>
          <t>不适用</t>
        </is>
      </c>
      <c r="I74" t="inlineStr">
        <is>
          <t>loop</t>
        </is>
      </c>
      <c r="J74" t="inlineStr">
        <is>
          <t>按场景复用</t>
        </is>
      </c>
      <c r="K74" t="inlineStr">
        <is>
          <t>原型已接入</t>
        </is>
      </c>
      <c r="L74" t="inlineStr">
        <is>
          <t>P1</t>
        </is>
      </c>
      <c r="M74" t="inlineStr">
        <is>
          <t>v001</t>
        </is>
      </c>
      <c r="N74" t="inlineStr">
        <is>
          <t>OGG/Vorbis；循环；Music 总线</t>
        </is>
      </c>
      <c r="O74" t="inlineStr">
        <is>
          <t>assets/audio/music/rooftop_relax/rooftop_relax_a_v001.ogg</t>
        </is>
      </c>
      <c r="P74" t="inlineStr">
        <is>
          <t>src/audio/MusicCatalog.gd；docs/v0.1/14.8_音乐系统与配乐资产.md；tests/verification/verify_music_system.tscn</t>
        </is>
      </c>
      <c r="Q74" t="inlineStr">
        <is>
          <t>rooftop_relax track_a</t>
        </is>
      </c>
      <c r="R74">
        <f>LOWER(TRIM(C74)&amp;"|"&amp;TRIM(D74)&amp;"|"&amp;TRIM(E74)&amp;"|"&amp;TRIM(F74)&amp;"|"&amp;TRIM(H74)&amp;"|"&amp;TRIM(I74))</f>
        <v/>
      </c>
      <c r="S74">
        <f>IF(COUNTIF($R$6:$R$79,R74)&gt;1,"重复","唯一")</f>
        <v/>
      </c>
      <c r="T74" t="inlineStr">
        <is>
          <t>370497df60c3ae7ea51beadd897193c4aaddc72eef829aa51ba179d0ba239605</t>
        </is>
      </c>
      <c r="U74" t="inlineStr">
        <is>
          <t>音频</t>
        </is>
      </c>
      <c r="V74" t="n">
        <v>46264</v>
      </c>
      <c r="W74" t="inlineStr">
        <is>
          <t>Suno.cn 任务 2092992535981985792；商业使用授权须由项目方按生成账户订阅证明复核</t>
        </is>
      </c>
      <c r="X74" s="375" t="inlineStr">
        <is>
          <t>—</t>
        </is>
      </c>
      <c r="Y74" t="inlineStr">
        <is>
          <t>2026-08-30 AST-04：原 MP3 移入 source/ 保留可恢复母版；运行时转码为规范化 OGG v001；asset_guard PASS；MusicCatalog 已迁移；验收 verify_music_system。</t>
        </is>
      </c>
    </row>
    <row r="75">
      <c r="A75" t="inlineStr">
        <is>
          <t>AUD-BGM-ROOFTOP-RELAX-B</t>
        </is>
      </c>
      <c r="B75" t="inlineStr">
        <is>
          <t>天台放松 BGM B</t>
        </is>
      </c>
      <c r="C75" t="inlineStr">
        <is>
          <t>音频</t>
        </is>
      </c>
      <c r="D75" t="inlineStr">
        <is>
          <t>bgm</t>
        </is>
      </c>
      <c r="E75" t="inlineStr">
        <is>
          <t>rooftop_relax</t>
        </is>
      </c>
      <c r="F75" t="inlineStr">
        <is>
          <t>track_b</t>
        </is>
      </c>
      <c r="H75" t="inlineStr">
        <is>
          <t>不适用</t>
        </is>
      </c>
      <c r="I75" t="inlineStr">
        <is>
          <t>loop</t>
        </is>
      </c>
      <c r="J75" t="inlineStr">
        <is>
          <t>按场景复用</t>
        </is>
      </c>
      <c r="K75" t="inlineStr">
        <is>
          <t>原型已接入</t>
        </is>
      </c>
      <c r="L75" t="inlineStr">
        <is>
          <t>P1</t>
        </is>
      </c>
      <c r="M75" t="inlineStr">
        <is>
          <t>v001</t>
        </is>
      </c>
      <c r="N75" t="inlineStr">
        <is>
          <t>OGG/Vorbis；循环；Music 总线</t>
        </is>
      </c>
      <c r="O75" t="inlineStr">
        <is>
          <t>assets/audio/music/rooftop_relax/rooftop_relax_b_v001.ogg</t>
        </is>
      </c>
      <c r="P75" t="inlineStr">
        <is>
          <t>src/audio/MusicCatalog.gd；docs/v0.1/14.8_音乐系统与配乐资产.md；tests/verification/verify_music_system.tscn</t>
        </is>
      </c>
      <c r="Q75" t="inlineStr">
        <is>
          <t>rooftop_relax track_b</t>
        </is>
      </c>
      <c r="R75">
        <f>LOWER(TRIM(C75)&amp;"|"&amp;TRIM(D75)&amp;"|"&amp;TRIM(E75)&amp;"|"&amp;TRIM(F75)&amp;"|"&amp;TRIM(H75)&amp;"|"&amp;TRIM(I75))</f>
        <v/>
      </c>
      <c r="S75">
        <f>IF(COUNTIF($R$6:$R$79,R75)&gt;1,"重复","唯一")</f>
        <v/>
      </c>
      <c r="T75" t="inlineStr">
        <is>
          <t>acda8101b0afc82ca9f127284816d0e54ec1e7f7aa5da7d5808a0f7b6dde7505</t>
        </is>
      </c>
      <c r="U75" t="inlineStr">
        <is>
          <t>音频</t>
        </is>
      </c>
      <c r="V75" t="n">
        <v>46264</v>
      </c>
      <c r="W75" t="inlineStr">
        <is>
          <t>Suno.cn 任务 2092992535981985793；商业使用授权须由项目方按生成账户订阅证明复核</t>
        </is>
      </c>
      <c r="X75" s="375" t="inlineStr">
        <is>
          <t>—</t>
        </is>
      </c>
      <c r="Y75" t="inlineStr">
        <is>
          <t>2026-08-30 AST-04：原 MP3 移入 source/ 保留可恢复母版；运行时转码为规范化 OGG v001；asset_guard PASS；MusicCatalog 已迁移；验收 verify_music_system。</t>
        </is>
      </c>
    </row>
    <row r="76">
      <c r="A76" t="inlineStr">
        <is>
          <t>AUD-BGM-DESCENT-SUSPENSE-A</t>
        </is>
      </c>
      <c r="B76" t="inlineStr">
        <is>
          <t>下塔悬疑 BGM A</t>
        </is>
      </c>
      <c r="C76" t="inlineStr">
        <is>
          <t>音频</t>
        </is>
      </c>
      <c r="D76" t="inlineStr">
        <is>
          <t>bgm</t>
        </is>
      </c>
      <c r="E76" t="inlineStr">
        <is>
          <t>descent_suspense</t>
        </is>
      </c>
      <c r="F76" t="inlineStr">
        <is>
          <t>track_a</t>
        </is>
      </c>
      <c r="H76" t="inlineStr">
        <is>
          <t>不适用</t>
        </is>
      </c>
      <c r="I76" t="inlineStr">
        <is>
          <t>loop</t>
        </is>
      </c>
      <c r="J76" t="inlineStr">
        <is>
          <t>按场景复用</t>
        </is>
      </c>
      <c r="K76" t="inlineStr">
        <is>
          <t>原型已接入</t>
        </is>
      </c>
      <c r="L76" t="inlineStr">
        <is>
          <t>P1</t>
        </is>
      </c>
      <c r="M76" t="inlineStr">
        <is>
          <t>v001</t>
        </is>
      </c>
      <c r="N76" t="inlineStr">
        <is>
          <t>OGG/Vorbis；循环；Music 总线</t>
        </is>
      </c>
      <c r="O76" t="inlineStr">
        <is>
          <t>assets/audio/music/descent_suspense/descent_suspense_a_v001.ogg</t>
        </is>
      </c>
      <c r="P76" t="inlineStr">
        <is>
          <t>src/audio/MusicCatalog.gd；docs/v0.1/14.8_音乐系统与配乐资产.md；tests/verification/verify_music_system.tscn</t>
        </is>
      </c>
      <c r="Q76" t="inlineStr">
        <is>
          <t>descent_suspense track_a</t>
        </is>
      </c>
      <c r="R76">
        <f>LOWER(TRIM(C76)&amp;"|"&amp;TRIM(D76)&amp;"|"&amp;TRIM(E76)&amp;"|"&amp;TRIM(F76)&amp;"|"&amp;TRIM(H76)&amp;"|"&amp;TRIM(I76))</f>
        <v/>
      </c>
      <c r="S76">
        <f>IF(COUNTIF($R$6:$R$79,R76)&gt;1,"重复","唯一")</f>
        <v/>
      </c>
      <c r="T76" t="inlineStr">
        <is>
          <t>924de9ddc3c0bc2700fee9c37771a94888c220afd5bd812e8d8b55880da2fa2a</t>
        </is>
      </c>
      <c r="U76" t="inlineStr">
        <is>
          <t>音频</t>
        </is>
      </c>
      <c r="V76" t="n">
        <v>46264</v>
      </c>
      <c r="W76" t="inlineStr">
        <is>
          <t>Suno.cn 任务 2092992639673569280；商业使用授权须由项目方按生成账户订阅证明复核</t>
        </is>
      </c>
      <c r="X76" s="375" t="inlineStr">
        <is>
          <t>—</t>
        </is>
      </c>
      <c r="Y76" t="inlineStr">
        <is>
          <t>2026-08-30 AST-04：原 MP3 移入 source/ 保留可恢复母版；运行时转码为规范化 OGG v001；asset_guard PASS；MusicCatalog 已迁移；验收 verify_music_system。</t>
        </is>
      </c>
    </row>
    <row r="77">
      <c r="A77" t="inlineStr">
        <is>
          <t>AUD-BGM-DESCENT-SUSPENSE-B</t>
        </is>
      </c>
      <c r="B77" t="inlineStr">
        <is>
          <t>下塔悬疑 BGM B</t>
        </is>
      </c>
      <c r="C77" t="inlineStr">
        <is>
          <t>音频</t>
        </is>
      </c>
      <c r="D77" t="inlineStr">
        <is>
          <t>bgm</t>
        </is>
      </c>
      <c r="E77" t="inlineStr">
        <is>
          <t>descent_suspense</t>
        </is>
      </c>
      <c r="F77" t="inlineStr">
        <is>
          <t>track_b</t>
        </is>
      </c>
      <c r="H77" t="inlineStr">
        <is>
          <t>不适用</t>
        </is>
      </c>
      <c r="I77" t="inlineStr">
        <is>
          <t>loop</t>
        </is>
      </c>
      <c r="J77" t="inlineStr">
        <is>
          <t>按场景复用</t>
        </is>
      </c>
      <c r="K77" t="inlineStr">
        <is>
          <t>原型已接入</t>
        </is>
      </c>
      <c r="L77" t="inlineStr">
        <is>
          <t>P1</t>
        </is>
      </c>
      <c r="M77" t="inlineStr">
        <is>
          <t>v001</t>
        </is>
      </c>
      <c r="N77" t="inlineStr">
        <is>
          <t>OGG/Vorbis；循环；Music 总线</t>
        </is>
      </c>
      <c r="O77" t="inlineStr">
        <is>
          <t>assets/audio/music/descent_suspense/descent_suspense_b_v001.ogg</t>
        </is>
      </c>
      <c r="P77" t="inlineStr">
        <is>
          <t>src/audio/MusicCatalog.gd；docs/v0.1/14.8_音乐系统与配乐资产.md；tests/verification/verify_music_system.tscn</t>
        </is>
      </c>
      <c r="Q77" t="inlineStr">
        <is>
          <t>descent_suspense track_b</t>
        </is>
      </c>
      <c r="R77">
        <f>LOWER(TRIM(C77)&amp;"|"&amp;TRIM(D77)&amp;"|"&amp;TRIM(E77)&amp;"|"&amp;TRIM(F77)&amp;"|"&amp;TRIM(H77)&amp;"|"&amp;TRIM(I77))</f>
        <v/>
      </c>
      <c r="S77">
        <f>IF(COUNTIF($R$6:$R$79,R77)&gt;1,"重复","唯一")</f>
        <v/>
      </c>
      <c r="T77" t="inlineStr">
        <is>
          <t>864f0c644af3a88e0e67c0b69154421c39d74081a4774232f65f1467d2b286d4</t>
        </is>
      </c>
      <c r="U77" t="inlineStr">
        <is>
          <t>音频</t>
        </is>
      </c>
      <c r="V77" t="n">
        <v>46264</v>
      </c>
      <c r="W77" t="inlineStr">
        <is>
          <t>Suno.cn 任务 2092992639673569281；商业使用授权须由项目方按生成账户订阅证明复核</t>
        </is>
      </c>
      <c r="X77" s="375" t="inlineStr">
        <is>
          <t>—</t>
        </is>
      </c>
      <c r="Y77" t="inlineStr">
        <is>
          <t>2026-08-30 AST-04：原 MP3 移入 source/ 保留可恢复母版；运行时转码为规范化 OGG v001；asset_guard PASS；MusicCatalog 已迁移；验收 verify_music_system。</t>
        </is>
      </c>
    </row>
    <row r="78">
      <c r="A78" t="inlineStr">
        <is>
          <t>AUD-BGM-BOSS-INTENSE-A</t>
        </is>
      </c>
      <c r="B78" t="inlineStr">
        <is>
          <t>Boss 激战 BGM A</t>
        </is>
      </c>
      <c r="C78" t="inlineStr">
        <is>
          <t>音频</t>
        </is>
      </c>
      <c r="D78" t="inlineStr">
        <is>
          <t>bgm</t>
        </is>
      </c>
      <c r="E78" t="inlineStr">
        <is>
          <t>boss_intense</t>
        </is>
      </c>
      <c r="F78" t="inlineStr">
        <is>
          <t>track_a</t>
        </is>
      </c>
      <c r="H78" t="inlineStr">
        <is>
          <t>不适用</t>
        </is>
      </c>
      <c r="I78" t="inlineStr">
        <is>
          <t>loop</t>
        </is>
      </c>
      <c r="J78" t="inlineStr">
        <is>
          <t>按场景复用</t>
        </is>
      </c>
      <c r="K78" t="inlineStr">
        <is>
          <t>原型已接入</t>
        </is>
      </c>
      <c r="L78" t="inlineStr">
        <is>
          <t>P1</t>
        </is>
      </c>
      <c r="M78" t="inlineStr">
        <is>
          <t>v001</t>
        </is>
      </c>
      <c r="N78" t="inlineStr">
        <is>
          <t>OGG/Vorbis；循环；Music 总线</t>
        </is>
      </c>
      <c r="O78" t="inlineStr">
        <is>
          <t>assets/audio/music/boss_intense/boss_intense_a_v001.ogg</t>
        </is>
      </c>
      <c r="P78" t="inlineStr">
        <is>
          <t>src/audio/MusicCatalog.gd；docs/v0.1/14.8_音乐系统与配乐资产.md；tests/verification/verify_music_system.tscn</t>
        </is>
      </c>
      <c r="Q78" t="inlineStr">
        <is>
          <t>boss_intense track_a</t>
        </is>
      </c>
      <c r="R78">
        <f>LOWER(TRIM(C78)&amp;"|"&amp;TRIM(D78)&amp;"|"&amp;TRIM(E78)&amp;"|"&amp;TRIM(F78)&amp;"|"&amp;TRIM(H78)&amp;"|"&amp;TRIM(I78))</f>
        <v/>
      </c>
      <c r="S78">
        <f>IF(COUNTIF($R$6:$R$79,R78)&gt;1,"重复","唯一")</f>
        <v/>
      </c>
      <c r="T78" t="inlineStr">
        <is>
          <t>55d230a2cf549d656e842650d6120e2da274c6f5903f1e036cab64c8e9a35f5a</t>
        </is>
      </c>
      <c r="U78" t="inlineStr">
        <is>
          <t>音频</t>
        </is>
      </c>
      <c r="V78" t="n">
        <v>46264</v>
      </c>
      <c r="W78" t="inlineStr">
        <is>
          <t>Suno.cn 任务 2092992454658625536；商业使用授权须由项目方按生成账户订阅证明复核</t>
        </is>
      </c>
      <c r="X78" s="375" t="inlineStr">
        <is>
          <t>—</t>
        </is>
      </c>
      <c r="Y78" t="inlineStr">
        <is>
          <t>2026-08-30 AST-04：原 MP3 移入 source/ 保留可恢复母版；运行时转码为规范化 OGG v001；asset_guard PASS；MusicCatalog 已迁移；验收 verify_music_system。</t>
        </is>
      </c>
    </row>
    <row r="79" ht="155" customHeight="1">
      <c r="A79" t="inlineStr">
        <is>
          <t>AUD-BGM-BOSS-INTENSE-B</t>
        </is>
      </c>
      <c r="B79" t="inlineStr">
        <is>
          <t>Boss 激战 BGM B</t>
        </is>
      </c>
      <c r="C79" t="inlineStr">
        <is>
          <t>音频</t>
        </is>
      </c>
      <c r="D79" t="inlineStr">
        <is>
          <t>bgm</t>
        </is>
      </c>
      <c r="E79" t="inlineStr">
        <is>
          <t>boss_intense</t>
        </is>
      </c>
      <c r="F79" t="inlineStr">
        <is>
          <t>track_b</t>
        </is>
      </c>
      <c r="H79" t="inlineStr">
        <is>
          <t>不适用</t>
        </is>
      </c>
      <c r="I79" t="inlineStr">
        <is>
          <t>loop</t>
        </is>
      </c>
      <c r="J79" t="inlineStr">
        <is>
          <t>按场景复用</t>
        </is>
      </c>
      <c r="K79" t="inlineStr">
        <is>
          <t>原型已接入</t>
        </is>
      </c>
      <c r="L79" t="inlineStr">
        <is>
          <t>P1</t>
        </is>
      </c>
      <c r="M79" t="inlineStr">
        <is>
          <t>v001</t>
        </is>
      </c>
      <c r="N79" t="inlineStr">
        <is>
          <t>OGG/Vorbis；循环；Music 总线</t>
        </is>
      </c>
      <c r="O79" t="inlineStr">
        <is>
          <t>assets/audio/music/boss_intense/boss_intense_b_v001.ogg</t>
        </is>
      </c>
      <c r="P79" t="inlineStr">
        <is>
          <t>src/audio/MusicCatalog.gd；docs/v0.1/14.8_音乐系统与配乐资产.md；tests/verification/verify_music_system.tscn</t>
        </is>
      </c>
      <c r="Q79" t="inlineStr">
        <is>
          <t>boss_intense track_b</t>
        </is>
      </c>
      <c r="R79">
        <f>LOWER(TRIM(C79)&amp;"|"&amp;TRIM(D79)&amp;"|"&amp;TRIM(E79)&amp;"|"&amp;TRIM(F79)&amp;"|"&amp;TRIM(H79)&amp;"|"&amp;TRIM(I79))</f>
        <v/>
      </c>
      <c r="S79">
        <f>IF(COUNTIF($R$6:$R$79,R79)&gt;1,"重复","唯一")</f>
        <v/>
      </c>
      <c r="T79" t="inlineStr">
        <is>
          <t>70b13c9c0c1974a4c7bbee53de4cca7b05e8d0f6396f70505b7e8a1105fd6c63</t>
        </is>
      </c>
      <c r="U79" t="inlineStr">
        <is>
          <t>音频</t>
        </is>
      </c>
      <c r="V79" t="n">
        <v>46264</v>
      </c>
      <c r="W79" t="inlineStr">
        <is>
          <t>Suno.cn 任务 2092992454658625537；商业使用授权须由项目方按生成账户订阅证明复核</t>
        </is>
      </c>
      <c r="X79" s="375" t="inlineStr">
        <is>
          <t>—</t>
        </is>
      </c>
      <c r="Y79" t="inlineStr">
        <is>
          <t>2026-08-30 AST-04：原 MP3 移入 source/ 保留可恢复母版；运行时转码为规范化 OGG v001；asset_guard PASS；MusicCatalog 已迁移；验收 verify_music_system。</t>
        </is>
      </c>
    </row>
    <row r="113" ht="155" customHeight="1"/>
    <row r="120" ht="155" customHeight="1"/>
    <row r="123" ht="155" customHeight="1"/>
    <row r="124" ht="34" customHeight="1"/>
    <row r="125" ht="34" customHeight="1"/>
    <row r="126" ht="34" customHeight="1"/>
    <row r="127" ht="34" customHeight="1"/>
    <row r="128" ht="155" customHeight="1"/>
    <row r="129" ht="34" customHeight="1"/>
    <row r="130" ht="34" customHeight="1"/>
    <row r="131" ht="34" customHeight="1"/>
    <row r="132" ht="34" customHeight="1"/>
    <row r="133" ht="34" customHeight="1"/>
    <row r="134" ht="34" customHeight="1"/>
    <row r="135" ht="34" customHeight="1"/>
    <row r="136" ht="34" customHeight="1"/>
    <row r="137" ht="34" customHeight="1"/>
    <row r="138" ht="34" customHeight="1"/>
    <row r="139" ht="34" customHeight="1"/>
    <row r="143" ht="155" customHeight="1"/>
    <row r="146" ht="44" customHeight="1"/>
    <row r="147" ht="44" customHeight="1"/>
    <row r="148" ht="44" customHeight="1"/>
    <row r="149" ht="44" customHeight="1"/>
    <row r="150" ht="44" customHeight="1"/>
    <row r="151" ht="44" customHeight="1"/>
    <row r="152" ht="44" customHeight="1"/>
    <row r="153" ht="44" customHeight="1"/>
    <row r="154" ht="44" customHeight="1"/>
    <row r="155" ht="44" customHeight="1"/>
    <row r="156" ht="132" customHeight="1"/>
    <row r="157" ht="118" customHeight="1"/>
    <row r="158" ht="118" customHeight="1"/>
    <row r="159" ht="118" customHeight="1"/>
    <row r="160" ht="118" customHeight="1"/>
    <row r="161" ht="132" customHeight="1"/>
    <row r="162" ht="132" customHeight="1"/>
    <row r="163" ht="155" customHeight="1"/>
    <row r="164" ht="132" customHeight="1"/>
    <row r="165" ht="132" customHeight="1"/>
    <row r="166" ht="132" customHeight="1"/>
    <row r="167" ht="155" customHeight="1"/>
    <row r="168" ht="220" customHeight="1"/>
    <row r="169" ht="220" customHeight="1"/>
    <row r="172" ht="42" customHeight="1"/>
    <row r="173" ht="42" customHeight="1"/>
    <row r="174" ht="44" customHeight="1"/>
    <row r="175" ht="44" customHeight="1"/>
    <row r="176" ht="44" customHeight="1"/>
    <row r="177" ht="44" customHeight="1"/>
    <row r="178" ht="44" customHeight="1"/>
    <row r="179" ht="44" customHeight="1"/>
    <row r="180" ht="44" customHeight="1"/>
    <row r="181" ht="44" customHeight="1"/>
    <row r="182" ht="44" customHeight="1"/>
    <row r="183" ht="44" customHeight="1"/>
    <row r="184" ht="44" customHeight="1"/>
    <row r="185" ht="44" customHeight="1"/>
    <row r="186" ht="44" customHeight="1"/>
    <row r="187" ht="44" customHeight="1"/>
    <row r="188" ht="44" customHeight="1"/>
    <row r="189" ht="44" customHeight="1"/>
    <row r="190" ht="44" customHeight="1"/>
    <row r="191" ht="44" customHeight="1"/>
    <row r="192" ht="44" customHeight="1"/>
    <row r="193" ht="44" customHeight="1"/>
    <row r="194" ht="44" customHeight="1"/>
    <row r="195" ht="44" customHeight="1"/>
    <row r="196" ht="44" customHeight="1"/>
    <row r="197" ht="44" customHeight="1"/>
    <row r="198" ht="44" customHeight="1"/>
    <row r="199" ht="44" customHeight="1"/>
    <row r="200" ht="44" customHeight="1"/>
    <row r="201" ht="44" customHeight="1"/>
    <row r="202" ht="44" customHeight="1"/>
    <row r="203" ht="44" customHeight="1"/>
    <row r="204" ht="44" customHeight="1"/>
    <row r="240" ht="255" customHeight="1"/>
    <row r="281" ht="66" customHeight="1"/>
    <row r="282" ht="66" customHeight="1"/>
    <row r="283" ht="66" customHeight="1"/>
    <row r="284" ht="66" customHeight="1"/>
    <row r="285" ht="66" customHeight="1"/>
    <row r="286" ht="66" customHeight="1"/>
    <row r="287" ht="56" customHeight="1"/>
    <row r="301" ht="132" customHeight="1"/>
    <row r="302" ht="54" customHeight="1"/>
    <row r="303" ht="54" customHeight="1"/>
    <row r="304" ht="54" customHeight="1"/>
    <row r="305" ht="54" customHeight="1"/>
    <row r="306" ht="54" customHeight="1"/>
    <row r="307" ht="54" customHeight="1"/>
    <row r="308" ht="54" customHeight="1"/>
    <row r="309" ht="54" customHeight="1"/>
    <row r="310" ht="54" customHeight="1"/>
    <row r="311" ht="72" customHeight="1"/>
    <row r="312" ht="54" customHeight="1"/>
    <row r="313" ht="54" customHeight="1"/>
    <row r="314" ht="54" customHeight="1"/>
    <row r="315" ht="54" customHeight="1"/>
    <row r="316" ht="54" customHeight="1"/>
    <row r="317" ht="54" customHeight="1"/>
    <row r="318" ht="54" customHeight="1"/>
    <row r="319" ht="54" customHeight="1"/>
    <row r="320" ht="54" customHeight="1"/>
    <row r="321" ht="54" customHeight="1"/>
    <row r="322" ht="54" customHeight="1"/>
    <row r="323" ht="54" customHeight="1"/>
    <row r="324" ht="54" customHeight="1"/>
    <row r="325" ht="54" customHeight="1"/>
    <row r="326" ht="54" customHeight="1"/>
    <row r="327" ht="54" customHeight="1"/>
    <row r="328" ht="54" customHeight="1"/>
    <row r="329" ht="54" customHeight="1"/>
    <row r="330" ht="54" customHeight="1"/>
    <row r="331" ht="54" customHeight="1"/>
    <row r="332" ht="54" customHeight="1"/>
    <row r="333" ht="54" customHeight="1"/>
    <row r="334" ht="54" customHeight="1"/>
    <row r="335" ht="54" customHeight="1"/>
    <row r="336" ht="54" customHeight="1"/>
    <row r="337" ht="54" customHeight="1"/>
    <row r="338" ht="54" customHeight="1"/>
    <row r="339" ht="54" customHeight="1"/>
    <row r="340" ht="54" customHeight="1"/>
    <row r="341" ht="54" customHeight="1"/>
    <row r="342" ht="54" customHeight="1"/>
    <row r="343" ht="54" customHeight="1"/>
    <row r="344" ht="54" customHeight="1"/>
    <row r="345" ht="54" customHeight="1"/>
    <row r="346" ht="54" customHeight="1"/>
    <row r="347" ht="54" customHeight="1"/>
    <row r="348" ht="54" customHeight="1"/>
    <row r="349" ht="54" customHeight="1"/>
    <row r="350" ht="54" customHeight="1"/>
    <row r="351" ht="54" customHeight="1"/>
    <row r="352" ht="54" customHeight="1"/>
    <row r="353" ht="54" customHeight="1"/>
    <row r="354" ht="54" customHeight="1"/>
    <row r="355" ht="54" customHeight="1"/>
    <row r="356" ht="54" customHeight="1"/>
    <row r="357" ht="54" customHeight="1"/>
    <row r="358" ht="54" customHeight="1"/>
    <row r="359" ht="72" customHeight="1"/>
    <row r="360" ht="54" customHeight="1"/>
    <row r="361" ht="54" customHeight="1"/>
    <row r="362" ht="54" customHeight="1"/>
    <row r="363" ht="54" customHeight="1"/>
    <row r="364" ht="54" customHeight="1"/>
    <row r="365" ht="54" customHeight="1"/>
    <row r="366" ht="54" customHeight="1"/>
    <row r="367" ht="54" customHeight="1"/>
    <row r="368" ht="72" customHeight="1"/>
    <row r="369" ht="54" customHeight="1"/>
    <row r="370" ht="54" customHeight="1"/>
    <row r="371" ht="54" customHeight="1"/>
    <row r="372" ht="54" customHeight="1"/>
    <row r="373" ht="54" customHeight="1"/>
    <row r="374" ht="54" customHeight="1"/>
    <row r="375" ht="54" customHeight="1"/>
    <row r="376" ht="54" customHeight="1"/>
    <row r="377" ht="54" customHeight="1"/>
    <row r="378" ht="54" customHeight="1"/>
    <row r="379" ht="54" customHeight="1"/>
    <row r="380" ht="54" customHeight="1"/>
    <row r="381" ht="54" customHeight="1"/>
    <row r="382" ht="54" customHeight="1"/>
    <row r="383" ht="54" customHeight="1"/>
    <row r="384" ht="54" customHeight="1"/>
    <row r="385" ht="54" customHeight="1"/>
    <row r="386" ht="54" customHeight="1"/>
    <row r="387" ht="54" customHeight="1"/>
    <row r="388" ht="54" customHeight="1"/>
    <row r="389" ht="54" customHeight="1"/>
    <row r="390" ht="54" customHeight="1"/>
    <row r="391" ht="54" customHeight="1"/>
    <row r="392" ht="54" customHeight="1"/>
    <row r="393" ht="54" customHeight="1"/>
    <row r="394" ht="54" customHeight="1"/>
    <row r="395" ht="54" customHeight="1"/>
    <row r="396" ht="54" customHeight="1"/>
    <row r="397" ht="54" customHeight="1"/>
    <row r="398" ht="54" customHeight="1"/>
    <row r="399" ht="54" customHeight="1"/>
    <row r="400" ht="54" customHeight="1"/>
    <row r="401" ht="54" customHeight="1"/>
    <row r="402" ht="54" customHeight="1"/>
    <row r="403" ht="54" customHeight="1"/>
    <row r="404" ht="54" customHeight="1"/>
    <row r="405" ht="54" customHeight="1"/>
    <row r="406" ht="54" customHeight="1"/>
    <row r="407" ht="54" customHeight="1"/>
    <row r="408" ht="54" customHeight="1"/>
    <row r="409" ht="54" customHeight="1"/>
    <row r="410" ht="54" customHeight="1"/>
    <row r="411" ht="54" customHeight="1"/>
    <row r="412" ht="54" customHeight="1"/>
    <row r="413" ht="76" customHeight="1"/>
    <row r="414" ht="72" customHeight="1"/>
    <row r="415" ht="72" customHeight="1"/>
    <row r="416" ht="72" customHeight="1"/>
    <row r="424" ht="85" customHeight="1"/>
    <row r="425" ht="85" customHeight="1"/>
    <row r="426" ht="85" customHeight="1"/>
    <row r="427" ht="85" customHeight="1"/>
    <row r="429" ht="120" customHeight="1"/>
  </sheetData>
  <autoFilter ref="A5:X79"/>
  <mergeCells count="2">
    <mergeCell ref="A1:X2"/>
    <mergeCell ref="A3:X3"/>
  </mergeCells>
  <conditionalFormatting sqref="S6:S79">
    <cfRule type="containsText" priority="1" operator="containsText" dxfId="0" text="重复"/>
  </conditionalFormatting>
  <conditionalFormatting sqref="K6:K79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79" showDropDown="0" showInputMessage="0" showErrorMessage="0" allowBlank="1" type="list">
      <formula1>"角色,敌人,武器,道具,场景,场景道具,基地资产包,UI,特效,音频"</formula1>
    </dataValidation>
    <dataValidation sqref="K6:K79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sqref="L6:L79" showDropDown="0" showInputMessage="0" showErrorMessage="0" allowBlank="1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8" customWidth="1" min="4" max="4"/>
    <col width="70" customWidth="1" min="5" max="5"/>
    <col width="48" customWidth="1" min="6" max="6"/>
    <col width="12" customWidth="1" min="7" max="7"/>
  </cols>
  <sheetData>
    <row r="1">
      <c r="A1" s="317" t="inlineStr">
        <is>
          <t>表现资源账本变更日志</t>
        </is>
      </c>
    </row>
    <row r="2"/>
    <row r="3">
      <c r="A3" s="318" t="inlineStr">
        <is>
          <t>只记录本账本的域内变更；跨域与全局变更记录在主账本《版本记录》</t>
        </is>
      </c>
    </row>
    <row r="5">
      <c r="A5" s="298" t="inlineStr">
        <is>
          <t>台账版本</t>
        </is>
      </c>
      <c r="B5" s="298" t="inlineStr">
        <is>
          <t>日期</t>
        </is>
      </c>
      <c r="C5" s="298" t="inlineStr">
        <is>
          <t>变更类型</t>
        </is>
      </c>
      <c r="D5" s="298" t="inlineStr">
        <is>
          <t>范围</t>
        </is>
      </c>
      <c r="E5" s="298" t="inlineStr">
        <is>
          <t>说明</t>
        </is>
      </c>
      <c r="F5" s="298" t="inlineStr">
        <is>
          <t>兼容性</t>
        </is>
      </c>
      <c r="G5" s="298" t="inlineStr">
        <is>
          <t>负责人</t>
        </is>
      </c>
    </row>
    <row r="6" ht="46" customHeight="1">
      <c r="A6" s="301" t="inlineStr">
        <is>
          <t>v0.1.0</t>
        </is>
      </c>
      <c r="B6" s="301" t="inlineStr">
        <is>
          <t>2026-09-18</t>
        </is>
      </c>
      <c r="C6" s="301" t="inlineStr">
        <is>
          <t>分账本建立</t>
        </is>
      </c>
      <c r="D6" s="301" t="inlineStr">
        <is>
          <t>表现资源</t>
        </is>
      </c>
      <c r="E6" s="301" t="inlineStr">
        <is>
          <t>由单体账本《ShellStorm2_美术资产台账_v001.xlsx》按大类拆分而来；本账本接管大类=UI / 音频，条目内容逐格不变，仅登记位置变化。</t>
        </is>
      </c>
      <c r="F6" s="301" t="inlineStr">
        <is>
          <t>资产条目、AssetID、路径与哈希全部不变；只换文件。旧引用可用 scripts/ledger_registry.py 解析。</t>
        </is>
      </c>
      <c r="G6" s="301" t="inlineStr">
        <is>
          <t>摩斯拉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2026-09-18T02:30:04Z</dcterms:created>
  <dcterms:modified xsi:type="dcterms:W3CDTF">2026-09-18T02:30:05Z</dcterms:modified>
</cp:coreProperties>
</file>