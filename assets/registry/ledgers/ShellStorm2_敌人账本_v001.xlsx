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敌人动画与状态" sheetId="4" state="visible" r:id="rId4"/>
    <sheet name="3D-敌人" sheetId="5" state="visible" r:id="rId5"/>
    <sheet name="域变更日志" sheetId="6" state="visible" r:id="rId6"/>
  </sheets>
  <definedNames>
    <definedName name="_xlnm._FilterDatabase" localSheetId="2" hidden="1">'资产主表'!$A$5:$X$17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31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18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/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/>
      <top/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15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17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37" min="1" max="1"/>
    <col width="16.71" customWidth="1" style="37" min="2" max="3"/>
    <col width="3.58" customWidth="1" style="37" min="4" max="4"/>
    <col width="9.550000000000001" customWidth="1" style="37" min="5" max="5"/>
    <col width="35.81" customWidth="1" style="37" min="6" max="6"/>
    <col width="50.13" customWidth="1" style="37" min="7" max="7"/>
    <col width="3.58" customWidth="1" style="37" min="8" max="8"/>
    <col width="25.07" customWidth="1" style="37" min="9" max="10"/>
  </cols>
  <sheetData>
    <row r="1" ht="24.75" customHeight="1" s="38">
      <c r="A1" s="39" t="inlineStr">
        <is>
          <t>SHELLSTORM 2 · 敌人美术账本 v0.1</t>
        </is>
      </c>
    </row>
    <row r="2" ht="12" customHeight="1" s="38"/>
    <row r="3" ht="22.5" customHeight="1" s="38">
      <c r="A3" s="40" t="inlineStr">
        <is>
          <t>归属域=敌人｜覆盖大类=敌人｜AssetID 前缀=ENM｜主账本（总目录）=assets/registry/ShellStorm2_美术资产台账_v001.xlsx；本账本可独立并行编辑，跨域契约见主账本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</row>
    <row r="5" ht="27.6" customHeight="1" s="38">
      <c r="A5" s="42" t="inlineStr">
        <is>
          <t>资产总数</t>
        </is>
      </c>
      <c r="B5" s="42" t="n"/>
      <c r="C5" s="42" t="inlineStr">
        <is>
          <t>已完成/已接入</t>
        </is>
      </c>
      <c r="D5" s="42" t="n"/>
      <c r="E5" s="42" t="inlineStr">
        <is>
          <t>待制作/程序占位</t>
        </is>
      </c>
      <c r="F5" s="42" t="n"/>
      <c r="G5" s="42" t="inlineStr">
        <is>
          <t>重复警报</t>
        </is>
      </c>
      <c r="H5" s="42" t="n"/>
      <c r="I5" s="42" t="inlineStr">
        <is>
          <t>域内专表 / 3D Prefab 分页</t>
        </is>
      </c>
      <c r="J5" s="42" t="n"/>
    </row>
    <row r="6" ht="42" customHeight="1" s="38">
      <c r="A6" s="43">
        <f>COUNTA('资产主表'!$A$6:$A$17)</f>
        <v/>
      </c>
      <c r="B6" s="41" t="n"/>
      <c r="C6" s="43">
        <f>COUNTIF('资产主表'!$K$6:$K$17,"已完成")+COUNTIF('资产主表'!$K$6:$K$17,"原型已接入")+COUNTIF('资产主表'!$K$6:$K$17,"正式美术已接入")+COUNTIF('资产主表'!$K$6:$K$17,"已优化并正式接入")+COUNTIF('资产主表'!$K$6:$K$17,"Blender源已完成")+COUNTIF('资产主表'!$K$6:$K$17,"已导入；优化完成")+COUNTIF('资产主表'!$K$6:$K$17,"白模源已完成；QA PASS")</f>
        <v/>
      </c>
      <c r="D6" s="41" t="n"/>
      <c r="E6" s="43">
        <f>COUNTIF('资产主表'!$K$6:$K$17,"待制作")+COUNTIF('资产主表'!$K$6:$K$17,"程序占位")</f>
        <v/>
      </c>
      <c r="F6" s="41" t="n"/>
      <c r="G6" s="43">
        <f>COUNTIF('资产主表'!$S$6:$S$17,"重复")</f>
        <v/>
      </c>
      <c r="H6" s="41" t="n"/>
      <c r="I6" s="42" t="inlineStr">
        <is>
          <t>域内专表：敌人动画与状态 / 3D-敌人　|　3D Prefab 分页：3D-敌人</t>
        </is>
      </c>
    </row>
    <row r="7" ht="15" customHeight="1" s="38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  <c r="J7" s="41" t="n"/>
    </row>
    <row r="8" ht="15" customHeight="1" s="38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  <c r="J8" s="41" t="n"/>
    </row>
    <row r="9" ht="31.5" customHeight="1" s="38">
      <c r="A9" s="44" t="inlineStr">
        <is>
          <t>大类</t>
        </is>
      </c>
      <c r="B9" s="44" t="inlineStr">
        <is>
          <t>资产数</t>
        </is>
      </c>
      <c r="C9" s="44" t="inlineStr">
        <is>
          <t>完成/接入</t>
        </is>
      </c>
      <c r="D9" s="44" t="n"/>
      <c r="E9" s="45" t="inlineStr">
        <is>
          <t>本账本只登记上列大类；跨域搬运资产须同步主账本《分类与编码》并重跑门禁</t>
        </is>
      </c>
      <c r="F9" s="46" t="n"/>
      <c r="G9" s="46" t="n"/>
      <c r="H9" s="46" t="n"/>
      <c r="I9" s="46" t="n"/>
      <c r="J9" s="47" t="n"/>
    </row>
    <row r="10" ht="21.75" customHeight="1" s="38">
      <c r="A10" s="48" t="inlineStr">
        <is>
          <t>敌人</t>
        </is>
      </c>
      <c r="B10" s="48">
        <f>COUNTIF('资产主表'!$C$6:$C$17,A10)</f>
        <v/>
      </c>
      <c r="C10" s="48">
        <f>SUMPRODUCT(('资产主表'!$C$6:$C$17=A10)*(('资产主表'!$K$6:$K$17="已完成")+('资产主表'!$K$6:$K$17="原型已接入")+('资产主表'!$K$6:$K$17="正式美术已接入")+('资产主表'!$K$6:$K$17="已优化并正式接入")+('资产主表'!$K$6:$K$17="Blender源已完成")+('资产主表'!$K$6:$K$17="已导入；优化完成")+('资产主表'!$K$6:$K$17="白模源已完成；QA PASS")))</f>
        <v/>
      </c>
      <c r="D10" s="48" t="n"/>
      <c r="E10" s="48" t="n"/>
      <c r="F10" s="48" t="n"/>
      <c r="G10" s="48" t="n"/>
      <c r="H10" s="48" t="n"/>
      <c r="I10" s="48" t="n"/>
      <c r="J10" s="48" t="n"/>
    </row>
    <row r="11" ht="15" customHeight="1" s="38">
      <c r="A11" s="44" t="inlineStr">
        <is>
          <t>合计</t>
        </is>
      </c>
      <c r="B11" s="44">
        <f>COUNTIF('资产主表'!$C$6:$C$17,A11)</f>
        <v/>
      </c>
      <c r="C11" s="44">
        <f>SUMPRODUCT(('资产主表'!$C$6:$C$17=A11)*(('资产主表'!$K$6:$K$17="已完成")+('资产主表'!$K$6:$K$17="原型已接入")+('资产主表'!$K$6:$K$17="正式美术已接入")+('资产主表'!$K$6:$K$17="已优化并正式接入")+('资产主表'!$K$6:$K$17="Blender源已完成")+('资产主表'!$K$6:$K$17="已导入；优化完成")+('资产主表'!$K$6:$K$17="白模源已完成；QA PASS")))</f>
        <v/>
      </c>
      <c r="D11" s="44" t="n"/>
      <c r="E11" s="44" t="n"/>
      <c r="F11" s="44" t="n"/>
      <c r="G11" s="44" t="n"/>
      <c r="H11" s="44" t="n"/>
      <c r="I11" s="44" t="n"/>
      <c r="J11" s="44" t="n"/>
    </row>
    <row r="12" ht="15" customHeight="1" s="38">
      <c r="A12" s="49" t="n"/>
      <c r="B12" s="49" t="n"/>
      <c r="C12" s="49" t="n"/>
      <c r="D12" s="41" t="n"/>
      <c r="E12" s="50" t="n"/>
      <c r="F12" s="49" t="n"/>
      <c r="G12" s="49" t="n"/>
      <c r="H12" s="41" t="n"/>
      <c r="I12" s="41" t="n"/>
      <c r="J12" s="41" t="n"/>
    </row>
    <row r="13" ht="15" customHeight="1" s="38">
      <c r="A13" s="51" t="inlineStr">
        <is>
          <t>域内 3D Prefab 分页统计（快照口径与本账本分页一致；权威清单在各分页表）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3" t="n"/>
    </row>
    <row r="14" ht="39.55" customHeight="1" s="38">
      <c r="A14" s="42" t="inlineStr">
        <is>
          <t>分页</t>
        </is>
      </c>
      <c r="B14" s="54" t="inlineStr">
        <is>
          <t>Prefab 数</t>
        </is>
      </c>
      <c r="C14" s="42" t="inlineStr">
        <is>
          <t>直接引用 GLB</t>
        </is>
      </c>
      <c r="D14" s="42" t="inlineStr">
        <is>
          <t>有功能脚本</t>
        </is>
      </c>
      <c r="E14" s="42" t="inlineStr">
        <is>
          <t>碰撞开启</t>
        </is>
      </c>
      <c r="F14" s="42" t="inlineStr">
        <is>
          <t>说明</t>
        </is>
      </c>
      <c r="G14" s="49" t="n"/>
      <c r="H14" s="41" t="n"/>
      <c r="I14" s="41" t="n"/>
      <c r="J14" s="41" t="n"/>
    </row>
    <row r="15" ht="15" customHeight="1" s="38">
      <c r="A15" s="55" t="inlineStr">
        <is>
          <t>3D-敌人</t>
        </is>
      </c>
      <c r="B15" s="48">
        <f>COUNTA('3D-敌人'!$A$5:$A$204)</f>
        <v/>
      </c>
      <c r="C15" s="48">
        <f>COUNTIF('3D-敌人'!$D$5:$D$204,"&lt;&gt;")</f>
        <v/>
      </c>
      <c r="D15" s="48">
        <f>COUNTIF('3D-敌人'!$G$5:$G$204,"&lt;&gt;")</f>
        <v/>
      </c>
      <c r="E15" s="48">
        <f>COUNTIF('3D-敌人'!$H$5:$H$204,"开")</f>
        <v/>
      </c>
      <c r="F15" s="48" t="inlineStr">
        <is>
          <t>一行 = 一个实际存在的 Godot PackedScene</t>
        </is>
      </c>
      <c r="G15" s="48" t="n"/>
      <c r="H15" s="48" t="n"/>
      <c r="I15" s="48" t="n"/>
      <c r="J15" s="48" t="n"/>
    </row>
    <row r="16" ht="15" customHeight="1" s="38">
      <c r="A16" s="44" t="inlineStr">
        <is>
          <t>合计</t>
        </is>
      </c>
      <c r="B16" s="44">
        <f>SUM(B15)</f>
        <v/>
      </c>
      <c r="C16" s="44">
        <f>SUM(C15)</f>
        <v/>
      </c>
      <c r="D16" s="44">
        <f>SUM(D15)</f>
        <v/>
      </c>
      <c r="E16" s="44">
        <f>SUM(E15)</f>
        <v/>
      </c>
      <c r="F16" s="44" t="n"/>
      <c r="G16" s="44" t="n"/>
      <c r="H16" s="44" t="n"/>
      <c r="I16" s="44" t="n"/>
      <c r="J16" s="44" t="n"/>
    </row>
    <row r="17" ht="15" customHeight="1" s="38">
      <c r="A17" s="49" t="n"/>
      <c r="B17" s="49" t="n"/>
      <c r="C17" s="49" t="n"/>
      <c r="D17" s="41" t="n"/>
      <c r="E17" s="41" t="n"/>
      <c r="F17" s="41" t="n"/>
      <c r="G17" s="41" t="n"/>
      <c r="H17" s="41" t="n"/>
      <c r="I17" s="41" t="n"/>
      <c r="J17" s="41" t="n"/>
    </row>
    <row r="18" ht="15" customHeight="1" s="38">
      <c r="A18" s="49" t="n"/>
      <c r="B18" s="49" t="n"/>
      <c r="C18" s="49" t="n"/>
      <c r="D18" s="41" t="n"/>
      <c r="E18" s="41" t="n"/>
      <c r="F18" s="41" t="n"/>
      <c r="G18" s="41" t="n"/>
      <c r="H18" s="41" t="n"/>
      <c r="I18" s="41" t="n"/>
      <c r="J18" s="41" t="n"/>
    </row>
    <row r="19" ht="15" customHeight="1" s="38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</row>
    <row r="20" ht="15" customHeight="1" s="38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  <c r="J20" s="4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37" min="1" max="1"/>
    <col width="74" customWidth="1" style="37" min="2" max="2"/>
    <col width="40.58" customWidth="1" style="37" min="3" max="3"/>
    <col width="28.65" customWidth="1" style="37" min="4" max="6"/>
  </cols>
  <sheetData>
    <row r="1" ht="15" customHeight="1" s="38">
      <c r="A1" s="56" t="inlineStr">
        <is>
          <t>本账本说明 · 敌人</t>
        </is>
      </c>
    </row>
    <row r="2" ht="15" customHeight="1" s="38"/>
    <row r="3" ht="15" customHeight="1" s="38">
      <c r="A3" s="40" t="inlineStr">
        <is>
          <t>本表是分账本自描述；机器可读真源为 assets/registry/ledger_index.json，二者不一致时以 JSON 为准</t>
        </is>
      </c>
    </row>
    <row r="5" ht="15" customHeight="1" s="38">
      <c r="A5" s="44" t="inlineStr">
        <is>
          <t>项</t>
        </is>
      </c>
      <c r="B5" s="44" t="inlineStr">
        <is>
          <t>值</t>
        </is>
      </c>
      <c r="C5" s="44" t="n"/>
      <c r="D5" s="44" t="n"/>
      <c r="E5" s="44" t="n"/>
      <c r="F5" s="44" t="n"/>
    </row>
    <row r="6" ht="30" customHeight="1" s="38">
      <c r="A6" s="48" t="inlineStr">
        <is>
          <t>账本归属域</t>
        </is>
      </c>
      <c r="B6" s="48" t="inlineStr">
        <is>
          <t>敌人</t>
        </is>
      </c>
      <c r="C6" s="48" t="n"/>
      <c r="D6" s="48" t="n"/>
      <c r="E6" s="48" t="n"/>
      <c r="F6" s="48" t="n"/>
    </row>
    <row r="7" ht="30" customHeight="1" s="38">
      <c r="A7" s="48" t="inlineStr">
        <is>
          <t>分账本文件</t>
        </is>
      </c>
      <c r="B7" s="55" t="inlineStr">
        <is>
          <t>assets/registry/ledgers/ShellStorm2_敌人账本_v001.xlsx</t>
        </is>
      </c>
      <c r="C7" s="48" t="n"/>
      <c r="D7" s="48" t="n"/>
      <c r="E7" s="48" t="n"/>
      <c r="F7" s="48" t="n"/>
    </row>
    <row r="8" ht="30" customHeight="1" s="38">
      <c r="A8" s="48" t="inlineStr">
        <is>
          <t>覆盖大类</t>
        </is>
      </c>
      <c r="B8" s="48" t="inlineStr">
        <is>
          <t>敌人</t>
        </is>
      </c>
      <c r="C8" s="48" t="n"/>
      <c r="D8" s="48" t="n"/>
      <c r="E8" s="48" t="n"/>
      <c r="F8" s="48" t="n"/>
    </row>
    <row r="9" ht="30" customHeight="1" s="38">
      <c r="A9" s="55" t="inlineStr">
        <is>
          <t>AssetID 前缀</t>
        </is>
      </c>
      <c r="B9" s="55" t="inlineStr">
        <is>
          <t>ENM</t>
        </is>
      </c>
      <c r="C9" s="48" t="n"/>
      <c r="D9" s="48" t="n"/>
      <c r="E9" s="48" t="n"/>
      <c r="F9" s="48" t="n"/>
    </row>
    <row r="10" ht="30" customHeight="1" s="38">
      <c r="A10" s="48" t="inlineStr">
        <is>
          <t>域内专表</t>
        </is>
      </c>
      <c r="B10" s="48" t="inlineStr">
        <is>
          <t>敌人动画与状态 / 3D-敌人</t>
        </is>
      </c>
      <c r="C10" s="48" t="n"/>
      <c r="D10" s="48" t="n"/>
      <c r="E10" s="48" t="n"/>
      <c r="F10" s="48" t="n"/>
    </row>
    <row r="11" ht="30" customHeight="1" s="38">
      <c r="A11" s="55" t="inlineStr">
        <is>
          <t>3D Prefab 分页</t>
        </is>
      </c>
      <c r="B11" s="55" t="inlineStr">
        <is>
          <t>3D-敌人</t>
        </is>
      </c>
      <c r="C11" s="48" t="n"/>
      <c r="D11" s="48" t="n"/>
      <c r="E11" s="48" t="n"/>
      <c r="F11" s="48" t="n"/>
    </row>
    <row r="12" ht="30" customHeight="1" s="38">
      <c r="A12" s="48" t="inlineStr">
        <is>
          <t>动画登记表</t>
        </is>
      </c>
      <c r="B12" s="48" t="inlineStr">
        <is>
          <t>敌人动画与状态</t>
        </is>
      </c>
      <c r="C12" s="48" t="n"/>
      <c r="D12" s="48" t="n"/>
      <c r="E12" s="48" t="n"/>
      <c r="F12" s="48" t="n"/>
    </row>
    <row r="13" ht="30" customHeight="1" s="38">
      <c r="A13" s="48" t="inlineStr">
        <is>
          <t>主账本（总目录）</t>
        </is>
      </c>
      <c r="B13" s="55" t="inlineStr">
        <is>
          <t>assets/registry/ShellStorm2_美术资产台账_v001.xlsx</t>
        </is>
      </c>
      <c r="C13" s="48" t="n"/>
      <c r="D13" s="48" t="n"/>
      <c r="E13" s="48" t="n"/>
      <c r="F13" s="48" t="n"/>
    </row>
    <row r="14" ht="30" customHeight="1" s="38">
      <c r="A14" s="48" t="inlineStr">
        <is>
          <t>跨域契约</t>
        </is>
      </c>
      <c r="B14" s="48" t="inlineStr">
        <is>
          <t>分类与编码 / 命名与查重 / 版本记录 / Skill 清单 / 3D Prefab 总控 —— 全部只在主账本维护</t>
        </is>
      </c>
      <c r="C14" s="48" t="n"/>
      <c r="D14" s="48" t="n"/>
      <c r="E14" s="48" t="n"/>
      <c r="F14" s="48" t="n"/>
    </row>
    <row r="15" ht="30" customHeight="1" s="38">
      <c r="A15" s="48" t="inlineStr">
        <is>
          <t>首选制作 Skill</t>
        </is>
      </c>
      <c r="B15" s="55" t="inlineStr">
        <is>
          <t>game-character-model-pipeline</t>
        </is>
      </c>
      <c r="C15" s="48" t="n"/>
      <c r="D15" s="48" t="n"/>
      <c r="E15" s="48" t="n"/>
      <c r="F15" s="48" t="n"/>
    </row>
    <row r="16" ht="30" customHeight="1" s="38">
      <c r="A16" s="48" t="inlineStr">
        <is>
          <t>协作 Skill</t>
        </is>
      </c>
      <c r="B16" s="48" t="inlineStr">
        <is>
          <t>无</t>
        </is>
      </c>
      <c r="C16" s="48" t="n"/>
      <c r="D16" s="48" t="n"/>
      <c r="E16" s="48" t="n"/>
      <c r="F16" s="48" t="n"/>
    </row>
    <row r="17" ht="30" customHeight="1" s="38">
      <c r="A17" s="48" t="inlineStr">
        <is>
          <t>负责人</t>
        </is>
      </c>
      <c r="B17" s="48" t="inlineStr">
        <is>
          <t>待分配</t>
        </is>
      </c>
      <c r="C17" s="48" t="n"/>
      <c r="D17" s="48" t="n"/>
      <c r="E17" s="48" t="n"/>
      <c r="F17" s="48" t="n"/>
    </row>
    <row r="18" ht="30" customHeight="1" s="38">
      <c r="A18" s="48" t="inlineStr">
        <is>
          <t>登记范围</t>
        </is>
      </c>
      <c r="B18" s="48" t="inlineStr">
        <is>
          <t>普通怪七类原型、12只精英与Boss的独立表现包、共用生态根，以及怪物动作/状态清单。动画随怪物同账本。</t>
        </is>
      </c>
      <c r="C18" s="48" t="n"/>
      <c r="D18" s="48" t="n"/>
      <c r="E18" s="48" t="n"/>
      <c r="F18" s="48" t="n"/>
    </row>
    <row r="19" ht="30" customHeight="1" s="38">
      <c r="A19" s="48" t="inlineStr">
        <is>
          <t>编辑边界</t>
        </is>
      </c>
      <c r="B19" s="4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48" t="n"/>
      <c r="D19" s="48" t="n"/>
      <c r="E19" s="48" t="n"/>
      <c r="F19" s="48" t="n"/>
    </row>
    <row r="20" ht="30" customHeight="1" s="38">
      <c r="A20" s="48" t="inlineStr">
        <is>
          <t>登记口径</t>
        </is>
      </c>
      <c r="B20" s="4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48" t="n"/>
      <c r="D20" s="48" t="n"/>
      <c r="E20" s="48" t="n"/>
      <c r="F20" s="48" t="n"/>
    </row>
    <row r="21" ht="30" customHeight="1" s="38">
      <c r="A21" s="48" t="inlineStr">
        <is>
          <t>门禁</t>
        </is>
      </c>
      <c r="B21" s="55" t="inlineStr">
        <is>
          <t>python3 scripts/check_asset_registry.py --scope structure（需 venv python + openpyxl，且在 /tmp 下跑）</t>
        </is>
      </c>
      <c r="C21" s="48" t="n"/>
      <c r="D21" s="48" t="n"/>
      <c r="E21" s="48" t="n"/>
      <c r="F21" s="48" t="n"/>
    </row>
    <row r="22" ht="30" customHeight="1" s="38">
      <c r="A22" s="48" t="inlineStr">
        <is>
          <t>无损基线</t>
        </is>
      </c>
      <c r="B22" s="55" t="inlineStr">
        <is>
          <t>assets/registry/ledger_split_baseline.json；python3 tools/asset_pipeline/verify_ledger_split.py 断言并集与拆分前逐格一致</t>
        </is>
      </c>
      <c r="C22" s="48" t="n"/>
      <c r="D22" s="48" t="n"/>
      <c r="E22" s="48" t="n"/>
      <c r="F22" s="48" t="n"/>
    </row>
    <row r="23" ht="30" customHeight="1" s="38">
      <c r="A23" s="48" t="inlineStr">
        <is>
          <t>快照日期</t>
        </is>
      </c>
      <c r="B23" s="55" t="inlineStr">
        <is>
          <t>2026-09-18</t>
        </is>
      </c>
      <c r="C23" s="48" t="n"/>
      <c r="D23" s="48" t="n"/>
      <c r="E23" s="48" t="n"/>
      <c r="F23" s="4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37" min="1" max="1"/>
    <col width="21.48" customWidth="1" style="37" min="2" max="2"/>
    <col width="11.94" customWidth="1" style="37" min="3" max="3"/>
    <col width="21.48" customWidth="1" style="37" min="4" max="4"/>
    <col width="26.26" customWidth="1" style="37" min="5" max="5"/>
    <col width="14.33" customWidth="1" style="37" min="6" max="6"/>
    <col width="29.84" customWidth="1" style="37" min="7" max="7"/>
    <col width="22.68" customWidth="1" style="37" min="8" max="8"/>
    <col width="17.9" customWidth="1" style="37" min="9" max="9"/>
    <col width="21.48" customWidth="1" style="37" min="10" max="10"/>
    <col width="14.33" customWidth="1" style="37" min="11" max="11"/>
    <col width="9.550000000000001" customWidth="1" style="37" min="12" max="12"/>
    <col width="10.74" customWidth="1" style="37" min="13" max="13"/>
    <col width="19.1" customWidth="1" style="37" min="14" max="14"/>
    <col width="42.97" customWidth="1" style="37" min="15" max="15"/>
    <col width="40.58" customWidth="1" style="37" min="16" max="16"/>
    <col width="31.03" customWidth="1" style="37" min="17" max="17"/>
    <col width="50.13" customWidth="1" style="37" min="18" max="18"/>
    <col width="14.33" customWidth="1" style="37" min="19" max="19"/>
    <col width="35.81" customWidth="1" style="37" min="20" max="20"/>
    <col width="14.33" customWidth="1" style="37" min="21" max="21"/>
    <col width="15.51" customWidth="1" style="37" min="22" max="22"/>
    <col width="19.1" customWidth="1" style="37" min="23" max="23"/>
    <col width="62.06" customWidth="1" style="37" min="24" max="24"/>
  </cols>
  <sheetData>
    <row r="1" ht="24.75" customHeight="1" s="38">
      <c r="A1" s="56" t="inlineStr">
        <is>
          <t>资产主表 · 唯一登记源</t>
        </is>
      </c>
    </row>
    <row r="2" ht="12" customHeight="1" s="38"/>
    <row r="3" ht="22.5" customHeight="1" s="38">
      <c r="A3" s="40" t="inlineStr">
        <is>
          <t>查重键由公式生成；S 列出现“重复”时禁止制作，先合并或建立变体父子关系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Y4" s="41" t="n"/>
    </row>
    <row r="5" ht="31.5" customHeight="1" s="38">
      <c r="A5" s="57" t="inlineStr">
        <is>
          <t>AssetID</t>
        </is>
      </c>
      <c r="B5" s="58" t="inlineStr">
        <is>
          <t>中文名</t>
        </is>
      </c>
      <c r="C5" s="58" t="inlineStr">
        <is>
          <t>大类</t>
        </is>
      </c>
      <c r="D5" s="58" t="inlineStr">
        <is>
          <t>子类</t>
        </is>
      </c>
      <c r="E5" s="58" t="inlineStr">
        <is>
          <t>逻辑ID/源键</t>
        </is>
      </c>
      <c r="F5" s="58" t="inlineStr">
        <is>
          <t>组件槽</t>
        </is>
      </c>
      <c r="G5" s="58" t="inlineStr">
        <is>
          <t>变体父ID</t>
        </is>
      </c>
      <c r="H5" s="58" t="inlineStr">
        <is>
          <t>视角</t>
        </is>
      </c>
      <c r="I5" s="58" t="inlineStr">
        <is>
          <t>状态/动画</t>
        </is>
      </c>
      <c r="J5" s="58" t="inlineStr">
        <is>
          <t>复用范围</t>
        </is>
      </c>
      <c r="K5" s="58" t="inlineStr">
        <is>
          <t>制作状态</t>
        </is>
      </c>
      <c r="L5" s="58" t="inlineStr">
        <is>
          <t>优先级</t>
        </is>
      </c>
      <c r="M5" s="58" t="inlineStr">
        <is>
          <t>版本</t>
        </is>
      </c>
      <c r="N5" s="58" t="inlineStr">
        <is>
          <t>规格(px)</t>
        </is>
      </c>
      <c r="O5" s="58" t="inlineStr">
        <is>
          <t>文件路径</t>
        </is>
      </c>
      <c r="P5" s="58" t="inlineStr">
        <is>
          <t>源码/策划依据</t>
        </is>
      </c>
      <c r="Q5" s="58" t="inlineStr">
        <is>
          <t>关键词/别名</t>
        </is>
      </c>
      <c r="R5" s="58" t="inlineStr">
        <is>
          <t>查重键</t>
        </is>
      </c>
      <c r="S5" s="58" t="inlineStr">
        <is>
          <t>查重结果</t>
        </is>
      </c>
      <c r="T5" s="59" t="inlineStr">
        <is>
          <t>SHA-256</t>
        </is>
      </c>
      <c r="U5" s="58" t="inlineStr">
        <is>
          <t>负责人</t>
        </is>
      </c>
      <c r="V5" s="58" t="inlineStr">
        <is>
          <t>更新时间</t>
        </is>
      </c>
      <c r="W5" s="58" t="inlineStr">
        <is>
          <t>来源/许可</t>
        </is>
      </c>
      <c r="X5" s="60" t="inlineStr">
        <is>
          <t>源编号（Blender collection）</t>
        </is>
      </c>
      <c r="Y5" s="61" t="inlineStr">
        <is>
          <t>备注</t>
        </is>
      </c>
    </row>
    <row r="6" ht="516.4" customHeight="1" s="38">
      <c r="A6" s="62" t="inlineStr">
        <is>
          <t>ENM-MELEE-FUNGBOAR01</t>
        </is>
      </c>
      <c r="B6" s="49" t="inlineStr">
        <is>
          <t>小僵尸</t>
        </is>
      </c>
      <c r="C6" s="49" t="inlineStr">
        <is>
          <t>敌人</t>
        </is>
      </c>
      <c r="D6" s="62" t="inlineStr">
        <is>
          <t>normal_melee</t>
        </is>
      </c>
      <c r="E6" s="62" t="inlineStr">
        <is>
          <t>melee_chaser</t>
        </is>
      </c>
      <c r="F6" s="62" t="inlineStr">
        <is>
          <t>root_3d</t>
        </is>
      </c>
      <c r="G6" s="62" t="inlineStr">
        <is>
          <t>ENM-ECOSYSTEM-KIT-3D</t>
        </is>
      </c>
      <c r="H6" s="62" t="inlineStr">
        <is>
          <t>Top3D / local -Z 正面</t>
        </is>
      </c>
      <c r="I6" s="62" t="inlineStr">
        <is>
          <t>default / chase</t>
        </is>
      </c>
      <c r="J6" s="49" t="inlineStr">
        <is>
          <t>全部战斗关卡普通怪池</t>
        </is>
      </c>
      <c r="K6" s="49" t="inlineStr">
        <is>
          <t>已完成</t>
        </is>
      </c>
      <c r="L6" s="62" t="inlineStr">
        <is>
          <t>P0</t>
        </is>
      </c>
      <c r="M6" s="62" t="inlineStr">
        <is>
          <t>v003</t>
        </is>
      </c>
      <c r="N6" s="62" t="inlineStr">
        <is>
          <t>1.2819×0.9535×1.8571m；1 Mesh；1 材质；36 骨；6 剪辑</t>
        </is>
      </c>
      <c r="O6" s="62" t="inlineStr">
        <is>
          <t>assets/art/enemies/normal_enemy_3d/melee_chaser/runtime/enm_melee_fungboar01_root_top3d.tscn</t>
        </is>
      </c>
      <c r="P6" s="62" t="inlineStr">
        <is>
          <t>assets/art/enemies/normal_enemy_3d/melee_chaser/source/model/enm_melee_fungboar01_model_v002.blend; assets/art/enemies/normal_enemy_3d/melee_chaser/source/animation/enm_melee_fungboar01_animation_v003.blend</t>
        </is>
      </c>
      <c r="Q6" s="49" t="inlineStr">
        <is>
          <t>近战追击; chaser; 小僵尸; 小菌猪（旧登记名）; 普通怪标准样板; ENM-MELEE-FUNGBOAR01</t>
        </is>
      </c>
      <c r="R6" s="49">
        <f>LOWER(TRIM(C6)&amp;"|"&amp;TRIM(D6)&amp;"|"&amp;TRIM(E6)&amp;"|"&amp;TRIM(F6)&amp;"|"&amp;TRIM(H6)&amp;"|"&amp;TRIM(I6))</f>
        <v/>
      </c>
      <c r="S6" s="49">
        <f>IF(COUNTIF($R$6:$R$17,R6)&gt;1,"重复","唯一")</f>
        <v/>
      </c>
      <c r="T6" s="62" t="inlineStr">
        <is>
          <t>04167459feffd18fa2dfd581ff8def82f58377e13909093a1b599c75080732f0</t>
        </is>
      </c>
      <c r="U6" s="62" t="inlineStr">
        <is>
          <t>Codex</t>
        </is>
      </c>
      <c r="V6" s="63" t="n">
        <v>46285</v>
      </c>
      <c r="W6" s="62" t="inlineStr">
        <is>
          <t>AI 生成（Tripo）+ Blender 重制</t>
        </is>
      </c>
      <c r="X6" s="64" t="inlineStr">
        <is>
          <t>—</t>
        </is>
      </c>
      <c r="Y6" s="62" t="inlineStr">
        <is>
          <t>GLB 仅表现；runtime PackedScene 无碰撞，Enemy3D 继续持有 CylinderShape3D、AI、生命、伤害与掉落。EnemyAvatar3D 以 FORMAL_MELEE_KIND 常量分支自动挂载，普通怪没有 configure_*_content() 函数。
2026-09-20 首个标准普通怪转正：Tripo 源 → Blender 重制（模型 v002 / 动作 v003），六段剪辑按 12 态采样，verify_melee_zombie_presentation 通过。
显示名迁移：小菌猪 → 小僵尸（Enemy3D.configure_from_enemy_data 精确迁移旧存档尾名）；AssetID 与逻辑 ID 不变。
未闭合：碰撞 FOOTPRINT_PROFILES(radius 1.02/height 1.30) 仍为旧程序网格口径，按新几何应为 0.641/1.857，属玩法数值待拍板；贴图仅 basecolor，无法线贴图。</t>
        </is>
      </c>
    </row>
    <row r="7" ht="132.8" customHeight="1" s="38">
      <c r="A7" s="62" t="inlineStr">
        <is>
          <t>ENM-RANGED-SPORESHOOTER01</t>
        </is>
      </c>
      <c r="B7" s="49" t="inlineStr">
        <is>
          <t>保安僵尸</t>
        </is>
      </c>
      <c r="C7" s="49" t="inlineStr">
        <is>
          <t>敌人</t>
        </is>
      </c>
      <c r="D7" s="62" t="inlineStr">
        <is>
          <t>normal_ranged</t>
        </is>
      </c>
      <c r="E7" s="62" t="inlineStr">
        <is>
          <t>ranged_caster</t>
        </is>
      </c>
      <c r="F7" s="62" t="inlineStr">
        <is>
          <t>root_3d</t>
        </is>
      </c>
      <c r="G7" s="62" t="inlineStr">
        <is>
          <t>ENM-ECOSYSTEM-KIT-3D</t>
        </is>
      </c>
      <c r="H7" s="62" t="inlineStr">
        <is>
          <t>Top3D / local -Z 正面</t>
        </is>
      </c>
      <c r="I7" s="62" t="inlineStr">
        <is>
          <t>default / chase / shoot</t>
        </is>
      </c>
      <c r="J7" s="49" t="inlineStr">
        <is>
          <t>全部战斗关卡远程怪池</t>
        </is>
      </c>
      <c r="K7" s="49" t="inlineStr">
        <is>
          <t>已完成</t>
        </is>
      </c>
      <c r="L7" s="62" t="inlineStr">
        <is>
          <t>P0</t>
        </is>
      </c>
      <c r="M7" s="62" t="inlineStr">
        <is>
          <t>v002</t>
        </is>
      </c>
      <c r="N7" s="62" t="inlineStr">
        <is>
          <t>1.2819×0.9535×1.8571m；1 Mesh；1 材质；36 骨；10 剪辑</t>
        </is>
      </c>
      <c r="O7" s="62" t="inlineStr">
        <is>
          <t>assets/art/enemies/normal_enemy_3d/ranged_caster/runtime/enm_ranged_sporeshooter01_root_top3d.tscn</t>
        </is>
      </c>
      <c r="P7" s="62" t="inlineStr">
        <is>
          <t>assets/art/enemies/normal_enemy_3d/ranged_caster/source/model/enm_ranged_sporeshooter01_model_v001.blend; assets/art/enemies/normal_enemy_3d/ranged_caster/source/animation/enm_ranged_sporeshooter01_animation_v002.blend</t>
        </is>
      </c>
      <c r="Q7" s="49" t="inlineStr">
        <is>
          <t>远程射击; ranged; 保安僵尸; 孢子射手（旧程序名）; 单手持枪; ENM-RANGED-SPORESHOOTER01</t>
        </is>
      </c>
      <c r="R7" s="49">
        <f>LOWER(TRIM(C7)&amp;"|"&amp;TRIM(D7)&amp;"|"&amp;TRIM(E7)&amp;"|"&amp;TRIM(F7)&amp;"|"&amp;TRIM(H7)&amp;"|"&amp;TRIM(I7))</f>
        <v/>
      </c>
      <c r="S7" s="49">
        <f>IF(COUNTIF($R$6:$R$17,R7)&gt;1,"重复","唯一")</f>
        <v/>
      </c>
      <c r="T7" s="62" t="inlineStr">
        <is>
          <t>6ef48eb029670062dde23f413badea4a39cd27635f0365aa8bc1e2c9998173d4</t>
        </is>
      </c>
      <c r="U7" s="62" t="inlineStr">
        <is>
          <t>Codex</t>
        </is>
      </c>
      <c r="V7" s="63" t="n">
        <v>46286</v>
      </c>
      <c r="W7" s="49" t="inlineStr">
        <is>
          <t>桌面 FBX + Blender 共享小僵尸骨架重制</t>
        </is>
      </c>
      <c r="X7" s="64" t="inlineStr">
        <is>
          <t>—</t>
        </is>
      </c>
      <c r="Y7" s="62" t="inlineStr">
        <is>
          <t>GLB 仅表现；runtime PackedScene 无碰撞；Enemy3D 继续持有 ranged_caster 的 AI、三弹散布、生命、伤害与掉落。枪为双管炮视觉附件，挂 L_Hand，不接玩家武器逻辑。</t>
        </is>
      </c>
    </row>
    <row r="8" ht="20.85" customHeight="1" s="38">
      <c r="A8" s="62" t="inlineStr">
        <is>
          <t>ENM-SUMMON-HIVE01</t>
        </is>
      </c>
      <c r="B8" s="49" t="inlineStr">
        <is>
          <t>蜂巢怪</t>
        </is>
      </c>
      <c r="C8" s="49" t="inlineStr">
        <is>
          <t>敌人</t>
        </is>
      </c>
      <c r="D8" s="62" t="inlineStr">
        <is>
          <t>normal_summoner</t>
        </is>
      </c>
      <c r="E8" s="62" t="inlineStr">
        <is>
          <t>summoner</t>
        </is>
      </c>
      <c r="F8" s="62" t="inlineStr">
        <is>
          <t>root</t>
        </is>
      </c>
      <c r="G8" s="49" t="n"/>
      <c r="H8" s="49" t="inlineStr">
        <is>
          <t>侧面朝右（可水平翻转）</t>
        </is>
      </c>
      <c r="I8" s="62" t="inlineStr">
        <is>
          <t>default</t>
        </is>
      </c>
      <c r="J8" s="49" t="inlineStr">
        <is>
          <t>单资产</t>
        </is>
      </c>
      <c r="K8" s="49" t="inlineStr">
        <is>
          <t>程序占位</t>
        </is>
      </c>
      <c r="L8" s="62" t="inlineStr">
        <is>
          <t>P0</t>
        </is>
      </c>
      <c r="M8" s="62" t="inlineStr">
        <is>
          <t>v001</t>
        </is>
      </c>
      <c r="N8" s="49" t="inlineStr">
        <is>
          <t>待定</t>
        </is>
      </c>
      <c r="O8" s="49" t="n"/>
      <c r="P8" s="62" t="inlineStr">
        <is>
          <t>src/enemy/EnemyTypes.gd</t>
        </is>
      </c>
      <c r="Q8" s="49" t="inlineStr">
        <is>
          <t>召唤型; hive</t>
        </is>
      </c>
      <c r="R8" s="49">
        <f>LOWER(TRIM(C8)&amp;"|"&amp;TRIM(D8)&amp;"|"&amp;TRIM(E8)&amp;"|"&amp;TRIM(F8)&amp;"|"&amp;TRIM(H8)&amp;"|"&amp;TRIM(I8))</f>
        <v/>
      </c>
      <c r="S8" s="49">
        <f>IF(COUNTIF($R$6:$R$17,R8)&gt;1,"重复","唯一")</f>
        <v/>
      </c>
      <c r="T8" s="49" t="n"/>
      <c r="U8" s="49" t="inlineStr">
        <is>
          <t>待分配</t>
        </is>
      </c>
      <c r="V8" s="63" t="n">
        <v>46224</v>
      </c>
      <c r="W8" s="49" t="inlineStr">
        <is>
          <t>原创/待确认</t>
        </is>
      </c>
      <c r="X8" s="64" t="inlineStr">
        <is>
          <t>—</t>
        </is>
      </c>
      <c r="Y8" s="49" t="n"/>
    </row>
    <row r="9" ht="15" customHeight="1" s="38">
      <c r="A9" s="62" t="inlineStr">
        <is>
          <t>ENM-TANK-SHELLGUARD01</t>
        </is>
      </c>
      <c r="B9" s="49" t="inlineStr">
        <is>
          <t>壳甲卫兵</t>
        </is>
      </c>
      <c r="C9" s="49" t="inlineStr">
        <is>
          <t>敌人</t>
        </is>
      </c>
      <c r="D9" s="62" t="inlineStr">
        <is>
          <t>normal_tank</t>
        </is>
      </c>
      <c r="E9" s="62" t="inlineStr">
        <is>
          <t>shielded</t>
        </is>
      </c>
      <c r="F9" s="62" t="inlineStr">
        <is>
          <t>root</t>
        </is>
      </c>
      <c r="G9" s="49" t="n"/>
      <c r="H9" s="49" t="inlineStr">
        <is>
          <t>侧面朝右（可水平翻转）</t>
        </is>
      </c>
      <c r="I9" s="62" t="inlineStr">
        <is>
          <t>default</t>
        </is>
      </c>
      <c r="J9" s="49" t="inlineStr">
        <is>
          <t>单资产</t>
        </is>
      </c>
      <c r="K9" s="49" t="inlineStr">
        <is>
          <t>程序占位</t>
        </is>
      </c>
      <c r="L9" s="62" t="inlineStr">
        <is>
          <t>P0</t>
        </is>
      </c>
      <c r="M9" s="62" t="inlineStr">
        <is>
          <t>v001</t>
        </is>
      </c>
      <c r="N9" s="49" t="inlineStr">
        <is>
          <t>待定</t>
        </is>
      </c>
      <c r="O9" s="49" t="n"/>
      <c r="P9" s="62" t="inlineStr">
        <is>
          <t>src/enemy/EnemyTypes.gd</t>
        </is>
      </c>
      <c r="Q9" s="49" t="inlineStr">
        <is>
          <t>护盾型; tank</t>
        </is>
      </c>
      <c r="R9" s="49">
        <f>LOWER(TRIM(C9)&amp;"|"&amp;TRIM(D9)&amp;"|"&amp;TRIM(E9)&amp;"|"&amp;TRIM(F9)&amp;"|"&amp;TRIM(H9)&amp;"|"&amp;TRIM(I9))</f>
        <v/>
      </c>
      <c r="S9" s="49">
        <f>IF(COUNTIF($R$6:$R$17,R9)&gt;1,"重复","唯一")</f>
        <v/>
      </c>
      <c r="T9" s="49" t="n"/>
      <c r="U9" s="49" t="inlineStr">
        <is>
          <t>待分配</t>
        </is>
      </c>
      <c r="V9" s="63" t="n">
        <v>46224</v>
      </c>
      <c r="W9" s="49" t="inlineStr">
        <is>
          <t>原创/待确认</t>
        </is>
      </c>
      <c r="X9" s="64" t="inlineStr">
        <is>
          <t>—</t>
        </is>
      </c>
      <c r="Y9" s="49" t="n"/>
    </row>
    <row r="10" ht="15" customHeight="1" s="38">
      <c r="A10" s="62" t="inlineStr">
        <is>
          <t>ENM-BOMBER-FRUIT01</t>
        </is>
      </c>
      <c r="B10" s="49" t="inlineStr">
        <is>
          <t>炸弹果</t>
        </is>
      </c>
      <c r="C10" s="49" t="inlineStr">
        <is>
          <t>敌人</t>
        </is>
      </c>
      <c r="D10" s="62" t="inlineStr">
        <is>
          <t>normal_bomber</t>
        </is>
      </c>
      <c r="E10" s="62" t="inlineStr">
        <is>
          <t>exploder</t>
        </is>
      </c>
      <c r="F10" s="62" t="inlineStr">
        <is>
          <t>root</t>
        </is>
      </c>
      <c r="G10" s="49" t="n"/>
      <c r="H10" s="49" t="inlineStr">
        <is>
          <t>侧面朝右（可水平翻转）</t>
        </is>
      </c>
      <c r="I10" s="62" t="inlineStr">
        <is>
          <t>default</t>
        </is>
      </c>
      <c r="J10" s="49" t="inlineStr">
        <is>
          <t>单资产</t>
        </is>
      </c>
      <c r="K10" s="49" t="inlineStr">
        <is>
          <t>程序占位</t>
        </is>
      </c>
      <c r="L10" s="62" t="inlineStr">
        <is>
          <t>P0</t>
        </is>
      </c>
      <c r="M10" s="62" t="inlineStr">
        <is>
          <t>v001</t>
        </is>
      </c>
      <c r="N10" s="49" t="inlineStr">
        <is>
          <t>待定</t>
        </is>
      </c>
      <c r="O10" s="49" t="n"/>
      <c r="P10" s="62" t="inlineStr">
        <is>
          <t>src/enemy/EnemyTypes.gd</t>
        </is>
      </c>
      <c r="Q10" s="49" t="inlineStr">
        <is>
          <t>膨胀鼠; 自爆型; bomber</t>
        </is>
      </c>
      <c r="R10" s="49">
        <f>LOWER(TRIM(C10)&amp;"|"&amp;TRIM(D10)&amp;"|"&amp;TRIM(E10)&amp;"|"&amp;TRIM(F10)&amp;"|"&amp;TRIM(H10)&amp;"|"&amp;TRIM(I10))</f>
        <v/>
      </c>
      <c r="S10" s="49">
        <f>IF(COUNTIF($R$6:$R$17,R10)&gt;1,"重复","唯一")</f>
        <v/>
      </c>
      <c r="T10" s="49" t="n"/>
      <c r="U10" s="49" t="inlineStr">
        <is>
          <t>待分配</t>
        </is>
      </c>
      <c r="V10" s="63" t="n">
        <v>46224</v>
      </c>
      <c r="W10" s="49" t="inlineStr">
        <is>
          <t>原创/待确认</t>
        </is>
      </c>
      <c r="X10" s="64" t="inlineStr">
        <is>
          <t>—</t>
        </is>
      </c>
      <c r="Y10" s="49" t="n"/>
    </row>
    <row r="11" ht="20.85" customHeight="1" s="38">
      <c r="A11" s="62" t="inlineStr">
        <is>
          <t>ENM-TRAP-SPIKEWORM01</t>
        </is>
      </c>
      <c r="B11" s="49" t="inlineStr">
        <is>
          <t>地刺虫</t>
        </is>
      </c>
      <c r="C11" s="49" t="inlineStr">
        <is>
          <t>敌人</t>
        </is>
      </c>
      <c r="D11" s="62" t="inlineStr">
        <is>
          <t>normal_ambusher</t>
        </is>
      </c>
      <c r="E11" s="62" t="inlineStr">
        <is>
          <t>ambusher</t>
        </is>
      </c>
      <c r="F11" s="62" t="inlineStr">
        <is>
          <t>root</t>
        </is>
      </c>
      <c r="G11" s="49" t="n"/>
      <c r="H11" s="49" t="inlineStr">
        <is>
          <t>侧面朝右（可水平翻转）</t>
        </is>
      </c>
      <c r="I11" s="62" t="inlineStr">
        <is>
          <t>default</t>
        </is>
      </c>
      <c r="J11" s="49" t="inlineStr">
        <is>
          <t>单资产</t>
        </is>
      </c>
      <c r="K11" s="49" t="inlineStr">
        <is>
          <t>程序占位</t>
        </is>
      </c>
      <c r="L11" s="62" t="inlineStr">
        <is>
          <t>P0</t>
        </is>
      </c>
      <c r="M11" s="62" t="inlineStr">
        <is>
          <t>v001</t>
        </is>
      </c>
      <c r="N11" s="49" t="inlineStr">
        <is>
          <t>待定</t>
        </is>
      </c>
      <c r="O11" s="49" t="n"/>
      <c r="P11" s="62" t="inlineStr">
        <is>
          <t>src/enemy/EnemyTypes.gd</t>
        </is>
      </c>
      <c r="Q11" s="49" t="inlineStr">
        <is>
          <t>潜伏型; trapper</t>
        </is>
      </c>
      <c r="R11" s="49">
        <f>LOWER(TRIM(C11)&amp;"|"&amp;TRIM(D11)&amp;"|"&amp;TRIM(E11)&amp;"|"&amp;TRIM(F11)&amp;"|"&amp;TRIM(H11)&amp;"|"&amp;TRIM(I11))</f>
        <v/>
      </c>
      <c r="S11" s="49">
        <f>IF(COUNTIF($R$6:$R$17,R11)&gt;1,"重复","唯一")</f>
        <v/>
      </c>
      <c r="T11" s="49" t="n"/>
      <c r="U11" s="49" t="inlineStr">
        <is>
          <t>待分配</t>
        </is>
      </c>
      <c r="V11" s="63" t="n">
        <v>46224</v>
      </c>
      <c r="W11" s="49" t="inlineStr">
        <is>
          <t>原创/待确认</t>
        </is>
      </c>
      <c r="X11" s="64" t="inlineStr">
        <is>
          <t>—</t>
        </is>
      </c>
      <c r="Y11" s="49" t="n"/>
    </row>
    <row r="12" ht="32.8" customHeight="1" s="38">
      <c r="A12" s="62" t="inlineStr">
        <is>
          <t>ENM-BOSS-ABYSS01</t>
        </is>
      </c>
      <c r="B12" s="49" t="inlineStr">
        <is>
          <t>深渊 Boss</t>
        </is>
      </c>
      <c r="C12" s="49" t="inlineStr">
        <is>
          <t>敌人</t>
        </is>
      </c>
      <c r="D12" s="62" t="inlineStr">
        <is>
          <t>boss</t>
        </is>
      </c>
      <c r="E12" s="62" t="inlineStr">
        <is>
          <t>boss</t>
        </is>
      </c>
      <c r="F12" s="62" t="inlineStr">
        <is>
          <t>root</t>
        </is>
      </c>
      <c r="G12" s="49" t="n"/>
      <c r="H12" s="49" t="inlineStr">
        <is>
          <t>侧面朝右（可水平翻转）</t>
        </is>
      </c>
      <c r="I12" s="62" t="inlineStr">
        <is>
          <t>default</t>
        </is>
      </c>
      <c r="J12" s="49" t="inlineStr">
        <is>
          <t>单资产</t>
        </is>
      </c>
      <c r="K12" s="49" t="inlineStr">
        <is>
          <t>程序占位</t>
        </is>
      </c>
      <c r="L12" s="62" t="inlineStr">
        <is>
          <t>P1</t>
        </is>
      </c>
      <c r="M12" s="62" t="inlineStr">
        <is>
          <t>v001</t>
        </is>
      </c>
      <c r="N12" s="49" t="inlineStr">
        <is>
          <t>待定</t>
        </is>
      </c>
      <c r="O12" s="49" t="n"/>
      <c r="P12" s="62" t="inlineStr">
        <is>
          <t>src/enemy/BossAvatarRenderer.gd</t>
        </is>
      </c>
      <c r="Q12" s="62" t="inlineStr">
        <is>
          <t>BossActor; 三阶段</t>
        </is>
      </c>
      <c r="R12" s="49">
        <f>LOWER(TRIM(C12)&amp;"|"&amp;TRIM(D12)&amp;"|"&amp;TRIM(E12)&amp;"|"&amp;TRIM(F12)&amp;"|"&amp;TRIM(H12)&amp;"|"&amp;TRIM(I12))</f>
        <v/>
      </c>
      <c r="S12" s="49">
        <f>IF(COUNTIF($R$6:$R$17,R12)&gt;1,"重复","唯一")</f>
        <v/>
      </c>
      <c r="T12" s="49" t="n"/>
      <c r="U12" s="49" t="inlineStr">
        <is>
          <t>待分配</t>
        </is>
      </c>
      <c r="V12" s="63" t="n">
        <v>46224</v>
      </c>
      <c r="W12" s="49" t="inlineStr">
        <is>
          <t>原创/待确认</t>
        </is>
      </c>
      <c r="X12" s="64" t="inlineStr">
        <is>
          <t>—</t>
        </is>
      </c>
      <c r="Y12" s="49" t="inlineStr">
        <is>
          <t>三阶段由同一主体加部件/发光变化，不重复做整套</t>
        </is>
      </c>
    </row>
    <row r="13" ht="115.65" customHeight="1" s="38">
      <c r="A13" s="65" t="inlineStr">
        <is>
          <t>ENM-ECOSYSTEM-KIT-3D</t>
        </is>
      </c>
      <c r="B13" s="41" t="inlineStr">
        <is>
          <t>七类怪物3D生态套件</t>
        </is>
      </c>
      <c r="C13" s="41" t="inlineStr">
        <is>
          <t>敌人</t>
        </is>
      </c>
      <c r="D13" s="65" t="inlineStr">
        <is>
          <t>normal_elite_boss</t>
        </is>
      </c>
      <c r="E13" s="65" t="inlineStr">
        <is>
          <t>enemy_ecosystem</t>
        </is>
      </c>
      <c r="F13" s="65" t="inlineStr">
        <is>
          <t>root_3d</t>
        </is>
      </c>
      <c r="G13" s="65" t="n"/>
      <c r="H13" s="41" t="inlineStr">
        <is>
          <t>俯视3D</t>
        </is>
      </c>
      <c r="I13" s="65" t="inlineStr">
        <is>
          <t>default</t>
        </is>
      </c>
      <c r="J13" s="41" t="inlineStr">
        <is>
          <t>四主题战斗房</t>
        </is>
      </c>
      <c r="K13" s="41" t="inlineStr">
        <is>
          <t>原型已接入</t>
        </is>
      </c>
      <c r="L13" s="65" t="inlineStr">
        <is>
          <t>P0</t>
        </is>
      </c>
      <c r="M13" s="65" t="inlineStr">
        <is>
          <t>v001</t>
        </is>
      </c>
      <c r="N13" s="65" t="inlineStr">
        <is>
          <t>PackedScene/模块敌人</t>
        </is>
      </c>
      <c r="O13" s="65" t="inlineStr">
        <is>
          <t>assets/art/enemies/enemy_3d/enm_ecosystem_kit_root_top3d_v001.tscn</t>
        </is>
      </c>
      <c r="P13" s="65" t="inlineStr">
        <is>
          <t>src/enemy3d/Enemy3D.gd</t>
        </is>
      </c>
      <c r="Q13" s="41" t="inlineStr">
        <is>
          <t>怪物;七类;核心;外壳;附肢;状态</t>
        </is>
      </c>
      <c r="R13" s="65">
        <f>LOWER(TRIM(C13)&amp;"|"&amp;TRIM(D13)&amp;"|"&amp;TRIM(E13)&amp;"|"&amp;TRIM(F13)&amp;"|"&amp;TRIM(H13)&amp;"|"&amp;TRIM(I13))</f>
        <v/>
      </c>
      <c r="S13" s="41">
        <f>IF(COUNTIF($R$6:$R$17,R13)&gt;1,"重复","唯一")</f>
        <v/>
      </c>
      <c r="T13" s="65" t="inlineStr">
        <is>
          <t>d9d8a49bed3fdcb863bad72f60be1f774309c7dda52753f5efb3d4e56159c12d</t>
        </is>
      </c>
      <c r="U13" s="65" t="inlineStr">
        <is>
          <t>Codex</t>
        </is>
      </c>
      <c r="V13" s="66" t="n">
        <v>46225</v>
      </c>
      <c r="W13" s="41" t="inlineStr">
        <is>
          <t>原创程序几何</t>
        </is>
      </c>
      <c r="X13" s="64" t="inlineStr">
        <is>
          <t>—</t>
        </is>
      </c>
      <c r="Y13" s="41" t="inlineStr">
        <is>
          <t>九态AI视线允许射线命中玩家本体并保留实体墙遮挡；3D基础HP乘旧楼层/主题/精英倍率，开局手枪普通命中不秒杀基础怪</t>
        </is>
      </c>
    </row>
    <row r="14" ht="182.8" customHeight="1" s="38">
      <c r="A14" s="65" t="inlineStr">
        <is>
          <t>ENM-BOSS-ARCHIVIST-95</t>
        </is>
      </c>
      <c r="B14" s="41" t="inlineStr">
        <is>
          <t>深渊档案官</t>
        </is>
      </c>
      <c r="C14" s="41" t="inlineStr">
        <is>
          <t>敌人</t>
        </is>
      </c>
      <c r="D14" s="65" t="inlineStr">
        <is>
          <t>boss</t>
        </is>
      </c>
      <c r="E14" s="65" t="inlineStr">
        <is>
          <t>boss_abyss_archivist_95</t>
        </is>
      </c>
      <c r="F14" s="65" t="inlineStr">
        <is>
          <t>root</t>
        </is>
      </c>
      <c r="G14" s="65" t="n"/>
      <c r="H14" s="65" t="inlineStr">
        <is>
          <t>Top3D</t>
        </is>
      </c>
      <c r="I14" s="65" t="inlineStr">
        <is>
          <t>default / 三阶段</t>
        </is>
      </c>
      <c r="J14" s="65" t="inlineStr">
        <is>
          <t>95层Boss</t>
        </is>
      </c>
      <c r="K14" s="41" t="inlineStr">
        <is>
          <t>已完成</t>
        </is>
      </c>
      <c r="L14" s="65" t="inlineStr">
        <is>
          <t>P0</t>
        </is>
      </c>
      <c r="M14" s="65" t="inlineStr">
        <is>
          <t>v001</t>
        </is>
      </c>
      <c r="N14" s="65" t="inlineStr">
        <is>
          <t>GLB；主体/发光/附肢语义拆分</t>
        </is>
      </c>
      <c r="O14" s="65" t="inlineStr">
        <is>
          <t>assets/art/enemies/bosses_v01/enm_boss_archivist_95_top3d_v001.glb</t>
        </is>
      </c>
      <c r="P14" s="65" t="inlineStr">
        <is>
          <t>source/art/blender/bosses_v01/enm_boss_archivist_95_top3d_v001.blend; src/enemy3d/BossContentCatalog.gd</t>
        </is>
      </c>
      <c r="Q14" s="41" t="inlineStr">
        <is>
          <t>深渊档案官; archive; 95F; 三阶段</t>
        </is>
      </c>
      <c r="R14" s="65">
        <f>LOWER(TRIM(C14)&amp;"|"&amp;TRIM(D14)&amp;"|"&amp;TRIM(E14)&amp;"|"&amp;TRIM(F14)&amp;"|"&amp;TRIM(H14)&amp;"|"&amp;TRIM(I14))</f>
        <v/>
      </c>
      <c r="S14" s="41">
        <f>IF(COUNTIF($R$6:$R$17,R14)&gt;1,"重复","唯一")</f>
        <v/>
      </c>
      <c r="T14" s="65" t="inlineStr">
        <is>
          <t>d48dbdef27c500895471b8e14e4d07ae8f733b511ea67bf44cf0dffe959d781c</t>
        </is>
      </c>
      <c r="U14" s="65" t="inlineStr">
        <is>
          <t>Codex</t>
        </is>
      </c>
      <c r="V14" s="65" t="n">
        <v>46247</v>
      </c>
      <c r="W14" s="41" t="inlineStr">
        <is>
          <t>原创程序建模</t>
        </is>
      </c>
      <c r="X14" s="64" t="inlineStr">
        <is>
          <t>—</t>
        </is>
      </c>
      <c r="Y14" s="41" t="inlineStr">
        <is>
          <t>独立正式模型；阶段技能袋 archive_fan/index_beam/archive_storm；通过Boss专项验收。
2026-08-30 AST-01规范化（原制作状态：正式美术已接入）</t>
        </is>
      </c>
    </row>
    <row r="15" ht="181.3" customHeight="1" s="38">
      <c r="A15" s="65" t="inlineStr">
        <is>
          <t>ENM-BOSS-FURNACE-WARDEN-90</t>
        </is>
      </c>
      <c r="B15" s="41" t="inlineStr">
        <is>
          <t>熔炉狱监</t>
        </is>
      </c>
      <c r="C15" s="41" t="inlineStr">
        <is>
          <t>敌人</t>
        </is>
      </c>
      <c r="D15" s="65" t="inlineStr">
        <is>
          <t>boss</t>
        </is>
      </c>
      <c r="E15" s="65" t="inlineStr">
        <is>
          <t>boss_furnace_warden_90</t>
        </is>
      </c>
      <c r="F15" s="65" t="inlineStr">
        <is>
          <t>root</t>
        </is>
      </c>
      <c r="G15" s="65" t="n"/>
      <c r="H15" s="65" t="inlineStr">
        <is>
          <t>Top3D</t>
        </is>
      </c>
      <c r="I15" s="65" t="inlineStr">
        <is>
          <t>default / 三阶段</t>
        </is>
      </c>
      <c r="J15" s="65" t="inlineStr">
        <is>
          <t>90层Boss</t>
        </is>
      </c>
      <c r="K15" s="41" t="inlineStr">
        <is>
          <t>已完成</t>
        </is>
      </c>
      <c r="L15" s="65" t="inlineStr">
        <is>
          <t>P0</t>
        </is>
      </c>
      <c r="M15" s="65" t="inlineStr">
        <is>
          <t>v001</t>
        </is>
      </c>
      <c r="N15" s="65" t="inlineStr">
        <is>
          <t>GLB；主体/发光/附肢语义拆分</t>
        </is>
      </c>
      <c r="O15" s="65" t="inlineStr">
        <is>
          <t>assets/art/enemies/bosses_v01/enm_boss_furnace_warden_90_top3d_v001.glb</t>
        </is>
      </c>
      <c r="P15" s="65" t="inlineStr">
        <is>
          <t>source/art/blender/bosses_v01/enm_boss_furnace_warden_90_top3d_v001.blend; src/enemy3d/BossContentCatalog.gd</t>
        </is>
      </c>
      <c r="Q15" s="41" t="inlineStr">
        <is>
          <t>熔炉狱监; furnace; 90F; 三阶段</t>
        </is>
      </c>
      <c r="R15" s="65">
        <f>LOWER(TRIM(C15)&amp;"|"&amp;TRIM(D15)&amp;"|"&amp;TRIM(E15)&amp;"|"&amp;TRIM(F15)&amp;"|"&amp;TRIM(H15)&amp;"|"&amp;TRIM(I15))</f>
        <v/>
      </c>
      <c r="S15" s="41">
        <f>IF(COUNTIF($R$6:$R$17,R15)&gt;1,"重复","唯一")</f>
        <v/>
      </c>
      <c r="T15" s="65" t="inlineStr">
        <is>
          <t>77469ad543d9265ffcc32198c06e25dd3ea8b793b79da4afeb7bd5e56f09d24c</t>
        </is>
      </c>
      <c r="U15" s="65" t="inlineStr">
        <is>
          <t>Codex</t>
        </is>
      </c>
      <c r="V15" s="65" t="n">
        <v>46247</v>
      </c>
      <c r="W15" s="41" t="inlineStr">
        <is>
          <t>原创程序建模</t>
        </is>
      </c>
      <c r="X15" s="64" t="inlineStr">
        <is>
          <t>—</t>
        </is>
      </c>
      <c r="Y15" s="41" t="inlineStr">
        <is>
          <t>独立正式模型；阶段技能袋 molten_volley/hammer_drive/furnace_burst；通过Boss专项验收。
2026-08-30 AST-01规范化（原制作状态：正式美术已接入）</t>
        </is>
      </c>
    </row>
    <row r="16" ht="182.8" customHeight="1" s="38">
      <c r="A16" s="65" t="inlineStr">
        <is>
          <t>ENM-BOSS-HOLLOW-CHOIR-85</t>
        </is>
      </c>
      <c r="B16" s="41" t="inlineStr">
        <is>
          <t>空洞合唱团</t>
        </is>
      </c>
      <c r="C16" s="41" t="inlineStr">
        <is>
          <t>敌人</t>
        </is>
      </c>
      <c r="D16" s="65" t="inlineStr">
        <is>
          <t>boss</t>
        </is>
      </c>
      <c r="E16" s="65" t="inlineStr">
        <is>
          <t>boss_hollow_choir_85</t>
        </is>
      </c>
      <c r="F16" s="65" t="inlineStr">
        <is>
          <t>root</t>
        </is>
      </c>
      <c r="G16" s="65" t="n"/>
      <c r="H16" s="65" t="inlineStr">
        <is>
          <t>Top3D</t>
        </is>
      </c>
      <c r="I16" s="65" t="inlineStr">
        <is>
          <t>default / 三阶段</t>
        </is>
      </c>
      <c r="J16" s="65" t="inlineStr">
        <is>
          <t>85层Boss</t>
        </is>
      </c>
      <c r="K16" s="41" t="inlineStr">
        <is>
          <t>已完成</t>
        </is>
      </c>
      <c r="L16" s="65" t="inlineStr">
        <is>
          <t>P0</t>
        </is>
      </c>
      <c r="M16" s="65" t="inlineStr">
        <is>
          <t>v001</t>
        </is>
      </c>
      <c r="N16" s="65" t="inlineStr">
        <is>
          <t>GLB；主体/发光/附肢语义拆分</t>
        </is>
      </c>
      <c r="O16" s="65" t="inlineStr">
        <is>
          <t>assets/art/enemies/bosses_v01/enm_boss_hollow_choir_85_top3d_v001.glb</t>
        </is>
      </c>
      <c r="P16" s="65" t="inlineStr">
        <is>
          <t>source/art/blender/bosses_v01/enm_boss_hollow_choir_85_top3d_v001.blend; src/enemy3d/BossContentCatalog.gd</t>
        </is>
      </c>
      <c r="Q16" s="41" t="inlineStr">
        <is>
          <t>空洞合唱团; choir; 85F; 三阶段</t>
        </is>
      </c>
      <c r="R16" s="65">
        <f>LOWER(TRIM(C16)&amp;"|"&amp;TRIM(D16)&amp;"|"&amp;TRIM(E16)&amp;"|"&amp;TRIM(F16)&amp;"|"&amp;TRIM(H16)&amp;"|"&amp;TRIM(I16))</f>
        <v/>
      </c>
      <c r="S16" s="41">
        <f>IF(COUNTIF($R$6:$R$17,R16)&gt;1,"重复","唯一")</f>
        <v/>
      </c>
      <c r="T16" s="65" t="inlineStr">
        <is>
          <t>c7d1bade328047877d64770b2c534cbd930fc377ce8a00e19873fc108a73a56f</t>
        </is>
      </c>
      <c r="U16" s="65" t="inlineStr">
        <is>
          <t>Codex</t>
        </is>
      </c>
      <c r="V16" s="65" t="n">
        <v>46247</v>
      </c>
      <c r="W16" s="41" t="inlineStr">
        <is>
          <t>原创程序建模</t>
        </is>
      </c>
      <c r="X16" s="64" t="inlineStr">
        <is>
          <t>—</t>
        </is>
      </c>
      <c r="Y16" s="41" t="inlineStr">
        <is>
          <t>独立正式模型；阶段技能袋 choir_wave/silence_chord/echo_burst；通过Boss专项验收。
2026-08-30 AST-01规范化（原制作状态：正式美术已接入）</t>
        </is>
      </c>
    </row>
    <row r="17" ht="525.35" customHeight="1" s="38">
      <c r="A17" s="65" t="inlineStr">
        <is>
          <t>ENM-ELITE-RIFT-BOAR-ARMED-3D</t>
        </is>
      </c>
      <c r="B17" s="41" t="inlineStr">
        <is>
          <t>背枪的裂口爬虫3D精英根</t>
        </is>
      </c>
      <c r="C17" s="41" t="inlineStr">
        <is>
          <t>敌人</t>
        </is>
      </c>
      <c r="D17" s="65" t="inlineStr">
        <is>
          <t>elite</t>
        </is>
      </c>
      <c r="E17" s="65" t="inlineStr">
        <is>
          <t>elite_rift_boar_armed</t>
        </is>
      </c>
      <c r="F17" s="65" t="inlineStr">
        <is>
          <t>root_3d</t>
        </is>
      </c>
      <c r="G17" s="65" t="inlineStr">
        <is>
          <t>ENM-ECOSYSTEM-KIT-3D</t>
        </is>
      </c>
      <c r="H17" s="65" t="inlineStr">
        <is>
          <t>Top3D / local -Z 正面</t>
        </is>
      </c>
      <c r="I17" s="65" t="inlineStr">
        <is>
          <t>default / armed_rush</t>
        </is>
      </c>
      <c r="J17" s="41" t="inlineStr">
        <is>
          <t>每次行动98—96F三选一；目标层随机ELITE房</t>
        </is>
      </c>
      <c r="K17" s="41" t="inlineStr">
        <is>
          <t>已完成</t>
        </is>
      </c>
      <c r="L17" s="65" t="inlineStr">
        <is>
          <t>P0</t>
        </is>
      </c>
      <c r="M17" s="65" t="inlineStr">
        <is>
          <t>v001</t>
        </is>
      </c>
      <c r="N17" s="65" t="inlineStr">
        <is>
          <t>1.970×1.843×1.345m；18 Mesh；4材质</t>
        </is>
      </c>
      <c r="O17" s="65" t="inlineStr">
        <is>
          <t>assets/art/enemies/elite_3d/rift_boar_armed/runtime/enm_elite_rift_boar_armed_root_top3d_v001.tscn</t>
        </is>
      </c>
      <c r="P17" s="65" t="inlineStr">
        <is>
          <t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t>
        </is>
      </c>
      <c r="Q17" s="41" t="inlineStr">
        <is>
          <t>唯一精英;背枪;裂口爬虫;elite_rift_boar_armed;armed_rush;98F;97F;96F;命名血条</t>
        </is>
      </c>
      <c r="R17" s="65">
        <f>LOWER(TRIM(C17)&amp;"|"&amp;TRIM(D17)&amp;"|"&amp;TRIM(E17)&amp;"|"&amp;TRIM(F17)&amp;"|"&amp;TRIM(H17)&amp;"|"&amp;TRIM(I17))</f>
        <v/>
      </c>
      <c r="S17" s="41">
        <f>IF(COUNTIF($R$6:$R$17,R17)&gt;1,"重复","唯一")</f>
        <v/>
      </c>
      <c r="T17" s="65" t="inlineStr">
        <is>
          <t>b5b187474a58aebe1f5e7c2522b2e4a4db609f103365dca6e7bd8c082a08b496</t>
        </is>
      </c>
      <c r="U17" s="65" t="inlineStr">
        <is>
          <t>Codex</t>
        </is>
      </c>
      <c r="V17" s="66" t="n">
        <v>46264</v>
      </c>
      <c r="W17" s="41" t="inlineStr">
        <is>
          <t>原创 Blender/Godot 组合</t>
        </is>
      </c>
      <c r="X17" s="64" t="inlineStr">
        <is>
          <t>—</t>
        </is>
      </c>
      <c r="Y17" s="65" t="inlineStr">
        <is>
          <t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t>
        </is>
      </c>
    </row>
    <row r="79" ht="154.5" customHeight="1" s="38"/>
    <row r="113" ht="154.5" customHeight="1" s="38"/>
    <row r="120" ht="154.5" customHeight="1" s="38"/>
    <row r="123" ht="154.5" customHeight="1" s="38"/>
    <row r="124" ht="33.75" customHeight="1" s="38"/>
    <row r="125" ht="33.75" customHeight="1" s="38"/>
    <row r="126" ht="33.75" customHeight="1" s="38"/>
    <row r="127" ht="33.75" customHeight="1" s="38"/>
    <row r="128" ht="154.5" customHeight="1" s="38"/>
    <row r="129" ht="33.75" customHeight="1" s="38"/>
    <row r="130" ht="33.75" customHeight="1" s="38"/>
    <row r="131" ht="33.75" customHeight="1" s="38"/>
    <row r="132" ht="33.75" customHeight="1" s="38"/>
    <row r="133" ht="33.75" customHeight="1" s="38"/>
    <row r="134" ht="33.75" customHeight="1" s="38"/>
    <row r="135" ht="33.75" customHeight="1" s="38"/>
    <row r="136" ht="33.75" customHeight="1" s="38"/>
    <row r="137" ht="33.75" customHeight="1" s="38"/>
    <row r="138" ht="33.75" customHeight="1" s="38"/>
    <row r="139" ht="33.75" customHeight="1" s="38"/>
    <row r="143" ht="154.5" customHeight="1" s="38"/>
    <row r="146" ht="43.5" customHeight="1" s="38"/>
    <row r="147" ht="43.5" customHeight="1" s="38"/>
    <row r="148" ht="43.5" customHeight="1" s="38"/>
    <row r="149" ht="43.5" customHeight="1" s="38"/>
    <row r="150" ht="43.5" customHeight="1" s="38"/>
    <row r="151" ht="43.5" customHeight="1" s="38"/>
    <row r="152" ht="43.5" customHeight="1" s="38"/>
    <row r="153" ht="43.5" customHeight="1" s="38"/>
    <row r="154" ht="43.5" customHeight="1" s="38"/>
    <row r="155" ht="43.5" customHeight="1" s="38"/>
    <row r="156" ht="132" customHeight="1" s="38"/>
    <row r="157" ht="117.75" customHeight="1" s="38"/>
    <row r="158" ht="117.75" customHeight="1" s="38"/>
    <row r="159" ht="117.75" customHeight="1" s="38"/>
    <row r="160" ht="117.75" customHeight="1" s="38"/>
    <row r="161" ht="132" customHeight="1" s="38"/>
    <row r="162" ht="132" customHeight="1" s="38"/>
    <row r="163" ht="154.5" customHeight="1" s="38"/>
    <row r="164" ht="132" customHeight="1" s="38"/>
    <row r="165" ht="132" customHeight="1" s="38"/>
    <row r="166" ht="132" customHeight="1" s="38"/>
    <row r="167" ht="154.5" customHeight="1" s="38"/>
    <row r="168" ht="219.75" customHeight="1" s="38"/>
    <row r="169" ht="219.75" customHeight="1" s="38"/>
    <row r="172" ht="42" customHeight="1" s="38"/>
    <row r="173" ht="42" customHeight="1" s="38"/>
    <row r="174" ht="43.5" customHeight="1" s="38"/>
    <row r="175" ht="43.5" customHeight="1" s="38"/>
    <row r="176" ht="43.5" customHeight="1" s="38"/>
    <row r="177" ht="43.5" customHeight="1" s="38"/>
    <row r="178" ht="43.5" customHeight="1" s="38"/>
    <row r="179" ht="43.5" customHeight="1" s="38"/>
    <row r="180" ht="43.5" customHeight="1" s="38"/>
    <row r="181" ht="43.5" customHeight="1" s="38"/>
    <row r="182" ht="43.5" customHeight="1" s="38"/>
    <row r="183" ht="43.5" customHeight="1" s="38"/>
    <row r="184" ht="43.5" customHeight="1" s="38"/>
    <row r="185" ht="43.5" customHeight="1" s="38"/>
    <row r="186" ht="43.5" customHeight="1" s="38"/>
    <row r="187" ht="43.5" customHeight="1" s="38"/>
    <row r="188" ht="43.5" customHeight="1" s="38"/>
    <row r="189" ht="43.5" customHeight="1" s="38"/>
    <row r="190" ht="43.5" customHeight="1" s="38"/>
    <row r="191" ht="43.5" customHeight="1" s="38"/>
    <row r="192" ht="43.5" customHeight="1" s="38"/>
    <row r="193" ht="43.5" customHeight="1" s="38"/>
    <row r="194" ht="43.5" customHeight="1" s="38"/>
    <row r="195" ht="43.5" customHeight="1" s="38"/>
    <row r="196" ht="43.5" customHeight="1" s="38"/>
    <row r="197" ht="43.5" customHeight="1" s="38"/>
    <row r="198" ht="43.5" customHeight="1" s="38"/>
    <row r="199" ht="43.5" customHeight="1" s="38"/>
    <row r="200" ht="43.5" customHeight="1" s="38"/>
    <row r="201" ht="43.5" customHeight="1" s="38"/>
    <row r="202" ht="43.5" customHeight="1" s="38"/>
    <row r="203" ht="43.5" customHeight="1" s="38"/>
    <row r="204" ht="43.5" customHeight="1" s="38"/>
    <row r="240" ht="255" customHeight="1" s="38"/>
    <row r="281" ht="66" customHeight="1" s="38"/>
    <row r="282" ht="66" customHeight="1" s="38"/>
    <row r="283" ht="66" customHeight="1" s="38"/>
    <row r="284" ht="66" customHeight="1" s="38"/>
    <row r="285" ht="66" customHeight="1" s="38"/>
    <row r="286" ht="66" customHeight="1" s="38"/>
    <row r="287" ht="55.5" customHeight="1" s="38"/>
    <row r="301" ht="132" customHeight="1" s="38"/>
    <row r="302" ht="54" customHeight="1" s="38"/>
    <row r="303" ht="54" customHeight="1" s="38"/>
    <row r="304" ht="54" customHeight="1" s="38"/>
    <row r="305" ht="54" customHeight="1" s="38"/>
    <row r="306" ht="54" customHeight="1" s="38"/>
    <row r="307" ht="54" customHeight="1" s="38"/>
    <row r="308" ht="54" customHeight="1" s="38"/>
    <row r="309" ht="54" customHeight="1" s="38"/>
    <row r="310" ht="54" customHeight="1" s="38"/>
    <row r="311" ht="72" customHeight="1" s="38"/>
    <row r="312" ht="54" customHeight="1" s="38"/>
    <row r="313" ht="54" customHeight="1" s="38"/>
    <row r="314" ht="54" customHeight="1" s="38"/>
    <row r="315" ht="54" customHeight="1" s="38"/>
    <row r="316" ht="54" customHeight="1" s="38"/>
    <row r="317" ht="54" customHeight="1" s="38"/>
    <row r="318" ht="54" customHeight="1" s="38"/>
    <row r="319" ht="54" customHeight="1" s="38"/>
    <row r="320" ht="54" customHeight="1" s="38"/>
    <row r="321" ht="54" customHeight="1" s="38"/>
    <row r="322" ht="54" customHeight="1" s="38"/>
    <row r="323" ht="54" customHeight="1" s="38"/>
    <row r="324" ht="54" customHeight="1" s="38"/>
    <row r="325" ht="54" customHeight="1" s="38"/>
    <row r="326" ht="54" customHeight="1" s="38"/>
    <row r="327" ht="54" customHeight="1" s="38"/>
    <row r="328" ht="54" customHeight="1" s="38"/>
    <row r="329" ht="54" customHeight="1" s="38"/>
    <row r="330" ht="54" customHeight="1" s="38"/>
    <row r="331" ht="54" customHeight="1" s="38"/>
    <row r="332" ht="54" customHeight="1" s="38"/>
    <row r="333" ht="54" customHeight="1" s="38"/>
    <row r="334" ht="54" customHeight="1" s="38"/>
    <row r="335" ht="54" customHeight="1" s="38"/>
    <row r="336" ht="54" customHeight="1" s="38"/>
    <row r="337" ht="54" customHeight="1" s="38"/>
    <row r="338" ht="54" customHeight="1" s="38"/>
    <row r="339" ht="54" customHeight="1" s="38"/>
    <row r="340" ht="54" customHeight="1" s="38"/>
    <row r="341" ht="54" customHeight="1" s="38"/>
    <row r="342" ht="54" customHeight="1" s="38"/>
    <row r="343" ht="54" customHeight="1" s="38"/>
    <row r="344" ht="54" customHeight="1" s="38"/>
    <row r="345" ht="54" customHeight="1" s="38"/>
    <row r="346" ht="54" customHeight="1" s="38"/>
    <row r="347" ht="54" customHeight="1" s="38"/>
    <row r="348" ht="54" customHeight="1" s="38"/>
    <row r="349" ht="54" customHeight="1" s="38"/>
    <row r="350" ht="54" customHeight="1" s="38"/>
    <row r="351" ht="54" customHeight="1" s="38"/>
    <row r="352" ht="54" customHeight="1" s="38"/>
    <row r="353" ht="54" customHeight="1" s="38"/>
    <row r="354" ht="54" customHeight="1" s="38"/>
    <row r="355" ht="54" customHeight="1" s="38"/>
    <row r="356" ht="54" customHeight="1" s="38"/>
    <row r="357" ht="54" customHeight="1" s="38"/>
    <row r="358" ht="54" customHeight="1" s="38"/>
    <row r="359" ht="72" customHeight="1" s="38"/>
    <row r="360" ht="54" customHeight="1" s="38"/>
    <row r="361" ht="54" customHeight="1" s="38"/>
    <row r="362" ht="54" customHeight="1" s="38"/>
    <row r="363" ht="54" customHeight="1" s="38"/>
    <row r="364" ht="54" customHeight="1" s="38"/>
    <row r="365" ht="54" customHeight="1" s="38"/>
    <row r="366" ht="54" customHeight="1" s="38"/>
    <row r="367" ht="54" customHeight="1" s="38"/>
    <row r="368" ht="72" customHeight="1" s="38"/>
    <row r="369" ht="54" customHeight="1" s="38"/>
    <row r="370" ht="54" customHeight="1" s="38"/>
    <row r="371" ht="54" customHeight="1" s="38"/>
    <row r="372" ht="54" customHeight="1" s="38"/>
    <row r="373" ht="54" customHeight="1" s="38"/>
    <row r="374" ht="54" customHeight="1" s="38"/>
    <row r="375" ht="54" customHeight="1" s="38"/>
    <row r="376" ht="54" customHeight="1" s="38"/>
    <row r="377" ht="54" customHeight="1" s="38"/>
    <row r="378" ht="54" customHeight="1" s="38"/>
    <row r="379" ht="54" customHeight="1" s="38"/>
    <row r="380" ht="54" customHeight="1" s="38"/>
    <row r="381" ht="54" customHeight="1" s="38"/>
    <row r="382" ht="54" customHeight="1" s="38"/>
    <row r="383" ht="54" customHeight="1" s="38"/>
    <row r="384" ht="54" customHeight="1" s="38"/>
    <row r="385" ht="54" customHeight="1" s="38"/>
    <row r="386" ht="54" customHeight="1" s="38"/>
    <row r="387" ht="54" customHeight="1" s="38"/>
    <row r="388" ht="54" customHeight="1" s="38"/>
    <row r="389" ht="54" customHeight="1" s="38"/>
    <row r="390" ht="54" customHeight="1" s="38"/>
    <row r="391" ht="54" customHeight="1" s="38"/>
    <row r="392" ht="54" customHeight="1" s="38"/>
    <row r="393" ht="54" customHeight="1" s="38"/>
    <row r="394" ht="54" customHeight="1" s="38"/>
    <row r="395" ht="54" customHeight="1" s="38"/>
    <row r="396" ht="54" customHeight="1" s="38"/>
    <row r="397" ht="54" customHeight="1" s="38"/>
    <row r="398" ht="54" customHeight="1" s="38"/>
    <row r="399" ht="54" customHeight="1" s="38"/>
    <row r="400" ht="54" customHeight="1" s="38"/>
    <row r="401" ht="54" customHeight="1" s="38"/>
    <row r="402" ht="54" customHeight="1" s="38"/>
    <row r="403" ht="54" customHeight="1" s="38"/>
    <row r="404" ht="54" customHeight="1" s="38"/>
    <row r="405" ht="54" customHeight="1" s="38"/>
    <row r="406" ht="54" customHeight="1" s="38"/>
    <row r="407" ht="54" customHeight="1" s="38"/>
    <row r="408" ht="54" customHeight="1" s="38"/>
    <row r="409" ht="54" customHeight="1" s="38"/>
    <row r="410" ht="54" customHeight="1" s="38"/>
    <row r="411" ht="54" customHeight="1" s="38"/>
    <row r="412" ht="54" customHeight="1" s="38"/>
    <row r="413" ht="75.75" customHeight="1" s="38"/>
    <row r="414" ht="72" customHeight="1" s="38"/>
    <row r="415" ht="72" customHeight="1" s="38"/>
    <row r="416" ht="72" customHeight="1" s="38"/>
    <row r="424" ht="84.75" customHeight="1" s="38"/>
    <row r="425" ht="84.75" customHeight="1" s="38"/>
    <row r="426" ht="84.75" customHeight="1" s="38"/>
    <row r="427" ht="84.75" customHeight="1" s="38"/>
    <row r="429" ht="120" customHeight="1" s="38"/>
  </sheetData>
  <autoFilter ref="A5:X17"/>
  <mergeCells count="2">
    <mergeCell ref="A1:X2"/>
    <mergeCell ref="A3:X3"/>
  </mergeCells>
  <conditionalFormatting sqref="S6:S17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17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17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17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17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7.16" customWidth="1" style="37" min="1" max="1"/>
    <col width="28.65" customWidth="1" style="37" min="2" max="2"/>
    <col width="16.71" customWidth="1" style="37" min="3" max="3"/>
    <col width="40.58" customWidth="1" style="37" min="4" max="4"/>
    <col width="31.03" customWidth="1" style="37" min="5" max="5"/>
    <col width="9.550000000000001" customWidth="1" style="37" min="6" max="6"/>
    <col width="31.03" customWidth="1" style="37" min="7" max="7"/>
    <col width="21.48" customWidth="1" style="37" min="8" max="8"/>
    <col width="54.9" customWidth="1" style="37" min="9" max="9"/>
  </cols>
  <sheetData>
    <row r="1" ht="15" customHeight="1" s="38">
      <c r="A1" s="56" t="inlineStr">
        <is>
          <t>敌人动画与状态 · 状态机 × 表现职责</t>
        </is>
      </c>
    </row>
    <row r="2" ht="15" customHeight="1" s="38"/>
    <row r="3" ht="15" customHeight="1" s="38">
      <c r="A3" s="40" t="inlineStr">
        <is>
          <t>状态ID 逐字取自 src/enemy3d/Enemy3D.gd 的 VALID_STATES（12 态）；敌人当前为程序驱动，尚无 Blender 动作母版。动作库接入后必须在「动作来源」列改为 Blender，并登记动作母版路径与 SHA-256。</t>
        </is>
      </c>
    </row>
    <row r="4"/>
    <row r="5" ht="31.5" customHeight="1" s="38">
      <c r="A5" s="44" t="inlineStr">
        <is>
          <t>序号</t>
        </is>
      </c>
      <c r="B5" s="44" t="inlineStr">
        <is>
          <t>状态ID</t>
        </is>
      </c>
      <c r="C5" s="44" t="inlineStr">
        <is>
          <t>中文名</t>
        </is>
      </c>
      <c r="D5" s="44" t="inlineStr">
        <is>
          <t>表现职责</t>
        </is>
      </c>
      <c r="E5" s="44" t="inlineStr">
        <is>
          <t>动作来源</t>
        </is>
      </c>
      <c r="F5" s="44" t="inlineStr">
        <is>
          <t>循环</t>
        </is>
      </c>
      <c r="G5" s="44" t="inlineStr">
        <is>
          <t>挂点/特效挂钩</t>
        </is>
      </c>
      <c r="H5" s="44" t="inlineStr">
        <is>
          <t>首版实现</t>
        </is>
      </c>
      <c r="I5" s="44" t="inlineStr">
        <is>
          <t>备注</t>
        </is>
      </c>
    </row>
    <row r="6" ht="25.5" customHeight="1" s="38">
      <c r="A6" s="48" t="n">
        <v>1</v>
      </c>
      <c r="B6" s="55" t="inlineStr">
        <is>
          <t>dormant</t>
        </is>
      </c>
      <c r="C6" s="48" t="inlineStr">
        <is>
          <t>休眠</t>
        </is>
      </c>
      <c r="D6" s="48" t="inlineStr">
        <is>
          <t>未激活前不表现；不消耗视觉预算</t>
        </is>
      </c>
      <c r="E6" s="48" t="inlineStr">
        <is>
          <t>程序驱动；ranged_caster 已接入保安僵尸 Blender 视觉与射击剪辑</t>
        </is>
      </c>
      <c r="F6" s="48" t="inlineStr">
        <is>
          <t>不播放（采样钉在 0）</t>
        </is>
      </c>
      <c r="G6" s="48" t="inlineStr">
        <is>
          <t>—</t>
        </is>
      </c>
      <c r="H6" s="48" t="inlineStr">
        <is>
          <t>无（钉 0）</t>
        </is>
      </c>
      <c r="I6" s="48" t="inlineStr">
        <is>
          <t>状态转移表见 src/enemy3d/Enemy3D.gd transition_to()，尚未逐条登记</t>
        </is>
      </c>
    </row>
    <row r="7" ht="25.5" customHeight="1" s="38">
      <c r="A7" s="48" t="n">
        <v>2</v>
      </c>
      <c r="B7" s="55" t="inlineStr">
        <is>
          <t>idle</t>
        </is>
      </c>
      <c r="C7" s="48" t="inlineStr">
        <is>
          <t>待机</t>
        </is>
      </c>
      <c r="D7" s="48" t="inlineStr">
        <is>
          <t>呼吸/轻微起伏；程序驱动</t>
        </is>
      </c>
      <c r="E7" s="48" t="inlineStr">
        <is>
          <t>程序驱动；ranged_caster 已接入保安僵尸 Blender 视觉与射击剪辑</t>
        </is>
      </c>
      <c r="F7" s="48" t="inlineStr">
        <is>
          <t>循环</t>
        </is>
      </c>
      <c r="G7" s="55" t="inlineStr">
        <is>
          <t>StateVFX 状态环</t>
        </is>
      </c>
      <c r="H7" s="55" t="inlineStr">
        <is>
          <t>idle 循环剪辑</t>
        </is>
      </c>
      <c r="I7" s="48" t="inlineStr">
        <is>
          <t>状态转移表见 src/enemy3d/Enemy3D.gd transition_to()，尚未逐条登记</t>
        </is>
      </c>
    </row>
    <row r="8" ht="25.5" customHeight="1" s="38">
      <c r="A8" s="48" t="n">
        <v>3</v>
      </c>
      <c r="B8" s="55" t="inlineStr">
        <is>
          <t>patrol</t>
        </is>
      </c>
      <c r="C8" s="48" t="inlineStr">
        <is>
          <t>巡逻</t>
        </is>
      </c>
      <c r="D8" s="48" t="inlineStr">
        <is>
          <t>沿巡逻点位移；朝向跟随路径</t>
        </is>
      </c>
      <c r="E8" s="48" t="inlineStr">
        <is>
          <t>程序驱动；ranged_caster 已接入保安僵尸 Blender 视觉与射击剪辑</t>
        </is>
      </c>
      <c r="F8" s="48" t="inlineStr">
        <is>
          <t>循环</t>
        </is>
      </c>
      <c r="G8" s="55" t="inlineStr">
        <is>
          <t>StateVFX 状态环</t>
        </is>
      </c>
      <c r="H8" s="55" t="inlineStr">
        <is>
          <t>walking（唯一用走路的移动状态）</t>
        </is>
      </c>
      <c r="I8" s="48" t="inlineStr">
        <is>
          <t>状态转移表见 src/enemy3d/Enemy3D.gd transition_to()，尚未逐条登记</t>
        </is>
      </c>
    </row>
    <row r="9" ht="25.5" customHeight="1" s="38">
      <c r="A9" s="48" t="n">
        <v>4</v>
      </c>
      <c r="B9" s="55" t="inlineStr">
        <is>
          <t>alert</t>
        </is>
      </c>
      <c r="C9" s="48" t="inlineStr">
        <is>
          <t>警觉</t>
        </is>
      </c>
      <c r="D9" s="48" t="inlineStr">
        <is>
          <t>锁定可疑目标；身体抬升/视线上抬</t>
        </is>
      </c>
      <c r="E9" s="48" t="inlineStr">
        <is>
          <t>程序驱动；ranged_caster 已接入保安僵尸 Blender 视觉与射击剪辑</t>
        </is>
      </c>
      <c r="F9" s="48" t="inlineStr">
        <is>
          <t>循环（复用 idle）</t>
        </is>
      </c>
      <c r="G9" s="55" t="inlineStr">
        <is>
          <t>StateVFX 状态环</t>
        </is>
      </c>
      <c r="H9" s="55" t="inlineStr">
        <is>
          <t>idle 循环剪辑</t>
        </is>
      </c>
      <c r="I9" s="48" t="inlineStr">
        <is>
          <t>状态转移表见 src/enemy3d/Enemy3D.gd transition_to()，尚未逐条登记</t>
        </is>
      </c>
    </row>
    <row r="10" ht="25.5" customHeight="1" s="38">
      <c r="A10" s="48" t="n">
        <v>5</v>
      </c>
      <c r="B10" s="55" t="inlineStr">
        <is>
          <t>chase</t>
        </is>
      </c>
      <c r="C10" s="48" t="inlineStr">
        <is>
          <t>追击</t>
        </is>
      </c>
      <c r="D10" s="48" t="inlineStr">
        <is>
          <t>朝玩家追击；步频随速度切换</t>
        </is>
      </c>
      <c r="E10" s="48" t="inlineStr">
        <is>
          <t>程序驱动；ranged_caster 已接入保安僵尸 Blender 视觉与射击剪辑</t>
        </is>
      </c>
      <c r="F10" s="48" t="inlineStr">
        <is>
          <t>循环</t>
        </is>
      </c>
      <c r="G10" s="55" t="inlineStr">
        <is>
          <t>StateVFX 状态环</t>
        </is>
      </c>
      <c r="H10" s="55" t="inlineStr">
        <is>
          <t>running 循环剪辑</t>
        </is>
      </c>
      <c r="I10" s="48" t="inlineStr">
        <is>
          <t>状态转移表见 src/enemy3d/Enemy3D.gd transition_to()，尚未逐条登记</t>
        </is>
      </c>
    </row>
    <row r="11" ht="25.5" customHeight="1" s="38">
      <c r="A11" s="48" t="n">
        <v>6</v>
      </c>
      <c r="B11" s="55" t="inlineStr">
        <is>
          <t>search</t>
        </is>
      </c>
      <c r="C11" s="48" t="inlineStr">
        <is>
          <t>搜寻</t>
        </is>
      </c>
      <c r="D11" s="48" t="inlineStr">
        <is>
          <t>丢失目标后在最后已知位置环视</t>
        </is>
      </c>
      <c r="E11" s="48" t="inlineStr">
        <is>
          <t>程序驱动；ranged_caster 已接入保安僵尸 Blender 视觉与射击剪辑</t>
        </is>
      </c>
      <c r="F11" s="48" t="inlineStr">
        <is>
          <t>循环</t>
        </is>
      </c>
      <c r="G11" s="55" t="inlineStr">
        <is>
          <t>StateVFX 状态环</t>
        </is>
      </c>
      <c r="H11" s="55" t="inlineStr">
        <is>
          <t>running 循环剪辑</t>
        </is>
      </c>
      <c r="I11" s="48" t="inlineStr">
        <is>
          <t>状态转移表见 src/enemy3d/Enemy3D.gd transition_to()，尚未逐条登记</t>
        </is>
      </c>
    </row>
    <row r="12" ht="25.5" customHeight="1" s="38">
      <c r="A12" s="48" t="n">
        <v>7</v>
      </c>
      <c r="B12" s="55" t="inlineStr">
        <is>
          <t>return</t>
        </is>
      </c>
      <c r="C12" s="48" t="inlineStr">
        <is>
          <t>归位</t>
        </is>
      </c>
      <c r="D12" s="48" t="inlineStr">
        <is>
          <t>脱离战斗归巡逻点</t>
        </is>
      </c>
      <c r="E12" s="48" t="inlineStr">
        <is>
          <t>程序驱动；ranged_caster 已接入保安僵尸 Blender 视觉与射击剪辑</t>
        </is>
      </c>
      <c r="F12" s="48" t="inlineStr">
        <is>
          <t>循环</t>
        </is>
      </c>
      <c r="G12" s="55" t="inlineStr">
        <is>
          <t>StateVFX 状态环</t>
        </is>
      </c>
      <c r="H12" s="55" t="inlineStr">
        <is>
          <t>running 循环剪辑</t>
        </is>
      </c>
      <c r="I12" s="48" t="inlineStr">
        <is>
          <t>状态转移表见 src/enemy3d/Enemy3D.gd transition_to()，尚未逐条登记</t>
        </is>
      </c>
    </row>
    <row r="13" ht="25.5" customHeight="1" s="38">
      <c r="A13" s="48" t="n">
        <v>8</v>
      </c>
      <c r="B13" s="55" t="inlineStr">
        <is>
          <t>telegraph</t>
        </is>
      </c>
      <c r="C13" s="48" t="inlineStr">
        <is>
          <t>预警</t>
        </is>
      </c>
      <c r="D13" s="48" t="inlineStr">
        <is>
          <t>出手前的蓄力前摇，必须可读</t>
        </is>
      </c>
      <c r="E13" s="48" t="inlineStr">
        <is>
          <t>程序驱动；ranged_caster 已接入保安僵尸 Blender 视觉与射击剪辑</t>
        </is>
      </c>
      <c r="F13" s="48" t="inlineStr">
        <is>
          <t>单次（采样至 length×0.48）</t>
        </is>
      </c>
      <c r="G13" s="55" t="inlineStr">
        <is>
          <t>StateVFX 状态环（前摇必须可读）</t>
        </is>
      </c>
      <c r="H13" s="55" t="inlineStr">
        <is>
          <t>shoot（状态机采样；攻击事件仍由 Enemy3D 发射三弹）</t>
        </is>
      </c>
      <c r="I13" s="48" t="inlineStr">
        <is>
          <t>状态转移表见 src/enemy3d/Enemy3D.gd transition_to()，尚未逐条登记</t>
        </is>
      </c>
    </row>
    <row r="14" ht="25.5" customHeight="1" s="38">
      <c r="A14" s="48" t="n">
        <v>9</v>
      </c>
      <c r="B14" s="55" t="inlineStr">
        <is>
          <t>attack</t>
        </is>
      </c>
      <c r="C14" s="48" t="inlineStr">
        <is>
          <t>攻击</t>
        </is>
      </c>
      <c r="D14" s="48" t="inlineStr">
        <is>
          <t>判定生效帧与挥击/发射表现对齐</t>
        </is>
      </c>
      <c r="E14" s="48" t="inlineStr">
        <is>
          <t>程序驱动；ranged_caster 已接入保安僵尸 Blender 视觉与射击剪辑</t>
        </is>
      </c>
      <c r="F14" s="48" t="inlineStr">
        <is>
          <t>单次（钉 length×0.48）</t>
        </is>
      </c>
      <c r="G14" s="55" t="inlineStr">
        <is>
          <t>StateVFX 状态环；VFX-IMPACT-3D</t>
        </is>
      </c>
      <c r="H14" s="55" t="inlineStr">
        <is>
          <t>shoot（状态机采样；攻击事件仍由 Enemy3D 发射三弹）</t>
        </is>
      </c>
      <c r="I14" s="48" t="inlineStr">
        <is>
          <t>状态转移表见 src/enemy3d/Enemy3D.gd transition_to()，尚未逐条登记</t>
        </is>
      </c>
    </row>
    <row r="15" ht="25.5" customHeight="1" s="38">
      <c r="A15" s="48" t="n">
        <v>10</v>
      </c>
      <c r="B15" s="55" t="inlineStr">
        <is>
          <t>recovery</t>
        </is>
      </c>
      <c r="C15" s="48" t="inlineStr">
        <is>
          <t>收招</t>
        </is>
      </c>
      <c r="D15" s="48" t="inlineStr">
        <is>
          <t>攻击后的硬直表现</t>
        </is>
      </c>
      <c r="E15" s="48" t="inlineStr">
        <is>
          <t>程序驱动；ranged_caster 已接入保安僵尸 Blender 视觉与射击剪辑</t>
        </is>
      </c>
      <c r="F15" s="48" t="inlineStr">
        <is>
          <t>单次（0.48 → 1.0 线性）</t>
        </is>
      </c>
      <c r="G15" s="55" t="inlineStr">
        <is>
          <t>StateVFX 状态环</t>
        </is>
      </c>
      <c r="H15" s="55" t="inlineStr">
        <is>
          <t>shoot（状态机采样；攻击事件仍由 Enemy3D 发射三弹）</t>
        </is>
      </c>
      <c r="I15" s="48" t="inlineStr">
        <is>
          <t>状态转移表见 src/enemy3d/Enemy3D.gd transition_to()，尚未逐条登记</t>
        </is>
      </c>
    </row>
    <row r="16" ht="25.5" customHeight="1" s="38">
      <c r="A16" s="48" t="n">
        <v>11</v>
      </c>
      <c r="B16" s="55" t="inlineStr">
        <is>
          <t>stagger</t>
        </is>
      </c>
      <c r="C16" s="48" t="inlineStr">
        <is>
          <t>踉跄</t>
        </is>
      </c>
      <c r="D16" s="48" t="inlineStr">
        <is>
          <t>受击打断；闪白 + 位移</t>
        </is>
      </c>
      <c r="E16" s="48" t="inlineStr">
        <is>
          <t>程序驱动；ranged_caster 已接入保安僵尸 Blender 视觉与射击剪辑</t>
        </is>
      </c>
      <c r="F16" s="48" t="inlineStr">
        <is>
          <t>单次（0.16s 硬直内）</t>
        </is>
      </c>
      <c r="G16" s="48" t="inlineStr">
        <is>
          <t>受击闪白（材质 emission 覆盖）</t>
        </is>
      </c>
      <c r="H16" s="55" t="inlineStr">
        <is>
          <t>hurt 按 0.16s 采样</t>
        </is>
      </c>
      <c r="I16" s="48" t="inlineStr">
        <is>
          <t>状态转移表见 src/enemy3d/Enemy3D.gd transition_to()，尚未逐条登记</t>
        </is>
      </c>
    </row>
    <row r="17" ht="25.5" customHeight="1" s="38">
      <c r="A17" s="48" t="n">
        <v>12</v>
      </c>
      <c r="B17" s="55" t="inlineStr">
        <is>
          <t>dead</t>
        </is>
      </c>
      <c r="C17" s="48" t="inlineStr">
        <is>
          <t>死亡</t>
        </is>
      </c>
      <c r="D17" s="48" t="inlineStr">
        <is>
          <t>倒地/瓦解；播放结束即回收</t>
        </is>
      </c>
      <c r="E17" s="48" t="inlineStr">
        <is>
          <t>程序驱动；ranged_caster 已接入保安僵尸 Blender 视觉与射击剪辑</t>
        </is>
      </c>
      <c r="F17" s="48" t="inlineStr">
        <is>
          <t>单次（末帧保持）</t>
        </is>
      </c>
      <c r="G17" s="55" t="inlineStr">
        <is>
          <t>VFX-IMPACT-3D；表现保留 2.4s</t>
        </is>
      </c>
      <c r="H17" s="55" t="inlineStr">
        <is>
          <t>dead 采样至剪辑长</t>
        </is>
      </c>
      <c r="I17" s="48" t="inlineStr">
        <is>
          <t>状态转移表见 src/enemy3d/Enemy3D.gd transition_to()，尚未逐条登记</t>
        </is>
      </c>
    </row>
    <row r="18"/>
    <row r="19" ht="15" customHeight="1" s="38">
      <c r="A19" s="51" t="inlineStr">
        <is>
          <t>敌人条目 × 状态机对照（本账本《资产主表》的每条敌人资产都走同一套 12 态状态机）</t>
        </is>
      </c>
      <c r="B19" s="52" t="n"/>
      <c r="C19" s="52" t="n"/>
      <c r="D19" s="52" t="n"/>
      <c r="E19" s="52" t="n"/>
      <c r="F19" s="52" t="n"/>
      <c r="G19" s="52" t="n"/>
      <c r="H19" s="52" t="n"/>
      <c r="I19" s="53" t="n"/>
    </row>
    <row r="20" ht="15" customHeight="1" s="38">
      <c r="A20" s="42" t="inlineStr">
        <is>
          <t>序号</t>
        </is>
      </c>
      <c r="B20" s="42" t="inlineStr">
        <is>
          <t>敌人ID(AssetID)</t>
        </is>
      </c>
      <c r="C20" s="42" t="inlineStr">
        <is>
          <t>中文名</t>
        </is>
      </c>
      <c r="D20" s="42" t="inlineStr">
        <is>
          <t>骨架/动作库</t>
        </is>
      </c>
      <c r="E20" s="42" t="inlineStr">
        <is>
          <t>状态机</t>
        </is>
      </c>
      <c r="F20" s="42" t="inlineStr">
        <is>
          <t>表现层级</t>
        </is>
      </c>
      <c r="G20" s="42" t="inlineStr">
        <is>
          <t>独立动作母版</t>
        </is>
      </c>
      <c r="H20" s="42" t="inlineStr">
        <is>
          <t>首版实现</t>
        </is>
      </c>
      <c r="I20" s="42" t="inlineStr">
        <is>
          <t>备注</t>
        </is>
      </c>
    </row>
    <row r="21" ht="47.75" customHeight="1" s="38">
      <c r="A21" s="48" t="n">
        <v>1</v>
      </c>
      <c r="B21" s="55" t="inlineStr">
        <is>
          <t>ENM-MELEE-FUNGBOAR01</t>
        </is>
      </c>
      <c r="C21" s="48" t="inlineStr">
        <is>
          <t>小僵尸</t>
        </is>
      </c>
      <c r="D21" s="55" t="inlineStr">
        <is>
          <t>Blender 动作母版 v003（36 骨；6 剪辑 idle/walking/running/attack/hurt/dead）</t>
        </is>
      </c>
      <c r="E21" s="55" t="inlineStr">
        <is>
          <t>ENEMY_AI_12_STATES</t>
        </is>
      </c>
      <c r="F21" s="48" t="inlineStr">
        <is>
          <t>骨骼 GLB / runtime Prefab（无碰撞）</t>
        </is>
      </c>
      <c r="G21" s="48" t="inlineStr">
        <is>
          <t>有：assets/art/enemies/normal_enemy_3d/melee_chaser/source/animation/enm_melee_fungboar01_animation_v003.blend</t>
        </is>
      </c>
      <c r="H21" s="48" t="inlineStr">
        <is>
          <t>已完成（verify_melee_zombie_presentation）</t>
        </is>
      </c>
      <c r="I21" s="48" t="n"/>
    </row>
    <row r="22" ht="52.2" customHeight="1" s="38">
      <c r="A22" s="48" t="n">
        <v>2</v>
      </c>
      <c r="B22" s="55" t="inlineStr">
        <is>
          <t>ENM-RANGED-SPORESHOOTER01</t>
        </is>
      </c>
      <c r="C22" s="48" t="inlineStr">
        <is>
          <t>保安僵尸</t>
        </is>
      </c>
      <c r="D22" s="55" t="inlineStr">
        <is>
          <t>Blender 动作母版 v002（复用36骨；6基础剪辑 + armed_idle/walking_armed/running_armed/shoot）</t>
        </is>
      </c>
      <c r="E22" s="55" t="inlineStr">
        <is>
          <t>ENEMY_AI_12_STATES</t>
        </is>
      </c>
      <c r="F22" s="48" t="inlineStr">
        <is>
          <t>骨骼 GLB / runtime Prefab / 双管炮视觉附件（无碰撞）</t>
        </is>
      </c>
      <c r="G22" s="48" t="inlineStr">
        <is>
          <t>有：assets/art/enemies/normal_enemy_3d/ranged_caster/source/animation/enm_ranged_sporeshooter01_animation_v002.blend</t>
        </is>
      </c>
      <c r="H22" s="48" t="inlineStr">
        <is>
          <t>已接入（verify_security_zombie_presentation）</t>
        </is>
      </c>
      <c r="I22" s="48" t="n"/>
    </row>
    <row r="23" ht="20.85" customHeight="1" s="38">
      <c r="A23" s="48" t="n">
        <v>3</v>
      </c>
      <c r="B23" s="55" t="inlineStr">
        <is>
          <t>ENM-SUMMON-HIVE01</t>
        </is>
      </c>
      <c r="C23" s="48" t="inlineStr">
        <is>
          <t>蜂巢怪</t>
        </is>
      </c>
      <c r="D23" s="48" t="inlineStr">
        <is>
          <t>无 Blender 动作母版（程序驱动）</t>
        </is>
      </c>
      <c r="E23" s="55" t="inlineStr">
        <is>
          <t>ENEMY_AI_12_STATES</t>
        </is>
      </c>
      <c r="F23" s="48" t="inlineStr">
        <is>
          <t>程序 Mesh / Prefab</t>
        </is>
      </c>
      <c r="G23" s="48" t="inlineStr">
        <is>
          <t>无</t>
        </is>
      </c>
      <c r="H23" s="48" t="inlineStr">
        <is>
          <t>待登记</t>
        </is>
      </c>
      <c r="I23" s="48" t="n"/>
    </row>
    <row r="24" ht="20.85" customHeight="1" s="38">
      <c r="A24" s="48" t="n">
        <v>4</v>
      </c>
      <c r="B24" s="55" t="inlineStr">
        <is>
          <t>ENM-TANK-SHELLGUARD01</t>
        </is>
      </c>
      <c r="C24" s="48" t="inlineStr">
        <is>
          <t>壳甲卫兵</t>
        </is>
      </c>
      <c r="D24" s="48" t="inlineStr">
        <is>
          <t>无 Blender 动作母版（程序驱动）</t>
        </is>
      </c>
      <c r="E24" s="55" t="inlineStr">
        <is>
          <t>ENEMY_AI_12_STATES</t>
        </is>
      </c>
      <c r="F24" s="48" t="inlineStr">
        <is>
          <t>程序 Mesh / Prefab</t>
        </is>
      </c>
      <c r="G24" s="48" t="inlineStr">
        <is>
          <t>无</t>
        </is>
      </c>
      <c r="H24" s="48" t="inlineStr">
        <is>
          <t>待登记</t>
        </is>
      </c>
      <c r="I24" s="48" t="n"/>
    </row>
    <row r="25" ht="20.85" customHeight="1" s="38">
      <c r="A25" s="48" t="n">
        <v>5</v>
      </c>
      <c r="B25" s="55" t="inlineStr">
        <is>
          <t>ENM-BOMBER-FRUIT01</t>
        </is>
      </c>
      <c r="C25" s="48" t="inlineStr">
        <is>
          <t>炸弹果</t>
        </is>
      </c>
      <c r="D25" s="48" t="inlineStr">
        <is>
          <t>无 Blender 动作母版（程序驱动）</t>
        </is>
      </c>
      <c r="E25" s="55" t="inlineStr">
        <is>
          <t>ENEMY_AI_12_STATES</t>
        </is>
      </c>
      <c r="F25" s="48" t="inlineStr">
        <is>
          <t>程序 Mesh / Prefab</t>
        </is>
      </c>
      <c r="G25" s="48" t="inlineStr">
        <is>
          <t>无</t>
        </is>
      </c>
      <c r="H25" s="48" t="inlineStr">
        <is>
          <t>待登记</t>
        </is>
      </c>
      <c r="I25" s="48" t="n"/>
    </row>
    <row r="26" ht="20.85" customHeight="1" s="38">
      <c r="A26" s="48" t="n">
        <v>6</v>
      </c>
      <c r="B26" s="55" t="inlineStr">
        <is>
          <t>ENM-TRAP-SPIKEWORM01</t>
        </is>
      </c>
      <c r="C26" s="48" t="inlineStr">
        <is>
          <t>地刺虫</t>
        </is>
      </c>
      <c r="D26" s="48" t="inlineStr">
        <is>
          <t>无 Blender 动作母版（程序驱动）</t>
        </is>
      </c>
      <c r="E26" s="55" t="inlineStr">
        <is>
          <t>ENEMY_AI_12_STATES</t>
        </is>
      </c>
      <c r="F26" s="48" t="inlineStr">
        <is>
          <t>程序 Mesh / Prefab</t>
        </is>
      </c>
      <c r="G26" s="48" t="inlineStr">
        <is>
          <t>无</t>
        </is>
      </c>
      <c r="H26" s="48" t="inlineStr">
        <is>
          <t>待登记</t>
        </is>
      </c>
      <c r="I26" s="48" t="n"/>
    </row>
    <row r="27" ht="20.85" customHeight="1" s="38">
      <c r="A27" s="48" t="n">
        <v>7</v>
      </c>
      <c r="B27" s="55" t="inlineStr">
        <is>
          <t>ENM-BOSS-ABYSS01</t>
        </is>
      </c>
      <c r="C27" s="48" t="inlineStr">
        <is>
          <t>深渊 Boss</t>
        </is>
      </c>
      <c r="D27" s="48" t="inlineStr">
        <is>
          <t>无 Blender 动作母版（程序驱动）</t>
        </is>
      </c>
      <c r="E27" s="55" t="inlineStr">
        <is>
          <t>ENEMY_AI_12_STATES</t>
        </is>
      </c>
      <c r="F27" s="48" t="inlineStr">
        <is>
          <t>程序 Mesh / Prefab</t>
        </is>
      </c>
      <c r="G27" s="48" t="inlineStr">
        <is>
          <t>无</t>
        </is>
      </c>
      <c r="H27" s="48" t="inlineStr">
        <is>
          <t>待登记</t>
        </is>
      </c>
      <c r="I27" s="48" t="n"/>
    </row>
    <row r="28" ht="20.85" customHeight="1" s="38">
      <c r="A28" s="48" t="n">
        <v>8</v>
      </c>
      <c r="B28" s="55" t="inlineStr">
        <is>
          <t>ENM-ECOSYSTEM-KIT-3D</t>
        </is>
      </c>
      <c r="C28" s="48" t="inlineStr">
        <is>
          <t>七类怪物3D生态套件</t>
        </is>
      </c>
      <c r="D28" s="48" t="inlineStr">
        <is>
          <t>无 Blender 动作母版（程序驱动）</t>
        </is>
      </c>
      <c r="E28" s="55" t="inlineStr">
        <is>
          <t>ENEMY_AI_12_STATES</t>
        </is>
      </c>
      <c r="F28" s="48" t="inlineStr">
        <is>
          <t>程序 Mesh / Prefab</t>
        </is>
      </c>
      <c r="G28" s="48" t="inlineStr">
        <is>
          <t>无</t>
        </is>
      </c>
      <c r="H28" s="48" t="inlineStr">
        <is>
          <t>待登记</t>
        </is>
      </c>
      <c r="I28" s="48" t="n"/>
    </row>
    <row r="29" ht="20.85" customHeight="1" s="38">
      <c r="A29" s="48" t="n">
        <v>9</v>
      </c>
      <c r="B29" s="55" t="inlineStr">
        <is>
          <t>ENM-BOSS-ARCHIVIST-95</t>
        </is>
      </c>
      <c r="C29" s="48" t="inlineStr">
        <is>
          <t>深渊档案官</t>
        </is>
      </c>
      <c r="D29" s="48" t="inlineStr">
        <is>
          <t>无 Blender 动作母版（程序驱动）</t>
        </is>
      </c>
      <c r="E29" s="55" t="inlineStr">
        <is>
          <t>ENEMY_AI_12_STATES</t>
        </is>
      </c>
      <c r="F29" s="48" t="inlineStr">
        <is>
          <t>程序 Mesh / Prefab</t>
        </is>
      </c>
      <c r="G29" s="48" t="inlineStr">
        <is>
          <t>无</t>
        </is>
      </c>
      <c r="H29" s="48" t="inlineStr">
        <is>
          <t>待登记</t>
        </is>
      </c>
      <c r="I29" s="48" t="n"/>
    </row>
    <row r="30" ht="20.85" customHeight="1" s="38">
      <c r="A30" s="48" t="n">
        <v>10</v>
      </c>
      <c r="B30" s="55" t="inlineStr">
        <is>
          <t>ENM-BOSS-FURNACE-WARDEN-90</t>
        </is>
      </c>
      <c r="C30" s="48" t="inlineStr">
        <is>
          <t>熔炉狱监</t>
        </is>
      </c>
      <c r="D30" s="48" t="inlineStr">
        <is>
          <t>无 Blender 动作母版（程序驱动）</t>
        </is>
      </c>
      <c r="E30" s="55" t="inlineStr">
        <is>
          <t>ENEMY_AI_12_STATES</t>
        </is>
      </c>
      <c r="F30" s="48" t="inlineStr">
        <is>
          <t>程序 Mesh / Prefab</t>
        </is>
      </c>
      <c r="G30" s="48" t="inlineStr">
        <is>
          <t>无</t>
        </is>
      </c>
      <c r="H30" s="48" t="inlineStr">
        <is>
          <t>待登记</t>
        </is>
      </c>
      <c r="I30" s="48" t="n"/>
    </row>
    <row r="31" ht="20.85" customHeight="1" s="38">
      <c r="A31" s="48" t="n">
        <v>11</v>
      </c>
      <c r="B31" s="55" t="inlineStr">
        <is>
          <t>ENM-BOSS-HOLLOW-CHOIR-85</t>
        </is>
      </c>
      <c r="C31" s="48" t="inlineStr">
        <is>
          <t>空洞合唱团</t>
        </is>
      </c>
      <c r="D31" s="48" t="inlineStr">
        <is>
          <t>无 Blender 动作母版（程序驱动）</t>
        </is>
      </c>
      <c r="E31" s="55" t="inlineStr">
        <is>
          <t>ENEMY_AI_12_STATES</t>
        </is>
      </c>
      <c r="F31" s="48" t="inlineStr">
        <is>
          <t>程序 Mesh / Prefab</t>
        </is>
      </c>
      <c r="G31" s="48" t="inlineStr">
        <is>
          <t>无</t>
        </is>
      </c>
      <c r="H31" s="48" t="inlineStr">
        <is>
          <t>待登记</t>
        </is>
      </c>
      <c r="I31" s="48" t="n"/>
    </row>
    <row r="32" ht="20.85" customHeight="1" s="38">
      <c r="A32" s="48" t="n">
        <v>12</v>
      </c>
      <c r="B32" s="55" t="inlineStr">
        <is>
          <t>ENM-ELITE-RIFT-BOAR-ARMED-3D</t>
        </is>
      </c>
      <c r="C32" s="48" t="inlineStr">
        <is>
          <t>背枪的裂口爬虫3D精英根</t>
        </is>
      </c>
      <c r="D32" s="48" t="inlineStr">
        <is>
          <t>无 Blender 动作母版（程序驱动）</t>
        </is>
      </c>
      <c r="E32" s="55" t="inlineStr">
        <is>
          <t>ENEMY_AI_12_STATES</t>
        </is>
      </c>
      <c r="F32" s="48" t="inlineStr">
        <is>
          <t>程序 Mesh / Prefab</t>
        </is>
      </c>
      <c r="G32" s="48" t="inlineStr">
        <is>
          <t>无</t>
        </is>
      </c>
      <c r="H32" s="48" t="inlineStr">
        <is>
          <t>待登记</t>
        </is>
      </c>
      <c r="I32" s="48" t="n"/>
    </row>
    <row r="33" ht="15" customHeight="1" s="38">
      <c r="A33" s="44" t="inlineStr">
        <is>
          <t>合计</t>
        </is>
      </c>
      <c r="B33" s="44">
        <f>COUNTA(B21:B32)</f>
        <v/>
      </c>
      <c r="C33" s="44" t="n"/>
      <c r="D33" s="44" t="n"/>
      <c r="E33" s="44" t="n"/>
      <c r="F33" s="44" t="n"/>
      <c r="G33" s="44" t="n"/>
      <c r="H33" s="44" t="n"/>
      <c r="I33" s="44" t="n"/>
    </row>
  </sheetData>
  <mergeCells count="3">
    <mergeCell ref="A3:I3"/>
    <mergeCell ref="A1:I2"/>
    <mergeCell ref="A19:I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37" min="1" max="1"/>
    <col width="25.07" customWidth="1" style="37" min="2" max="2"/>
    <col width="52.52" customWidth="1" style="37" min="3" max="3"/>
    <col width="50.13" customWidth="1" style="37" min="4" max="4"/>
    <col width="45.35" customWidth="1" style="37" min="5" max="5"/>
    <col width="32.22" customWidth="1" style="37" min="6" max="6"/>
    <col width="42.97" customWidth="1" style="37" min="7" max="7"/>
    <col width="11.94" customWidth="1" style="37" min="8" max="8"/>
    <col width="14.33" customWidth="1" style="37" min="9" max="9"/>
    <col width="21.48" customWidth="1" style="37" min="10" max="10"/>
    <col width="31.03" customWidth="1" style="37" min="11" max="11"/>
    <col width="28.65" customWidth="1" style="37" min="12" max="13"/>
    <col width="26.26" customWidth="1" style="37" min="14" max="14"/>
    <col width="11.94" customWidth="1" style="37" min="15" max="15"/>
    <col width="52.52" customWidth="1" style="37" min="16" max="16"/>
  </cols>
  <sheetData>
    <row r="1" ht="30" customHeight="1" s="38">
      <c r="A1" s="67" t="inlineStr">
        <is>
          <t>ShellStorm2 · 敌人 3D Prefab</t>
        </is>
      </c>
    </row>
    <row r="2" ht="33.75" customHeight="1" s="38">
      <c r="A2" s="68" t="inlineStr">
        <is>
          <t>普通敌人、精英、Boss与敌人共用根；当前2个独立Prefab，其中首只正式精英资产1/12。</t>
        </is>
      </c>
    </row>
    <row r="3"/>
    <row r="4" ht="30" customHeight="1" s="38">
      <c r="A4" s="69" t="inlineStr">
        <is>
          <t>AssetID</t>
        </is>
      </c>
      <c r="B4" s="70" t="inlineStr">
        <is>
          <t>中文名</t>
        </is>
      </c>
      <c r="C4" s="71" t="inlineStr">
        <is>
          <t>Prefab路径</t>
        </is>
      </c>
      <c r="D4" s="71" t="inlineStr">
        <is>
          <t>GLB模型路径</t>
        </is>
      </c>
      <c r="E4" s="71" t="inlineStr">
        <is>
          <t>Blender源文件</t>
        </is>
      </c>
      <c r="F4" s="70" t="inlineStr">
        <is>
          <t>功能说明</t>
        </is>
      </c>
      <c r="G4" s="70" t="inlineStr">
        <is>
          <t>功能脚本路径</t>
        </is>
      </c>
      <c r="H4" s="70" t="inlineStr">
        <is>
          <t>碰撞开关</t>
        </is>
      </c>
      <c r="I4" s="70" t="inlineStr">
        <is>
          <t>碰撞归属</t>
        </is>
      </c>
      <c r="J4" s="70" t="inlineStr">
        <is>
          <t>碰撞方式</t>
        </is>
      </c>
      <c r="K4" s="70" t="inlineStr">
        <is>
          <t>标准尺寸</t>
        </is>
      </c>
      <c r="L4" s="70" t="inlineStr">
        <is>
          <t>原点与朝向</t>
        </is>
      </c>
      <c r="M4" s="70" t="inlineStr">
        <is>
          <t>使用位置</t>
        </is>
      </c>
      <c r="N4" s="70" t="inlineStr">
        <is>
          <t>制作状态</t>
        </is>
      </c>
      <c r="O4" s="70" t="inlineStr">
        <is>
          <t>版本</t>
        </is>
      </c>
      <c r="P4" s="72" t="inlineStr">
        <is>
          <t>备注</t>
        </is>
      </c>
    </row>
    <row r="5" ht="66" customHeight="1" s="38">
      <c r="A5" s="73" t="inlineStr">
        <is>
          <t>ENM-ECOSYSTEM-KIT-3D</t>
        </is>
      </c>
      <c r="B5" s="74" t="inlineStr">
        <is>
          <t>七类怪物3D生态套件</t>
        </is>
      </c>
      <c r="C5" s="75" t="inlineStr">
        <is>
          <t>assets/art/enemies/enemy_3d/enm_ecosystem_kit_root_top3d_v001.tscn</t>
        </is>
      </c>
      <c r="D5" s="75" t="n"/>
      <c r="E5" s="75" t="n"/>
      <c r="F5" s="74" t="inlineStr">
        <is>
          <t>敌人3D共用根与表现系统</t>
        </is>
      </c>
      <c r="G5" s="75" t="inlineStr">
        <is>
          <t>src/enemy3d/Enemy3D.gd; src/enemy3d/EnemyAvatar3D.gd</t>
        </is>
      </c>
      <c r="H5" s="74" t="inlineStr">
        <is>
          <t>开</t>
        </is>
      </c>
      <c r="I5" s="75" t="inlineStr">
        <is>
          <t>Prefab自身</t>
        </is>
      </c>
      <c r="J5" s="75" t="inlineStr">
        <is>
          <t>CapsuleShape3D</t>
        </is>
      </c>
      <c r="K5" s="75" t="inlineStr">
        <is>
          <t>PackedScene/模块敌人</t>
        </is>
      </c>
      <c r="L5" s="74" t="inlineStr">
        <is>
          <t>未声明</t>
        </is>
      </c>
      <c r="M5" s="74" t="inlineStr">
        <is>
          <t>四主题战斗房</t>
        </is>
      </c>
      <c r="N5" s="74" t="inlineStr">
        <is>
          <t>原型已接入</t>
        </is>
      </c>
      <c r="O5" s="75" t="inlineStr">
        <is>
          <t>v001</t>
        </is>
      </c>
      <c r="P5" s="76" t="inlineStr">
        <is>
          <t>根节点=Enemy3D(CharacterBody3D)</t>
        </is>
      </c>
    </row>
    <row r="6" ht="54" customHeight="1" s="38">
      <c r="A6" s="65" t="inlineStr">
        <is>
          <t>ENM-ELITE-RIFT-BOAR-ARMED-3D</t>
        </is>
      </c>
      <c r="B6" s="41" t="inlineStr">
        <is>
          <t>背枪的裂口爬虫</t>
        </is>
      </c>
      <c r="C6" s="65" t="inlineStr">
        <is>
          <t>assets/art/enemies/elite_3d/rift_boar_armed/runtime/enm_elite_rift_boar_armed_root_top3d_v001.tscn</t>
        </is>
      </c>
      <c r="D6" s="65" t="inlineStr">
        <is>
          <t>assets/art/enemies/elite_3d/rift_boar_armed/components/enm_elite_rift_boar_armed_visual_top3d_v001.glb</t>
        </is>
      </c>
      <c r="E6" s="65" t="inlineStr">
        <is>
          <t>assets/art/enemies/elite_3d/rift_boar_armed/source/enm_elite_rift_boar_armed_source_v001.blend</t>
        </is>
      </c>
      <c r="F6" s="41" t="inlineStr">
        <is>
          <t>首只唯一精英独立表现、背负副枪与命名专属血条</t>
        </is>
      </c>
      <c r="G6" s="65" t="inlineStr">
        <is>
          <t>src/enemy3d/EliteContentCatalog.gd; src/enemy3d/EliteRosterService.gd; src/enemy3d/EnemyAvatar3D.gd; src/enemy3d/Enemy3D.gd</t>
        </is>
      </c>
      <c r="H6" s="41" t="inlineStr">
        <is>
          <t>关（表现资产）</t>
        </is>
      </c>
      <c r="I6" s="65" t="inlineStr">
        <is>
          <t>Enemy3D</t>
        </is>
      </c>
      <c r="J6" s="41" t="inlineStr">
        <is>
          <t>复用melee_chaser CylinderShape3D</t>
        </is>
      </c>
      <c r="K6" s="65" t="inlineStr">
        <is>
          <t>1.970×1.843×1.345m；18 Mesh；4材质</t>
        </is>
      </c>
      <c r="L6" s="41" t="inlineStr">
        <is>
          <t>底部可预测；Blender -Y / Godot -Z 正面；根Scale=1</t>
        </is>
      </c>
      <c r="M6" s="41" t="inlineStr">
        <is>
          <t>每次行动按run_seed在98F/97F/96F三选一；目标层随机ELITE房</t>
        </is>
      </c>
      <c r="N6" s="41" t="inlineStr">
        <is>
          <t>正式美术已接入</t>
        </is>
      </c>
      <c r="O6" s="65" t="inlineStr">
        <is>
          <t>v001</t>
        </is>
      </c>
      <c r="P6" s="65" t="inlineStr">
        <is>
          <t>AssetID与elite_id稳定；其余11只仍为design_only，完成专项前不投放。</t>
        </is>
      </c>
    </row>
    <row r="7" ht="79.84999999999999" customHeight="1" s="38">
      <c r="A7" s="65" t="inlineStr">
        <is>
          <t>ENM-MELEE-FUNGBOAR01</t>
        </is>
      </c>
      <c r="B7" s="41" t="inlineStr">
        <is>
          <t>小僵尸</t>
        </is>
      </c>
      <c r="C7" s="65" t="inlineStr">
        <is>
          <t>assets/art/enemies/normal_enemy_3d/melee_chaser/runtime/enm_melee_fungboar01_root_top3d.tscn</t>
        </is>
      </c>
      <c r="D7" s="65" t="inlineStr">
        <is>
          <t>assets/art/enemies/normal_enemy_3d/melee_chaser/components/enm_melee_fungboar01_visual_top3d.glb</t>
        </is>
      </c>
      <c r="E7" s="65" t="inlineStr">
        <is>
          <t>assets/art/enemies/normal_enemy_3d/melee_chaser/source/model/enm_melee_fungboar01_model_v002.blend; assets/art/enemies/normal_enemy_3d/melee_chaser/source/animation/enm_melee_fungboar01_animation_v003.blend</t>
        </is>
      </c>
      <c r="F7" s="41" t="inlineStr">
        <is>
          <t>首个标准普通怪表现；六段 Blender 剪辑按 12 态 AI 采样；36 骨</t>
        </is>
      </c>
      <c r="G7" s="65" t="inlineStr">
        <is>
          <t>src/enemy3d/EnemyAvatar3D.gd; assets/art/enemies/normal_enemy_3d/melee_chaser/runtime/melee_chaser_formal_visual.gd</t>
        </is>
      </c>
      <c r="H7" s="41" t="inlineStr">
        <is>
          <t>关（表现资产）</t>
        </is>
      </c>
      <c r="I7" s="65" t="inlineStr">
        <is>
          <t>Enemy3D</t>
        </is>
      </c>
      <c r="J7" s="65" t="inlineStr">
        <is>
          <t>CylinderShape3D（FOOTPRINT_PROFILES）</t>
        </is>
      </c>
      <c r="K7" s="65" t="inlineStr">
        <is>
          <t>1.2819×0.9535×1.8571m；1 Mesh；1 材质</t>
        </is>
      </c>
      <c r="L7" s="41" t="inlineStr">
        <is>
          <t>底部可预测；Blender +Y / Godot -Z 正面；根 Scale=1</t>
        </is>
      </c>
      <c r="M7" s="41" t="inlineStr">
        <is>
          <t>全部战斗关卡普通怪池（melee_chaser）</t>
        </is>
      </c>
      <c r="N7" s="41" t="inlineStr">
        <is>
          <t>正式美术已接入</t>
        </is>
      </c>
      <c r="O7" s="65" t="inlineStr">
        <is>
          <t>v003</t>
        </is>
      </c>
      <c r="P7" s="41" t="inlineStr">
        <is>
          <t>无碰撞；Enemy3D 持有碰撞/AI/伤害/掉落。碰撞体尺寸沿用旧程序网格口径（1.02/1.30），与模型几何（0.641/1.857）不一致，待拍板后再收紧。显示名 小菌猪 → 小僵尸。</t>
        </is>
      </c>
    </row>
    <row r="8" ht="91" customHeight="1" s="38">
      <c r="A8" s="65" t="inlineStr">
        <is>
          <t>ENM-RANGED-SPORESHOOTER01</t>
        </is>
      </c>
      <c r="B8" s="41" t="inlineStr">
        <is>
          <t>保安僵尸</t>
        </is>
      </c>
      <c r="C8" s="65" t="inlineStr">
        <is>
          <t>assets/art/enemies/normal_enemy_3d/ranged_caster/runtime/enm_ranged_sporeshooter01_root_top3d.tscn</t>
        </is>
      </c>
      <c r="D8" s="65" t="inlineStr">
        <is>
          <t>assets/art/enemies/normal_enemy_3d/ranged_caster/components/enm_ranged_sporeshooter01_visual_top3d.glb</t>
        </is>
      </c>
      <c r="E8" s="65" t="inlineStr">
        <is>
          <t>assets/art/enemies/normal_enemy_3d/ranged_caster/source/model/enm_ranged_sporeshooter01_model_v001.blend; assets/art/enemies/normal_enemy_3d/ranged_caster/source/animation/enm_ranged_sporeshooter01_animation_v002.blend</t>
        </is>
      </c>
      <c r="F8" s="41" t="inlineStr">
        <is>
          <t>远程普通怪正式表现；复用小僵尸36骨与基础动作；单手持枪shoot；双管炮视觉挂 L_Hand</t>
        </is>
      </c>
      <c r="G8" s="65" t="inlineStr">
        <is>
          <t>src/enemy3d/EnemyAvatar3D.gd; assets/art/enemies/normal_enemy_3d/ranged_caster/runtime/ranged_caster_formal_visual.gd</t>
        </is>
      </c>
      <c r="H8" s="41" t="inlineStr">
        <is>
          <t>关（表现资产）</t>
        </is>
      </c>
      <c r="I8" s="65" t="inlineStr">
        <is>
          <t>Enemy3D</t>
        </is>
      </c>
      <c r="J8" s="65" t="inlineStr">
        <is>
          <t>CylinderShape3D（既有 ranged_caster FOOTPRINT_PROFILES）</t>
        </is>
      </c>
      <c r="K8" s="65" t="inlineStr">
        <is>
          <t>1.2819×0.9535×1.8571m；1 Mesh；1 材质；36 骨；10 剪辑</t>
        </is>
      </c>
      <c r="L8" s="41" t="inlineStr">
        <is>
          <t>底部可预测；Blender +Y / Godot -Z 正面；根 Scale=1</t>
        </is>
      </c>
      <c r="M8" s="41" t="inlineStr">
        <is>
          <t>全部战斗关卡远程怪池（ranged_caster）</t>
        </is>
      </c>
      <c r="N8" s="41" t="inlineStr">
        <is>
          <t>正式美术已接入</t>
        </is>
      </c>
      <c r="O8" s="65" t="inlineStr">
        <is>
          <t>v002</t>
        </is>
      </c>
      <c r="P8" s="41" t="inlineStr">
        <is>
          <t>无碰撞；Enemy3D 保留三弹齐射和所有玩法规则；双管炮仅视觉附件。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37" min="1" max="1"/>
    <col width="15.51" customWidth="1" style="37" min="2" max="2"/>
    <col width="28.65" customWidth="1" style="37" min="3" max="3"/>
    <col width="33.42" customWidth="1" style="37" min="4" max="4"/>
    <col width="83.55" customWidth="1" style="37" min="5" max="5"/>
    <col width="57.29" customWidth="1" style="37" min="6" max="6"/>
    <col width="14.33" customWidth="1" style="37" min="7" max="7"/>
  </cols>
  <sheetData>
    <row r="1" ht="15" customHeight="1" s="38">
      <c r="A1" s="56" t="inlineStr">
        <is>
          <t>敌人账本变更日志</t>
        </is>
      </c>
    </row>
    <row r="2" ht="15" customHeight="1" s="38"/>
    <row r="3" ht="15" customHeight="1" s="38">
      <c r="A3" s="40" t="inlineStr">
        <is>
          <t>只记录本账本的域内变更；跨域与全局变更记录在主账本《版本记录》</t>
        </is>
      </c>
    </row>
    <row r="5" ht="15" customHeight="1" s="38">
      <c r="A5" s="44" t="inlineStr">
        <is>
          <t>台账版本</t>
        </is>
      </c>
      <c r="B5" s="44" t="inlineStr">
        <is>
          <t>日期</t>
        </is>
      </c>
      <c r="C5" s="44" t="inlineStr">
        <is>
          <t>变更类型</t>
        </is>
      </c>
      <c r="D5" s="44" t="inlineStr">
        <is>
          <t>范围</t>
        </is>
      </c>
      <c r="E5" s="44" t="inlineStr">
        <is>
          <t>说明</t>
        </is>
      </c>
      <c r="F5" s="44" t="inlineStr">
        <is>
          <t>兼容性</t>
        </is>
      </c>
      <c r="G5" s="44" t="inlineStr">
        <is>
          <t>负责人</t>
        </is>
      </c>
    </row>
    <row r="6" ht="45.75" customHeight="1" s="38">
      <c r="A6" s="55" t="inlineStr">
        <is>
          <t>v0.1.0</t>
        </is>
      </c>
      <c r="B6" s="55" t="inlineStr">
        <is>
          <t>2026-09-18</t>
        </is>
      </c>
      <c r="C6" s="48" t="inlineStr">
        <is>
          <t>分账本建立</t>
        </is>
      </c>
      <c r="D6" s="48" t="inlineStr">
        <is>
          <t>敌人</t>
        </is>
      </c>
      <c r="E6" s="48" t="inlineStr">
        <is>
          <t>由单体账本《ShellStorm2_美术资产台账_v001.xlsx》按大类拆分而来；本账本接管大类=敌人，条目内容逐格不变，仅登记位置变化。</t>
        </is>
      </c>
      <c r="F6" s="48" t="inlineStr">
        <is>
          <t>资产条目、AssetID、路径与哈希全部不变；只换文件。旧引用可用 scripts/ledger_registry.py 解析。</t>
        </is>
      </c>
      <c r="G6" s="48" t="inlineStr">
        <is>
          <t>摩斯拉</t>
        </is>
      </c>
    </row>
    <row r="7" ht="32.8" customHeight="1" s="38">
      <c r="A7" s="55" t="inlineStr">
        <is>
          <t>v0.1.1</t>
        </is>
      </c>
      <c r="B7" s="55" t="inlineStr">
        <is>
          <t>2026-09-20</t>
        </is>
      </c>
      <c r="C7" s="48" t="inlineStr">
        <is>
          <t>资产转正</t>
        </is>
      </c>
      <c r="D7" s="48" t="inlineStr">
        <is>
          <t>敌人</t>
        </is>
      </c>
      <c r="E7" s="55" t="inlineStr">
        <is>
          <t>ENM-MELEE-FUNGBOAR01（小僵尸，旧登记名小菌猪）由「程序占位」转正为「已完成」：AssetID 与逻辑 ID(melee_chaser) 不变；《资产主表》r6 迁 3D 口径（组件槽 root_3d、变体父 ID ENM-ECOSYSTEM-KIT-3D、视角 Top3D/local -Z、规格真实包围盒、文件路径 -&gt; runtime tscn、SHA-256、模型/动作双 blend）；《敌人动画与状态》12 态补 动作来源/循环/挂点/首版实现 四列，条目行补骨架与动作母版；《3D-敌人》新增该 Prefab 行。</t>
        </is>
      </c>
      <c r="F7" s="48" t="inlineStr">
        <is>
          <t>只升级既有行，未新增 AssetID；其余 6 类普通怪仍为程序占位。碰撞体积未动（玩法数值待拍板）。</t>
        </is>
      </c>
      <c r="G7" s="55" t="inlineStr">
        <is>
          <t>Codex</t>
        </is>
      </c>
    </row>
    <row r="8" ht="22.35" customHeight="1" s="38">
      <c r="A8" s="55" t="inlineStr">
        <is>
          <t>v0.1.2</t>
        </is>
      </c>
      <c r="B8" s="55" t="inlineStr">
        <is>
          <t>2026-09-21</t>
        </is>
      </c>
      <c r="C8" s="48" t="inlineStr">
        <is>
          <t>资产转正</t>
        </is>
      </c>
      <c r="D8" s="48" t="inlineStr">
        <is>
          <t>敌人</t>
        </is>
      </c>
      <c r="E8" s="55" t="inlineStr">
        <is>
          <t>ENM-RANGED-SPORESHOOTER01（保安僵尸）由程序占位转正为正式3D表现：复用小僵尸36骨与基础动作，新增armed_idle/持枪移动/shoot，双管炮仅作为L_Hand视觉附件；ranged_caster逻辑与三弹发射规则不变。</t>
        </is>
      </c>
      <c r="F8" s="48" t="inlineStr">
        <is>
          <t>只升级既有 AssetID 与 ranged_caster 行，未新增逻辑敌人；Prefab无碰撞，Enemy3D继续持有AI、碰撞、生命、伤害、掉落和弹丸。</t>
        </is>
      </c>
      <c r="G8" s="55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2026-09-18T02:30:01Z</dcterms:created>
  <dcterms:modified xsi:type="dcterms:W3CDTF">2026-09-23T07:56:55Z</dcterms:modified>
  <cp:revision>0</cp:revision>
</cp:coreProperties>
</file>