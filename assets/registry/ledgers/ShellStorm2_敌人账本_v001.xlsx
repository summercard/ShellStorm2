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敌人动画与状态" sheetId="4" state="visible" r:id="rId4"/>
    <sheet name="3D-敌人" sheetId="5" state="visible" r:id="rId5"/>
    <sheet name="域变更日志" sheetId="6" state="visible" r:id="rId6"/>
  </sheets>
  <definedNames>
    <definedName name="_xlnm._FilterDatabase" localSheetId="2" hidden="1">'资产主表'!$A$5:$X$17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敌人美术账本 v0.1</t>
        </is>
      </c>
    </row>
    <row r="2" ht="12" customHeight="1"/>
    <row r="3" ht="23" customHeight="1">
      <c r="A3" s="318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COUNTA('资产主表'!$A$6:$A$17)</f>
        <v/>
      </c>
      <c r="B6" s="354" t="n"/>
      <c r="C6" s="321">
        <f>COUNTIF('资产主表'!$K$6:$K$17,"已完成")+COUNTIF('资产主表'!$K$6:$K$17,"原型已接入")+COUNTIF('资产主表'!$K$6:$K$17,"正式美术已接入")+COUNTIF('资产主表'!$K$6:$K$17,"已优化并正式接入")+COUNTIF('资产主表'!$K$6:$K$17,"Blender源已完成")+COUNTIF('资产主表'!$K$6:$K$17,"已导入；优化完成")</f>
        <v/>
      </c>
      <c r="D6" s="354" t="n"/>
      <c r="E6" s="321">
        <f>COUNTIF('资产主表'!$K$6:$K$17,"待制作")+COUNTIF('资产主表'!$K$6:$K$17,"程序占位")</f>
        <v/>
      </c>
      <c r="F6" s="354" t="n"/>
      <c r="G6" s="321">
        <f>COUNTIF('资产主表'!$S$6:$S$17,"重复")</f>
        <v/>
      </c>
      <c r="H6" s="354" t="n"/>
      <c r="I6" s="320" t="inlineStr">
        <is>
          <t>域内专表：敌人动画与状态 / 3D-敌人　|　3D Prefab 分页：3D-敌人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敌人</t>
        </is>
      </c>
      <c r="B10" s="301">
        <f>COUNTIF('资产主表'!$C$6:$C$17,A10)</f>
        <v/>
      </c>
      <c r="C10" s="301">
        <f>SUMPRODUCT(('资产主表'!$C$6:$C$17=A10)*(('资产主表'!$K$6:$K$17="已完成")+('资产主表'!$K$6:$K$17="原型已接入")+('资产主表'!$K$6:$K$17="正式美术已接入")+('资产主表'!$K$6:$K$17="已优化并正式接入")+('资产主表'!$K$6:$K$17="Blender源已完成")+('资产主表'!$K$6:$K$17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3D-敌人</t>
        </is>
      </c>
      <c r="B15" s="301">
        <f>COUNTA('3D-敌人'!$A$5:$A$204)</f>
        <v/>
      </c>
      <c r="C15" s="301">
        <f>COUNTIF('3D-敌人'!$D$5:$D$204,"&lt;&gt;")</f>
        <v/>
      </c>
      <c r="D15" s="301">
        <f>COUNTIF('3D-敌人'!$G$5:$G$204,"&lt;&gt;")</f>
        <v/>
      </c>
      <c r="E15" s="301">
        <f>COUNTIF('3D-敌人'!$H$5:$H$204,"开")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敌人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敌人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assets/registry/ledgers/ShellStorm2_敌人账本_v001.xlsx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敌人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ENM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敌人动画与状态 / 3D-敌人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3D-敌人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敌人动画与状态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game-character-model-pipeline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普通怪七类原型、12只精英与Boss的独立表现包、共用生态根，以及怪物动作/状态清单。动画随怪物同账本。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ENM-MELEE-FUNGBOAR01</t>
        </is>
      </c>
      <c r="B6" s="138" t="inlineStr">
        <is>
          <t>小菌猪</t>
        </is>
      </c>
      <c r="C6" s="138" t="inlineStr">
        <is>
          <t>敌人</t>
        </is>
      </c>
      <c r="D6" s="138" t="inlineStr">
        <is>
          <t>normal_melee</t>
        </is>
      </c>
      <c r="E6" s="138" t="inlineStr">
        <is>
          <t>melee_chaser</t>
        </is>
      </c>
      <c r="F6" s="138" t="inlineStr">
        <is>
          <t>root</t>
        </is>
      </c>
      <c r="G6" s="138" t="str"/>
      <c r="H6" s="138" t="inlineStr">
        <is>
          <t>侧面朝右（可水平翻转）</t>
        </is>
      </c>
      <c r="I6" s="138" t="inlineStr">
        <is>
          <t>default</t>
        </is>
      </c>
      <c r="J6" s="138" t="inlineStr">
        <is>
          <t>单资产</t>
        </is>
      </c>
      <c r="K6" s="138" t="inlineStr">
        <is>
          <t>程序占位</t>
        </is>
      </c>
      <c r="L6" s="138" t="inlineStr">
        <is>
          <t>P0</t>
        </is>
      </c>
      <c r="M6" s="138" t="inlineStr">
        <is>
          <t>v001</t>
        </is>
      </c>
      <c r="N6" s="138" t="inlineStr">
        <is>
          <t>待定</t>
        </is>
      </c>
      <c r="O6" s="138" t="str"/>
      <c r="P6" s="138" t="inlineStr">
        <is>
          <t>src/enemy/EnemyTypes.gd</t>
        </is>
      </c>
      <c r="Q6" s="138" t="inlineStr">
        <is>
          <t>近战追击; chaser</t>
        </is>
      </c>
      <c r="R6" s="138">
        <f>LOWER(TRIM(C6)&amp;"|"&amp;TRIM(D6)&amp;"|"&amp;TRIM(E6)&amp;"|"&amp;TRIM(F6)&amp;"|"&amp;TRIM(H6)&amp;"|"&amp;TRIM(I6))</f>
        <v/>
      </c>
      <c r="S6" s="138">
        <f>IF(COUNTIF($R$6:$R$17,R6)&gt;1,"重复","唯一")</f>
        <v/>
      </c>
      <c r="T6" s="138" t="str"/>
      <c r="U6" s="138" t="inlineStr">
        <is>
          <t>待分配</t>
        </is>
      </c>
      <c r="V6" s="303" t="n">
        <v>46224</v>
      </c>
      <c r="W6" s="138" t="inlineStr">
        <is>
          <t>原创/待确认</t>
        </is>
      </c>
      <c r="X6" s="375" t="inlineStr">
        <is>
          <t>—</t>
        </is>
      </c>
      <c r="Y6" s="138" t="inlineStr">
        <is>
          <t>需保持快速贴脸轮廓</t>
        </is>
      </c>
    </row>
    <row r="7">
      <c r="A7" s="138" t="inlineStr">
        <is>
          <t>ENM-RANGED-SPORESHOOTER01</t>
        </is>
      </c>
      <c r="B7" s="138" t="inlineStr">
        <is>
          <t>孢子射手</t>
        </is>
      </c>
      <c r="C7" s="138" t="inlineStr">
        <is>
          <t>敌人</t>
        </is>
      </c>
      <c r="D7" s="138" t="inlineStr">
        <is>
          <t>normal_ranged</t>
        </is>
      </c>
      <c r="E7" s="138" t="inlineStr">
        <is>
          <t>ranged_caster</t>
        </is>
      </c>
      <c r="F7" s="138" t="inlineStr">
        <is>
          <t>root</t>
        </is>
      </c>
      <c r="G7" s="138" t="str"/>
      <c r="H7" s="138" t="inlineStr">
        <is>
          <t>侧面朝右（可水平翻转）</t>
        </is>
      </c>
      <c r="I7" s="138" t="inlineStr">
        <is>
          <t>default</t>
        </is>
      </c>
      <c r="J7" s="138" t="inlineStr">
        <is>
          <t>单资产</t>
        </is>
      </c>
      <c r="K7" s="138" t="inlineStr">
        <is>
          <t>程序占位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待定</t>
        </is>
      </c>
      <c r="O7" s="138" t="str"/>
      <c r="P7" s="138" t="inlineStr">
        <is>
          <t>src/enemy/EnemyTypes.gd</t>
        </is>
      </c>
      <c r="Q7" s="138" t="inlineStr">
        <is>
          <t>远程弹幕; ranged</t>
        </is>
      </c>
      <c r="R7" s="138">
        <f>LOWER(TRIM(C7)&amp;"|"&amp;TRIM(D7)&amp;"|"&amp;TRIM(E7)&amp;"|"&amp;TRIM(F7)&amp;"|"&amp;TRIM(H7)&amp;"|"&amp;TRIM(I7))</f>
        <v/>
      </c>
      <c r="S7" s="138">
        <f>IF(COUNTIF($R$6:$R$17,R7)&gt;1,"重复","唯一")</f>
        <v/>
      </c>
      <c r="T7" s="138" t="str"/>
      <c r="U7" s="138" t="inlineStr">
        <is>
          <t>待分配</t>
        </is>
      </c>
      <c r="V7" s="303" t="n">
        <v>46224</v>
      </c>
      <c r="W7" s="138" t="inlineStr">
        <is>
          <t>原创/待确认</t>
        </is>
      </c>
      <c r="X7" s="375" t="inlineStr">
        <is>
          <t>—</t>
        </is>
      </c>
      <c r="Y7" s="138" t="n"/>
    </row>
    <row r="8">
      <c r="A8" s="138" t="inlineStr">
        <is>
          <t>ENM-SUMMON-HIVE01</t>
        </is>
      </c>
      <c r="B8" s="138" t="inlineStr">
        <is>
          <t>蜂巢怪</t>
        </is>
      </c>
      <c r="C8" s="138" t="inlineStr">
        <is>
          <t>敌人</t>
        </is>
      </c>
      <c r="D8" s="138" t="inlineStr">
        <is>
          <t>normal_summoner</t>
        </is>
      </c>
      <c r="E8" s="138" t="inlineStr">
        <is>
          <t>summoner</t>
        </is>
      </c>
      <c r="F8" s="138" t="inlineStr">
        <is>
          <t>root</t>
        </is>
      </c>
      <c r="G8" s="138" t="str"/>
      <c r="H8" s="138" t="inlineStr">
        <is>
          <t>侧面朝右（可水平翻转）</t>
        </is>
      </c>
      <c r="I8" s="138" t="inlineStr">
        <is>
          <t>default</t>
        </is>
      </c>
      <c r="J8" s="138" t="inlineStr">
        <is>
          <t>单资产</t>
        </is>
      </c>
      <c r="K8" s="138" t="inlineStr">
        <is>
          <t>程序占位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待定</t>
        </is>
      </c>
      <c r="O8" s="138" t="str"/>
      <c r="P8" s="138" t="inlineStr">
        <is>
          <t>src/enemy/EnemyTypes.gd</t>
        </is>
      </c>
      <c r="Q8" s="138" t="inlineStr">
        <is>
          <t>召唤型; hive</t>
        </is>
      </c>
      <c r="R8" s="138">
        <f>LOWER(TRIM(C8)&amp;"|"&amp;TRIM(D8)&amp;"|"&amp;TRIM(E8)&amp;"|"&amp;TRIM(F8)&amp;"|"&amp;TRIM(H8)&amp;"|"&amp;TRIM(I8))</f>
        <v/>
      </c>
      <c r="S8" s="138">
        <f>IF(COUNTIF($R$6:$R$17,R8)&gt;1,"重复","唯一")</f>
        <v/>
      </c>
      <c r="T8" s="138" t="str"/>
      <c r="U8" s="138" t="inlineStr">
        <is>
          <t>待分配</t>
        </is>
      </c>
      <c r="V8" s="303" t="n">
        <v>46224</v>
      </c>
      <c r="W8" s="138" t="inlineStr">
        <is>
          <t>原创/待确认</t>
        </is>
      </c>
      <c r="X8" s="375" t="inlineStr">
        <is>
          <t>—</t>
        </is>
      </c>
      <c r="Y8" s="138" t="n"/>
    </row>
    <row r="9">
      <c r="A9" s="138" t="inlineStr">
        <is>
          <t>ENM-TANK-SHELLGUARD01</t>
        </is>
      </c>
      <c r="B9" s="138" t="inlineStr">
        <is>
          <t>壳甲卫兵</t>
        </is>
      </c>
      <c r="C9" s="138" t="inlineStr">
        <is>
          <t>敌人</t>
        </is>
      </c>
      <c r="D9" s="138" t="inlineStr">
        <is>
          <t>normal_tank</t>
        </is>
      </c>
      <c r="E9" s="138" t="inlineStr">
        <is>
          <t>shielded</t>
        </is>
      </c>
      <c r="F9" s="138" t="inlineStr">
        <is>
          <t>root</t>
        </is>
      </c>
      <c r="G9" s="138" t="str"/>
      <c r="H9" s="138" t="inlineStr">
        <is>
          <t>侧面朝右（可水平翻转）</t>
        </is>
      </c>
      <c r="I9" s="138" t="inlineStr">
        <is>
          <t>default</t>
        </is>
      </c>
      <c r="J9" s="138" t="inlineStr">
        <is>
          <t>单资产</t>
        </is>
      </c>
      <c r="K9" s="138" t="inlineStr">
        <is>
          <t>程序占位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待定</t>
        </is>
      </c>
      <c r="O9" s="138" t="str"/>
      <c r="P9" s="138" t="inlineStr">
        <is>
          <t>src/enemy/EnemyTypes.gd</t>
        </is>
      </c>
      <c r="Q9" s="138" t="inlineStr">
        <is>
          <t>护盾型; tank</t>
        </is>
      </c>
      <c r="R9" s="138">
        <f>LOWER(TRIM(C9)&amp;"|"&amp;TRIM(D9)&amp;"|"&amp;TRIM(E9)&amp;"|"&amp;TRIM(F9)&amp;"|"&amp;TRIM(H9)&amp;"|"&amp;TRIM(I9))</f>
        <v/>
      </c>
      <c r="S9" s="138">
        <f>IF(COUNTIF($R$6:$R$17,R9)&gt;1,"重复","唯一")</f>
        <v/>
      </c>
      <c r="T9" s="138" t="str"/>
      <c r="U9" s="138" t="inlineStr">
        <is>
          <t>待分配</t>
        </is>
      </c>
      <c r="V9" s="303" t="n">
        <v>46224</v>
      </c>
      <c r="W9" s="138" t="inlineStr">
        <is>
          <t>原创/待确认</t>
        </is>
      </c>
      <c r="X9" s="375" t="inlineStr">
        <is>
          <t>—</t>
        </is>
      </c>
      <c r="Y9" s="138" t="n"/>
    </row>
    <row r="10">
      <c r="A10" s="138" t="inlineStr">
        <is>
          <t>ENM-BOMBER-FRUIT01</t>
        </is>
      </c>
      <c r="B10" s="138" t="inlineStr">
        <is>
          <t>炸弹果</t>
        </is>
      </c>
      <c r="C10" s="138" t="inlineStr">
        <is>
          <t>敌人</t>
        </is>
      </c>
      <c r="D10" s="138" t="inlineStr">
        <is>
          <t>normal_bomber</t>
        </is>
      </c>
      <c r="E10" s="138" t="inlineStr">
        <is>
          <t>exploder</t>
        </is>
      </c>
      <c r="F10" s="138" t="inlineStr">
        <is>
          <t>root</t>
        </is>
      </c>
      <c r="G10" s="138" t="str"/>
      <c r="H10" s="138" t="inlineStr">
        <is>
          <t>侧面朝右（可水平翻转）</t>
        </is>
      </c>
      <c r="I10" s="138" t="inlineStr">
        <is>
          <t>default</t>
        </is>
      </c>
      <c r="J10" s="138" t="inlineStr">
        <is>
          <t>单资产</t>
        </is>
      </c>
      <c r="K10" s="138" t="inlineStr">
        <is>
          <t>程序占位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待定</t>
        </is>
      </c>
      <c r="O10" s="138" t="str"/>
      <c r="P10" s="138" t="inlineStr">
        <is>
          <t>src/enemy/EnemyTypes.gd</t>
        </is>
      </c>
      <c r="Q10" s="138" t="inlineStr">
        <is>
          <t>膨胀鼠; 自爆型; bomber</t>
        </is>
      </c>
      <c r="R10" s="138">
        <f>LOWER(TRIM(C10)&amp;"|"&amp;TRIM(D10)&amp;"|"&amp;TRIM(E10)&amp;"|"&amp;TRIM(F10)&amp;"|"&amp;TRIM(H10)&amp;"|"&amp;TRIM(I10))</f>
        <v/>
      </c>
      <c r="S10" s="138">
        <f>IF(COUNTIF($R$6:$R$17,R10)&gt;1,"重复","唯一")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n"/>
    </row>
    <row r="11">
      <c r="A11" s="138" t="inlineStr">
        <is>
          <t>ENM-TRAP-SPIKEWORM01</t>
        </is>
      </c>
      <c r="B11" s="138" t="inlineStr">
        <is>
          <t>地刺虫</t>
        </is>
      </c>
      <c r="C11" s="138" t="inlineStr">
        <is>
          <t>敌人</t>
        </is>
      </c>
      <c r="D11" s="138" t="inlineStr">
        <is>
          <t>normal_ambusher</t>
        </is>
      </c>
      <c r="E11" s="138" t="inlineStr">
        <is>
          <t>ambusher</t>
        </is>
      </c>
      <c r="F11" s="138" t="inlineStr">
        <is>
          <t>root</t>
        </is>
      </c>
      <c r="G11" s="138" t="str"/>
      <c r="H11" s="138" t="inlineStr">
        <is>
          <t>侧面朝右（可水平翻转）</t>
        </is>
      </c>
      <c r="I11" s="138" t="inlineStr">
        <is>
          <t>default</t>
        </is>
      </c>
      <c r="J11" s="138" t="inlineStr">
        <is>
          <t>单资产</t>
        </is>
      </c>
      <c r="K11" s="138" t="inlineStr">
        <is>
          <t>程序占位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待定</t>
        </is>
      </c>
      <c r="O11" s="138" t="str"/>
      <c r="P11" s="138" t="inlineStr">
        <is>
          <t>src/enemy/EnemyTypes.gd</t>
        </is>
      </c>
      <c r="Q11" s="138" t="inlineStr">
        <is>
          <t>潜伏型; trapper</t>
        </is>
      </c>
      <c r="R11" s="138">
        <f>LOWER(TRIM(C11)&amp;"|"&amp;TRIM(D11)&amp;"|"&amp;TRIM(E11)&amp;"|"&amp;TRIM(F11)&amp;"|"&amp;TRIM(H11)&amp;"|"&amp;TRIM(I11))</f>
        <v/>
      </c>
      <c r="S11" s="138">
        <f>IF(COUNTIF($R$6:$R$17,R11)&gt;1,"重复","唯一")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n"/>
    </row>
    <row r="12">
      <c r="A12" s="138" t="inlineStr">
        <is>
          <t>ENM-BOSS-ABYSS01</t>
        </is>
      </c>
      <c r="B12" s="138" t="inlineStr">
        <is>
          <t>深渊 Boss</t>
        </is>
      </c>
      <c r="C12" s="138" t="inlineStr">
        <is>
          <t>敌人</t>
        </is>
      </c>
      <c r="D12" s="138" t="inlineStr">
        <is>
          <t>boss</t>
        </is>
      </c>
      <c r="E12" s="138" t="inlineStr">
        <is>
          <t>boss</t>
        </is>
      </c>
      <c r="F12" s="138" t="inlineStr">
        <is>
          <t>root</t>
        </is>
      </c>
      <c r="G12" s="138" t="str"/>
      <c r="H12" s="138" t="inlineStr">
        <is>
          <t>侧面朝右（可水平翻转）</t>
        </is>
      </c>
      <c r="I12" s="138" t="inlineStr">
        <is>
          <t>default</t>
        </is>
      </c>
      <c r="J12" s="138" t="inlineStr">
        <is>
          <t>单资产</t>
        </is>
      </c>
      <c r="K12" s="138" t="inlineStr">
        <is>
          <t>程序占位</t>
        </is>
      </c>
      <c r="L12" s="138" t="inlineStr">
        <is>
          <t>P1</t>
        </is>
      </c>
      <c r="M12" s="138" t="inlineStr">
        <is>
          <t>v001</t>
        </is>
      </c>
      <c r="N12" s="138" t="inlineStr">
        <is>
          <t>待定</t>
        </is>
      </c>
      <c r="O12" s="138" t="str"/>
      <c r="P12" s="138" t="inlineStr">
        <is>
          <t>src/enemy/BossAvatarRenderer.gd</t>
        </is>
      </c>
      <c r="Q12" s="138" t="inlineStr">
        <is>
          <t>BossActor; 三阶段</t>
        </is>
      </c>
      <c r="R12" s="138">
        <f>LOWER(TRIM(C12)&amp;"|"&amp;TRIM(D12)&amp;"|"&amp;TRIM(E12)&amp;"|"&amp;TRIM(F12)&amp;"|"&amp;TRIM(H12)&amp;"|"&amp;TRIM(I12))</f>
        <v/>
      </c>
      <c r="S12" s="138">
        <f>IF(COUNTIF($R$6:$R$17,R12)&gt;1,"重复","唯一")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三阶段由同一主体加部件/发光变化，不重复做整套</t>
        </is>
      </c>
    </row>
    <row r="13">
      <c r="A13" s="392" t="inlineStr">
        <is>
          <t>ENM-ECOSYSTEM-KIT-3D</t>
        </is>
      </c>
      <c r="B13" s="392" t="inlineStr">
        <is>
          <t>七类怪物3D生态套件</t>
        </is>
      </c>
      <c r="C13" s="392" t="inlineStr">
        <is>
          <t>敌人</t>
        </is>
      </c>
      <c r="D13" s="392" t="inlineStr">
        <is>
          <t>normal_elite_boss</t>
        </is>
      </c>
      <c r="E13" s="392" t="inlineStr">
        <is>
          <t>enemy_ecosystem</t>
        </is>
      </c>
      <c r="F13" s="392" t="inlineStr">
        <is>
          <t>root_3d</t>
        </is>
      </c>
      <c r="G13" s="392" t="n"/>
      <c r="H13" s="392" t="inlineStr">
        <is>
          <t>俯视3D</t>
        </is>
      </c>
      <c r="I13" s="392" t="inlineStr">
        <is>
          <t>default</t>
        </is>
      </c>
      <c r="J13" s="392" t="inlineStr">
        <is>
          <t>四主题战斗房</t>
        </is>
      </c>
      <c r="K13" s="392" t="inlineStr">
        <is>
          <t>原型已接入</t>
        </is>
      </c>
      <c r="L13" s="392" t="inlineStr">
        <is>
          <t>P0</t>
        </is>
      </c>
      <c r="M13" s="392" t="inlineStr">
        <is>
          <t>v001</t>
        </is>
      </c>
      <c r="N13" s="392" t="inlineStr">
        <is>
          <t>PackedScene/模块敌人</t>
        </is>
      </c>
      <c r="O13" s="392" t="inlineStr">
        <is>
          <t>assets/art/enemies/enemy_3d/enm_ecosystem_kit_root_top3d_v001.tscn</t>
        </is>
      </c>
      <c r="P13" s="392" t="inlineStr">
        <is>
          <t>src/enemy3d/Enemy3D.gd</t>
        </is>
      </c>
      <c r="Q13" s="392" t="inlineStr">
        <is>
          <t>怪物;七类;核心;外壳;附肢;状态</t>
        </is>
      </c>
      <c r="R13" s="392">
        <f>LOWER(TRIM(C13)&amp;"|"&amp;TRIM(D13)&amp;"|"&amp;TRIM(E13)&amp;"|"&amp;TRIM(F13)&amp;"|"&amp;TRIM(H13)&amp;"|"&amp;TRIM(I13))</f>
        <v/>
      </c>
      <c r="S13" s="392">
        <f>IF(COUNTIF($R$6:$R$17,R13)&gt;1,"重复","唯一")</f>
        <v/>
      </c>
      <c r="T13" s="392" t="inlineStr">
        <is>
          <t>901fb3e339fca1127138a6da85ff7e69cf93a56bb8b0e840e7124a1216198149</t>
        </is>
      </c>
      <c r="U13" s="392" t="inlineStr">
        <is>
          <t>Codex</t>
        </is>
      </c>
      <c r="V13" s="348" t="n">
        <v>46225</v>
      </c>
      <c r="W13" s="392" t="inlineStr">
        <is>
          <t>原创程序几何</t>
        </is>
      </c>
      <c r="X13" s="375" t="inlineStr">
        <is>
          <t>—</t>
        </is>
      </c>
      <c r="Y13" s="392" t="inlineStr">
        <is>
          <t>九态AI视线允许射线命中玩家本体并保留实体墙遮挡；3D基础HP乘旧楼层/主题/精英倍率，开局手枪普通命中不秒杀基础怪</t>
        </is>
      </c>
    </row>
    <row r="14">
      <c r="A14" s="392" t="inlineStr">
        <is>
          <t>ENM-BOSS-ARCHIVIST-95</t>
        </is>
      </c>
      <c r="B14" s="392" t="inlineStr">
        <is>
          <t>深渊档案官</t>
        </is>
      </c>
      <c r="C14" s="392" t="inlineStr">
        <is>
          <t>敌人</t>
        </is>
      </c>
      <c r="D14" s="392" t="inlineStr">
        <is>
          <t>boss</t>
        </is>
      </c>
      <c r="E14" s="392" t="inlineStr">
        <is>
          <t>boss_abyss_archivist_95</t>
        </is>
      </c>
      <c r="F14" s="392" t="inlineStr">
        <is>
          <t>root</t>
        </is>
      </c>
      <c r="G14" s="392" t="n"/>
      <c r="H14" s="392" t="inlineStr">
        <is>
          <t>Top3D</t>
        </is>
      </c>
      <c r="I14" s="392" t="inlineStr">
        <is>
          <t>default / 三阶段</t>
        </is>
      </c>
      <c r="J14" s="392" t="inlineStr">
        <is>
          <t>95层Boss</t>
        </is>
      </c>
      <c r="K14" s="392" t="inlineStr">
        <is>
          <t>已完成</t>
        </is>
      </c>
      <c r="L14" s="392" t="inlineStr">
        <is>
          <t>P0</t>
        </is>
      </c>
      <c r="M14" s="392" t="inlineStr">
        <is>
          <t>v001</t>
        </is>
      </c>
      <c r="N14" s="392" t="inlineStr">
        <is>
          <t>GLB；主体/发光/附肢语义拆分</t>
        </is>
      </c>
      <c r="O14" s="392" t="inlineStr">
        <is>
          <t>assets/art/enemies/bosses_v01/enm_boss_archivist_95_top3d_v001.glb</t>
        </is>
      </c>
      <c r="P14" s="392" t="inlineStr">
        <is>
          <t>source/art/blender/bosses_v01/enm_boss_archivist_95_top3d_v001.blend; src/enemy3d/BossContentCatalog.gd</t>
        </is>
      </c>
      <c r="Q14" s="392" t="inlineStr">
        <is>
          <t>深渊档案官; archive; 95F; 三阶段</t>
        </is>
      </c>
      <c r="R14" s="392">
        <f>LOWER(TRIM(C14)&amp;"|"&amp;TRIM(D14)&amp;"|"&amp;TRIM(E14)&amp;"|"&amp;TRIM(F14)&amp;"|"&amp;TRIM(H14)&amp;"|"&amp;TRIM(I14))</f>
        <v/>
      </c>
      <c r="S14" s="392">
        <f>IF(COUNTIF($R$6:$R$17,R14)&gt;1,"重复","唯一")</f>
        <v/>
      </c>
      <c r="T14" s="392" t="inlineStr">
        <is>
          <t>d48dbdef27c500895471b8e14e4d07ae8f733b511ea67bf44cf0dffe959d781c</t>
        </is>
      </c>
      <c r="U14" s="392" t="inlineStr">
        <is>
          <t>Codex</t>
        </is>
      </c>
      <c r="V14" s="392" t="n">
        <v>46247</v>
      </c>
      <c r="W14" s="392" t="inlineStr">
        <is>
          <t>原创程序建模</t>
        </is>
      </c>
      <c r="X14" s="375" t="inlineStr">
        <is>
          <t>—</t>
        </is>
      </c>
      <c r="Y14" s="392" t="inlineStr">
        <is>
          <t>独立正式模型；阶段技能袋 archive_fan/index_beam/archive_storm；通过Boss专项验收。
2026-08-30 AST-01规范化（原制作状态：正式美术已接入）</t>
        </is>
      </c>
    </row>
    <row r="15">
      <c r="A15" s="392" t="inlineStr">
        <is>
          <t>ENM-BOSS-FURNACE-WARDEN-90</t>
        </is>
      </c>
      <c r="B15" s="392" t="inlineStr">
        <is>
          <t>熔炉狱监</t>
        </is>
      </c>
      <c r="C15" s="392" t="inlineStr">
        <is>
          <t>敌人</t>
        </is>
      </c>
      <c r="D15" s="392" t="inlineStr">
        <is>
          <t>boss</t>
        </is>
      </c>
      <c r="E15" s="392" t="inlineStr">
        <is>
          <t>boss_furnace_warden_90</t>
        </is>
      </c>
      <c r="F15" s="392" t="inlineStr">
        <is>
          <t>root</t>
        </is>
      </c>
      <c r="G15" s="392" t="n"/>
      <c r="H15" s="392" t="inlineStr">
        <is>
          <t>Top3D</t>
        </is>
      </c>
      <c r="I15" s="392" t="inlineStr">
        <is>
          <t>default / 三阶段</t>
        </is>
      </c>
      <c r="J15" s="392" t="inlineStr">
        <is>
          <t>90层Boss</t>
        </is>
      </c>
      <c r="K15" s="392" t="inlineStr">
        <is>
          <t>已完成</t>
        </is>
      </c>
      <c r="L15" s="392" t="inlineStr">
        <is>
          <t>P0</t>
        </is>
      </c>
      <c r="M15" s="392" t="inlineStr">
        <is>
          <t>v001</t>
        </is>
      </c>
      <c r="N15" s="392" t="inlineStr">
        <is>
          <t>GLB；主体/发光/附肢语义拆分</t>
        </is>
      </c>
      <c r="O15" s="392" t="inlineStr">
        <is>
          <t>assets/art/enemies/bosses_v01/enm_boss_furnace_warden_90_top3d_v001.glb</t>
        </is>
      </c>
      <c r="P15" s="392" t="inlineStr">
        <is>
          <t>source/art/blender/bosses_v01/enm_boss_furnace_warden_90_top3d_v001.blend; src/enemy3d/BossContentCatalog.gd</t>
        </is>
      </c>
      <c r="Q15" s="392" t="inlineStr">
        <is>
          <t>熔炉狱监; furnace; 90F; 三阶段</t>
        </is>
      </c>
      <c r="R15" s="392">
        <f>LOWER(TRIM(C15)&amp;"|"&amp;TRIM(D15)&amp;"|"&amp;TRIM(E15)&amp;"|"&amp;TRIM(F15)&amp;"|"&amp;TRIM(H15)&amp;"|"&amp;TRIM(I15))</f>
        <v/>
      </c>
      <c r="S15" s="392">
        <f>IF(COUNTIF($R$6:$R$17,R15)&gt;1,"重复","唯一")</f>
        <v/>
      </c>
      <c r="T15" s="392" t="inlineStr">
        <is>
          <t>77469ad543d9265ffcc32198c06e25dd3ea8b793b79da4afeb7bd5e56f09d24c</t>
        </is>
      </c>
      <c r="U15" s="392" t="inlineStr">
        <is>
          <t>Codex</t>
        </is>
      </c>
      <c r="V15" s="392" t="n">
        <v>46247</v>
      </c>
      <c r="W15" s="392" t="inlineStr">
        <is>
          <t>原创程序建模</t>
        </is>
      </c>
      <c r="X15" s="375" t="inlineStr">
        <is>
          <t>—</t>
        </is>
      </c>
      <c r="Y15" s="392" t="inlineStr">
        <is>
          <t>独立正式模型；阶段技能袋 molten_volley/hammer_drive/furnace_burst；通过Boss专项验收。
2026-08-30 AST-01规范化（原制作状态：正式美术已接入）</t>
        </is>
      </c>
    </row>
    <row r="16">
      <c r="A16" s="392" t="inlineStr">
        <is>
          <t>ENM-BOSS-HOLLOW-CHOIR-85</t>
        </is>
      </c>
      <c r="B16" s="392" t="inlineStr">
        <is>
          <t>空洞合唱团</t>
        </is>
      </c>
      <c r="C16" s="392" t="inlineStr">
        <is>
          <t>敌人</t>
        </is>
      </c>
      <c r="D16" s="392" t="inlineStr">
        <is>
          <t>boss</t>
        </is>
      </c>
      <c r="E16" s="392" t="inlineStr">
        <is>
          <t>boss_hollow_choir_85</t>
        </is>
      </c>
      <c r="F16" s="392" t="inlineStr">
        <is>
          <t>root</t>
        </is>
      </c>
      <c r="G16" s="392" t="n"/>
      <c r="H16" s="392" t="inlineStr">
        <is>
          <t>Top3D</t>
        </is>
      </c>
      <c r="I16" s="392" t="inlineStr">
        <is>
          <t>default / 三阶段</t>
        </is>
      </c>
      <c r="J16" s="392" t="inlineStr">
        <is>
          <t>85层Boss</t>
        </is>
      </c>
      <c r="K16" s="392" t="inlineStr">
        <is>
          <t>已完成</t>
        </is>
      </c>
      <c r="L16" s="392" t="inlineStr">
        <is>
          <t>P0</t>
        </is>
      </c>
      <c r="M16" s="392" t="inlineStr">
        <is>
          <t>v001</t>
        </is>
      </c>
      <c r="N16" s="392" t="inlineStr">
        <is>
          <t>GLB；主体/发光/附肢语义拆分</t>
        </is>
      </c>
      <c r="O16" s="392" t="inlineStr">
        <is>
          <t>assets/art/enemies/bosses_v01/enm_boss_hollow_choir_85_top3d_v001.glb</t>
        </is>
      </c>
      <c r="P16" s="392" t="inlineStr">
        <is>
          <t>source/art/blender/bosses_v01/enm_boss_hollow_choir_85_top3d_v001.blend; src/enemy3d/BossContentCatalog.gd</t>
        </is>
      </c>
      <c r="Q16" s="392" t="inlineStr">
        <is>
          <t>空洞合唱团; choir; 85F; 三阶段</t>
        </is>
      </c>
      <c r="R16" s="392">
        <f>LOWER(TRIM(C16)&amp;"|"&amp;TRIM(D16)&amp;"|"&amp;TRIM(E16)&amp;"|"&amp;TRIM(F16)&amp;"|"&amp;TRIM(H16)&amp;"|"&amp;TRIM(I16))</f>
        <v/>
      </c>
      <c r="S16" s="392">
        <f>IF(COUNTIF($R$6:$R$17,R16)&gt;1,"重复","唯一")</f>
        <v/>
      </c>
      <c r="T16" s="392" t="inlineStr">
        <is>
          <t>c7d1bade328047877d64770b2c534cbd930fc377ce8a00e19873fc108a73a56f</t>
        </is>
      </c>
      <c r="U16" s="392" t="inlineStr">
        <is>
          <t>Codex</t>
        </is>
      </c>
      <c r="V16" s="392" t="n">
        <v>46247</v>
      </c>
      <c r="W16" s="392" t="inlineStr">
        <is>
          <t>原创程序建模</t>
        </is>
      </c>
      <c r="X16" s="375" t="inlineStr">
        <is>
          <t>—</t>
        </is>
      </c>
      <c r="Y16" s="392" t="inlineStr">
        <is>
          <t>独立正式模型；阶段技能袋 choir_wave/silence_chord/echo_burst；通过Boss专项验收。
2026-08-30 AST-01规范化（原制作状态：正式美术已接入）</t>
        </is>
      </c>
    </row>
    <row r="17">
      <c r="A17" s="392" t="inlineStr">
        <is>
          <t>ENM-ELITE-RIFT-BOAR-ARMED-3D</t>
        </is>
      </c>
      <c r="B17" s="392" t="inlineStr">
        <is>
          <t>背枪的裂口爬虫3D精英根</t>
        </is>
      </c>
      <c r="C17" s="392" t="inlineStr">
        <is>
          <t>敌人</t>
        </is>
      </c>
      <c r="D17" s="392" t="inlineStr">
        <is>
          <t>elite</t>
        </is>
      </c>
      <c r="E17" s="392" t="inlineStr">
        <is>
          <t>elite_rift_boar_armed</t>
        </is>
      </c>
      <c r="F17" s="392" t="inlineStr">
        <is>
          <t>root_3d</t>
        </is>
      </c>
      <c r="G17" s="392" t="inlineStr">
        <is>
          <t>ENM-ECOSYSTEM-KIT-3D</t>
        </is>
      </c>
      <c r="H17" s="392" t="inlineStr">
        <is>
          <t>Top3D / local -Z 正面</t>
        </is>
      </c>
      <c r="I17" s="392" t="inlineStr">
        <is>
          <t>default / armed_rush</t>
        </is>
      </c>
      <c r="J17" s="392" t="inlineStr">
        <is>
          <t>每次行动98—96F三选一；目标层随机ELITE房</t>
        </is>
      </c>
      <c r="K17" s="392" t="inlineStr">
        <is>
          <t>已完成</t>
        </is>
      </c>
      <c r="L17" s="392" t="inlineStr">
        <is>
          <t>P0</t>
        </is>
      </c>
      <c r="M17" s="392" t="inlineStr">
        <is>
          <t>v001</t>
        </is>
      </c>
      <c r="N17" s="392" t="inlineStr">
        <is>
          <t>1.970×1.843×1.345m；18 Mesh；4材质</t>
        </is>
      </c>
      <c r="O17" s="392" t="inlineStr">
        <is>
          <t>assets/art/enemies/elite_3d/rift_boar_armed/runtime/enm_elite_rift_boar_armed_root_top3d_v001.tscn</t>
        </is>
      </c>
      <c r="P17" s="392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392" t="inlineStr">
        <is>
          <t>唯一精英;背枪;裂口爬虫;elite_rift_boar_armed;armed_rush;98F;97F;96F;命名血条</t>
        </is>
      </c>
      <c r="R17" s="392">
        <f>LOWER(TRIM(C17)&amp;"|"&amp;TRIM(D17)&amp;"|"&amp;TRIM(E17)&amp;"|"&amp;TRIM(F17)&amp;"|"&amp;TRIM(H17)&amp;"|"&amp;TRIM(I17))</f>
        <v/>
      </c>
      <c r="S17" s="392">
        <f>IF(COUNTIF($R$6:$R$17,R17)&gt;1,"重复","唯一")</f>
        <v/>
      </c>
      <c r="T17" s="392" t="inlineStr">
        <is>
          <t>ec19ed6bda41e2a5d9ace78f28150ccdb1a646e0bd0bb9051e61ed374579e6e8</t>
        </is>
      </c>
      <c r="U17" s="392" t="inlineStr">
        <is>
          <t>Codex</t>
        </is>
      </c>
      <c r="V17" s="348" t="n">
        <v>46264</v>
      </c>
      <c r="W17" s="392" t="inlineStr">
        <is>
          <t>原创 Blender/Godot 组合</t>
        </is>
      </c>
      <c r="X17" s="375" t="inlineStr">
        <is>
          <t>—</t>
        </is>
      </c>
      <c r="Y17" s="392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17"/>
  <mergeCells count="2">
    <mergeCell ref="A1:X2"/>
    <mergeCell ref="A3:X3"/>
  </mergeCells>
  <conditionalFormatting sqref="S6:S17">
    <cfRule type="containsText" priority="1" operator="containsText" dxfId="0" text="重复"/>
  </conditionalFormatting>
  <conditionalFormatting sqref="K6:K17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7" showDropDown="0" showInputMessage="0" showErrorMessage="0" allowBlank="1" type="list">
      <formula1>"角色,敌人,武器,道具,场景,场景道具,基地资产包,UI,特效,音频"</formula1>
    </dataValidation>
    <dataValidation sqref="K6:K1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17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34" customWidth="1" min="4" max="4"/>
    <col width="26" customWidth="1" min="5" max="5"/>
    <col width="8" customWidth="1" min="6" max="6"/>
    <col width="26" customWidth="1" min="7" max="7"/>
    <col width="18" customWidth="1" min="8" max="8"/>
    <col width="46" customWidth="1" min="9" max="9"/>
  </cols>
  <sheetData>
    <row r="1">
      <c r="A1" s="317" t="inlineStr">
        <is>
          <t>敌人动画与状态 · 状态机 × 表现职责</t>
        </is>
      </c>
    </row>
    <row r="2"/>
    <row r="3">
      <c r="A3" s="318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2" customHeight="1">
      <c r="A5" s="298" t="inlineStr">
        <is>
          <t>序号</t>
        </is>
      </c>
      <c r="B5" s="298" t="inlineStr">
        <is>
          <t>状态ID</t>
        </is>
      </c>
      <c r="C5" s="298" t="inlineStr">
        <is>
          <t>中文名</t>
        </is>
      </c>
      <c r="D5" s="298" t="inlineStr">
        <is>
          <t>表现职责</t>
        </is>
      </c>
      <c r="E5" s="298" t="inlineStr">
        <is>
          <t>动作来源</t>
        </is>
      </c>
      <c r="F5" s="298" t="inlineStr">
        <is>
          <t>循环</t>
        </is>
      </c>
      <c r="G5" s="298" t="inlineStr">
        <is>
          <t>挂点/特效挂钩</t>
        </is>
      </c>
      <c r="H5" s="298" t="inlineStr">
        <is>
          <t>首版实现</t>
        </is>
      </c>
      <c r="I5" s="298" t="inlineStr">
        <is>
          <t>备注</t>
        </is>
      </c>
    </row>
    <row r="6" ht="26" customHeight="1">
      <c r="A6" s="301" t="n">
        <v>1</v>
      </c>
      <c r="B6" s="301" t="inlineStr">
        <is>
          <t>dormant</t>
        </is>
      </c>
      <c r="C6" s="301" t="inlineStr">
        <is>
          <t>休眠</t>
        </is>
      </c>
      <c r="D6" s="301" t="inlineStr">
        <is>
          <t>未激活前不表现；不消耗视觉预算</t>
        </is>
      </c>
      <c r="E6" s="301" t="inlineStr">
        <is>
          <t>程序驱动（EnemyAvatar3D 仅记录 ai_state）</t>
        </is>
      </c>
      <c r="F6" s="301" t="inlineStr">
        <is>
          <t>待登记</t>
        </is>
      </c>
      <c r="G6" s="301" t="inlineStr">
        <is>
          <t>待登记</t>
        </is>
      </c>
      <c r="H6" s="301" t="inlineStr">
        <is>
          <t>待登记</t>
        </is>
      </c>
      <c r="I6" s="301" t="inlineStr">
        <is>
          <t>状态转移表见 src/enemy3d/Enemy3D.gd transition_to()，尚未逐条登记</t>
        </is>
      </c>
    </row>
    <row r="7" ht="26" customHeight="1">
      <c r="A7" s="301" t="n">
        <v>2</v>
      </c>
      <c r="B7" s="301" t="inlineStr">
        <is>
          <t>idle</t>
        </is>
      </c>
      <c r="C7" s="301" t="inlineStr">
        <is>
          <t>待机</t>
        </is>
      </c>
      <c r="D7" s="301" t="inlineStr">
        <is>
          <t>呼吸/轻微起伏；程序驱动</t>
        </is>
      </c>
      <c r="E7" s="301" t="inlineStr">
        <is>
          <t>程序驱动（EnemyAvatar3D 仅记录 ai_state）</t>
        </is>
      </c>
      <c r="F7" s="301" t="inlineStr">
        <is>
          <t>待登记</t>
        </is>
      </c>
      <c r="G7" s="301" t="inlineStr">
        <is>
          <t>待登记</t>
        </is>
      </c>
      <c r="H7" s="301" t="inlineStr">
        <is>
          <t>待登记</t>
        </is>
      </c>
      <c r="I7" s="301" t="inlineStr">
        <is>
          <t>状态转移表见 src/enemy3d/Enemy3D.gd transition_to()，尚未逐条登记</t>
        </is>
      </c>
    </row>
    <row r="8" ht="26" customHeight="1">
      <c r="A8" s="301" t="n">
        <v>3</v>
      </c>
      <c r="B8" s="301" t="inlineStr">
        <is>
          <t>patrol</t>
        </is>
      </c>
      <c r="C8" s="301" t="inlineStr">
        <is>
          <t>巡逻</t>
        </is>
      </c>
      <c r="D8" s="301" t="inlineStr">
        <is>
          <t>沿巡逻点位移；朝向跟随路径</t>
        </is>
      </c>
      <c r="E8" s="301" t="inlineStr">
        <is>
          <t>程序驱动（EnemyAvatar3D 仅记录 ai_state）</t>
        </is>
      </c>
      <c r="F8" s="301" t="inlineStr">
        <is>
          <t>待登记</t>
        </is>
      </c>
      <c r="G8" s="301" t="inlineStr">
        <is>
          <t>待登记</t>
        </is>
      </c>
      <c r="H8" s="301" t="inlineStr">
        <is>
          <t>待登记</t>
        </is>
      </c>
      <c r="I8" s="301" t="inlineStr">
        <is>
          <t>状态转移表见 src/enemy3d/Enemy3D.gd transition_to()，尚未逐条登记</t>
        </is>
      </c>
    </row>
    <row r="9" ht="26" customHeight="1">
      <c r="A9" s="301" t="n">
        <v>4</v>
      </c>
      <c r="B9" s="301" t="inlineStr">
        <is>
          <t>alert</t>
        </is>
      </c>
      <c r="C9" s="301" t="inlineStr">
        <is>
          <t>警觉</t>
        </is>
      </c>
      <c r="D9" s="301" t="inlineStr">
        <is>
          <t>锁定可疑目标；身体抬升/视线上抬</t>
        </is>
      </c>
      <c r="E9" s="301" t="inlineStr">
        <is>
          <t>程序驱动（EnemyAvatar3D 仅记录 ai_state）</t>
        </is>
      </c>
      <c r="F9" s="301" t="inlineStr">
        <is>
          <t>待登记</t>
        </is>
      </c>
      <c r="G9" s="301" t="inlineStr">
        <is>
          <t>待登记</t>
        </is>
      </c>
      <c r="H9" s="301" t="inlineStr">
        <is>
          <t>待登记</t>
        </is>
      </c>
      <c r="I9" s="301" t="inlineStr">
        <is>
          <t>状态转移表见 src/enemy3d/Enemy3D.gd transition_to()，尚未逐条登记</t>
        </is>
      </c>
    </row>
    <row r="10" ht="26" customHeight="1">
      <c r="A10" s="301" t="n">
        <v>5</v>
      </c>
      <c r="B10" s="301" t="inlineStr">
        <is>
          <t>chase</t>
        </is>
      </c>
      <c r="C10" s="301" t="inlineStr">
        <is>
          <t>追击</t>
        </is>
      </c>
      <c r="D10" s="301" t="inlineStr">
        <is>
          <t>朝玩家追击；步频随速度切换</t>
        </is>
      </c>
      <c r="E10" s="301" t="inlineStr">
        <is>
          <t>程序驱动（EnemyAvatar3D 仅记录 ai_state）</t>
        </is>
      </c>
      <c r="F10" s="301" t="inlineStr">
        <is>
          <t>待登记</t>
        </is>
      </c>
      <c r="G10" s="301" t="inlineStr">
        <is>
          <t>待登记</t>
        </is>
      </c>
      <c r="H10" s="301" t="inlineStr">
        <is>
          <t>待登记</t>
        </is>
      </c>
      <c r="I10" s="301" t="inlineStr">
        <is>
          <t>状态转移表见 src/enemy3d/Enemy3D.gd transition_to()，尚未逐条登记</t>
        </is>
      </c>
    </row>
    <row r="11" ht="26" customHeight="1">
      <c r="A11" s="301" t="n">
        <v>6</v>
      </c>
      <c r="B11" s="301" t="inlineStr">
        <is>
          <t>search</t>
        </is>
      </c>
      <c r="C11" s="301" t="inlineStr">
        <is>
          <t>搜寻</t>
        </is>
      </c>
      <c r="D11" s="301" t="inlineStr">
        <is>
          <t>丢失目标后在最后已知位置环视</t>
        </is>
      </c>
      <c r="E11" s="301" t="inlineStr">
        <is>
          <t>程序驱动（EnemyAvatar3D 仅记录 ai_state）</t>
        </is>
      </c>
      <c r="F11" s="301" t="inlineStr">
        <is>
          <t>待登记</t>
        </is>
      </c>
      <c r="G11" s="301" t="inlineStr">
        <is>
          <t>待登记</t>
        </is>
      </c>
      <c r="H11" s="301" t="inlineStr">
        <is>
          <t>待登记</t>
        </is>
      </c>
      <c r="I11" s="301" t="inlineStr">
        <is>
          <t>状态转移表见 src/enemy3d/Enemy3D.gd transition_to()，尚未逐条登记</t>
        </is>
      </c>
    </row>
    <row r="12" ht="26" customHeight="1">
      <c r="A12" s="301" t="n">
        <v>7</v>
      </c>
      <c r="B12" s="301" t="inlineStr">
        <is>
          <t>return</t>
        </is>
      </c>
      <c r="C12" s="301" t="inlineStr">
        <is>
          <t>归位</t>
        </is>
      </c>
      <c r="D12" s="301" t="inlineStr">
        <is>
          <t>脱离战斗归巡逻点</t>
        </is>
      </c>
      <c r="E12" s="301" t="inlineStr">
        <is>
          <t>程序驱动（EnemyAvatar3D 仅记录 ai_state）</t>
        </is>
      </c>
      <c r="F12" s="301" t="inlineStr">
        <is>
          <t>待登记</t>
        </is>
      </c>
      <c r="G12" s="301" t="inlineStr">
        <is>
          <t>待登记</t>
        </is>
      </c>
      <c r="H12" s="301" t="inlineStr">
        <is>
          <t>待登记</t>
        </is>
      </c>
      <c r="I12" s="301" t="inlineStr">
        <is>
          <t>状态转移表见 src/enemy3d/Enemy3D.gd transition_to()，尚未逐条登记</t>
        </is>
      </c>
    </row>
    <row r="13" ht="26" customHeight="1">
      <c r="A13" s="301" t="n">
        <v>8</v>
      </c>
      <c r="B13" s="301" t="inlineStr">
        <is>
          <t>telegraph</t>
        </is>
      </c>
      <c r="C13" s="301" t="inlineStr">
        <is>
          <t>预警</t>
        </is>
      </c>
      <c r="D13" s="301" t="inlineStr">
        <is>
          <t>出手前的蓄力前摇，必须可读</t>
        </is>
      </c>
      <c r="E13" s="301" t="inlineStr">
        <is>
          <t>程序驱动（EnemyAvatar3D 仅记录 ai_state）</t>
        </is>
      </c>
      <c r="F13" s="301" t="inlineStr">
        <is>
          <t>待登记</t>
        </is>
      </c>
      <c r="G13" s="301" t="inlineStr">
        <is>
          <t>待登记</t>
        </is>
      </c>
      <c r="H13" s="301" t="inlineStr">
        <is>
          <t>待登记</t>
        </is>
      </c>
      <c r="I13" s="301" t="inlineStr">
        <is>
          <t>状态转移表见 src/enemy3d/Enemy3D.gd transition_to()，尚未逐条登记</t>
        </is>
      </c>
    </row>
    <row r="14" ht="26" customHeight="1">
      <c r="A14" s="301" t="n">
        <v>9</v>
      </c>
      <c r="B14" s="301" t="inlineStr">
        <is>
          <t>attack</t>
        </is>
      </c>
      <c r="C14" s="301" t="inlineStr">
        <is>
          <t>攻击</t>
        </is>
      </c>
      <c r="D14" s="301" t="inlineStr">
        <is>
          <t>判定生效帧与挥击/发射表现对齐</t>
        </is>
      </c>
      <c r="E14" s="301" t="inlineStr">
        <is>
          <t>程序驱动（EnemyAvatar3D 仅记录 ai_state）</t>
        </is>
      </c>
      <c r="F14" s="301" t="inlineStr">
        <is>
          <t>待登记</t>
        </is>
      </c>
      <c r="G14" s="301" t="inlineStr">
        <is>
          <t>待登记</t>
        </is>
      </c>
      <c r="H14" s="301" t="inlineStr">
        <is>
          <t>待登记</t>
        </is>
      </c>
      <c r="I14" s="301" t="inlineStr">
        <is>
          <t>状态转移表见 src/enemy3d/Enemy3D.gd transition_to()，尚未逐条登记</t>
        </is>
      </c>
    </row>
    <row r="15" ht="26" customHeight="1">
      <c r="A15" s="301" t="n">
        <v>10</v>
      </c>
      <c r="B15" s="301" t="inlineStr">
        <is>
          <t>recovery</t>
        </is>
      </c>
      <c r="C15" s="301" t="inlineStr">
        <is>
          <t>收招</t>
        </is>
      </c>
      <c r="D15" s="301" t="inlineStr">
        <is>
          <t>攻击后的硬直表现</t>
        </is>
      </c>
      <c r="E15" s="301" t="inlineStr">
        <is>
          <t>程序驱动（EnemyAvatar3D 仅记录 ai_state）</t>
        </is>
      </c>
      <c r="F15" s="301" t="inlineStr">
        <is>
          <t>待登记</t>
        </is>
      </c>
      <c r="G15" s="301" t="inlineStr">
        <is>
          <t>待登记</t>
        </is>
      </c>
      <c r="H15" s="301" t="inlineStr">
        <is>
          <t>待登记</t>
        </is>
      </c>
      <c r="I15" s="301" t="inlineStr">
        <is>
          <t>状态转移表见 src/enemy3d/Enemy3D.gd transition_to()，尚未逐条登记</t>
        </is>
      </c>
    </row>
    <row r="16" ht="26" customHeight="1">
      <c r="A16" s="301" t="n">
        <v>11</v>
      </c>
      <c r="B16" s="301" t="inlineStr">
        <is>
          <t>stagger</t>
        </is>
      </c>
      <c r="C16" s="301" t="inlineStr">
        <is>
          <t>踉跄</t>
        </is>
      </c>
      <c r="D16" s="301" t="inlineStr">
        <is>
          <t>受击打断；闪白 + 位移</t>
        </is>
      </c>
      <c r="E16" s="301" t="inlineStr">
        <is>
          <t>程序驱动（EnemyAvatar3D 仅记录 ai_state）</t>
        </is>
      </c>
      <c r="F16" s="301" t="inlineStr">
        <is>
          <t>待登记</t>
        </is>
      </c>
      <c r="G16" s="301" t="inlineStr">
        <is>
          <t>待登记</t>
        </is>
      </c>
      <c r="H16" s="301" t="inlineStr">
        <is>
          <t>待登记</t>
        </is>
      </c>
      <c r="I16" s="301" t="inlineStr">
        <is>
          <t>状态转移表见 src/enemy3d/Enemy3D.gd transition_to()，尚未逐条登记</t>
        </is>
      </c>
    </row>
    <row r="17" ht="26" customHeight="1">
      <c r="A17" s="301" t="n">
        <v>12</v>
      </c>
      <c r="B17" s="301" t="inlineStr">
        <is>
          <t>dead</t>
        </is>
      </c>
      <c r="C17" s="301" t="inlineStr">
        <is>
          <t>死亡</t>
        </is>
      </c>
      <c r="D17" s="301" t="inlineStr">
        <is>
          <t>倒地/瓦解；播放结束即回收</t>
        </is>
      </c>
      <c r="E17" s="301" t="inlineStr">
        <is>
          <t>程序驱动（EnemyAvatar3D 仅记录 ai_state）</t>
        </is>
      </c>
      <c r="F17" s="301" t="inlineStr">
        <is>
          <t>待登记</t>
        </is>
      </c>
      <c r="G17" s="301" t="inlineStr">
        <is>
          <t>待登记</t>
        </is>
      </c>
      <c r="H17" s="301" t="inlineStr">
        <is>
          <t>待登记</t>
        </is>
      </c>
      <c r="I17" s="301" t="inlineStr">
        <is>
          <t>状态转移表见 src/enemy3d/Enemy3D.gd transition_to()，尚未逐条登记</t>
        </is>
      </c>
    </row>
    <row r="19">
      <c r="A19" s="381" t="inlineStr">
        <is>
          <t>敌人条目 × 状态机对照（本账本《资产主表》的每条敌人资产都走同一套 12 态状态机）</t>
        </is>
      </c>
      <c r="B19" s="394" t="n"/>
      <c r="C19" s="394" t="n"/>
      <c r="D19" s="394" t="n"/>
      <c r="E19" s="394" t="n"/>
      <c r="F19" s="394" t="n"/>
      <c r="G19" s="394" t="n"/>
      <c r="H19" s="394" t="n"/>
      <c r="I19" s="395" t="n"/>
    </row>
    <row r="20">
      <c r="A20" s="320" t="inlineStr">
        <is>
          <t>序号</t>
        </is>
      </c>
      <c r="B20" s="320" t="inlineStr">
        <is>
          <t>敌人ID(AssetID)</t>
        </is>
      </c>
      <c r="C20" s="320" t="inlineStr">
        <is>
          <t>中文名</t>
        </is>
      </c>
      <c r="D20" s="320" t="inlineStr">
        <is>
          <t>骨架/动作库</t>
        </is>
      </c>
      <c r="E20" s="320" t="inlineStr">
        <is>
          <t>状态机</t>
        </is>
      </c>
      <c r="F20" s="320" t="inlineStr">
        <is>
          <t>表现层级</t>
        </is>
      </c>
      <c r="G20" s="320" t="inlineStr">
        <is>
          <t>独立动作母版</t>
        </is>
      </c>
      <c r="H20" s="320" t="inlineStr">
        <is>
          <t>首版实现</t>
        </is>
      </c>
      <c r="I20" s="320" t="inlineStr">
        <is>
          <t>备注</t>
        </is>
      </c>
    </row>
    <row r="21">
      <c r="A21" s="301" t="n">
        <v>1</v>
      </c>
      <c r="B21" s="301" t="inlineStr">
        <is>
          <t>ENM-MELEE-FUNGBOAR01</t>
        </is>
      </c>
      <c r="C21" s="301" t="inlineStr">
        <is>
          <t>小菌猪</t>
        </is>
      </c>
      <c r="D21" s="301" t="inlineStr">
        <is>
          <t>无 Blender 动作母版（程序驱动）</t>
        </is>
      </c>
      <c r="E21" s="301" t="inlineStr">
        <is>
          <t>ENEMY_AI_12_STATES</t>
        </is>
      </c>
      <c r="F21" s="301" t="inlineStr">
        <is>
          <t>程序 Mesh / Prefab</t>
        </is>
      </c>
      <c r="G21" s="301" t="inlineStr">
        <is>
          <t>无</t>
        </is>
      </c>
      <c r="H21" s="301" t="inlineStr">
        <is>
          <t>待登记</t>
        </is>
      </c>
      <c r="I21" s="301" t="n"/>
    </row>
    <row r="22">
      <c r="A22" s="301" t="n">
        <v>2</v>
      </c>
      <c r="B22" s="301" t="inlineStr">
        <is>
          <t>ENM-RANGED-SPORESHOOTER01</t>
        </is>
      </c>
      <c r="C22" s="301" t="inlineStr">
        <is>
          <t>孢子射手</t>
        </is>
      </c>
      <c r="D22" s="301" t="inlineStr">
        <is>
          <t>无 Blender 动作母版（程序驱动）</t>
        </is>
      </c>
      <c r="E22" s="301" t="inlineStr">
        <is>
          <t>ENEMY_AI_12_STATES</t>
        </is>
      </c>
      <c r="F22" s="301" t="inlineStr">
        <is>
          <t>程序 Mesh / Prefab</t>
        </is>
      </c>
      <c r="G22" s="301" t="inlineStr">
        <is>
          <t>无</t>
        </is>
      </c>
      <c r="H22" s="301" t="inlineStr">
        <is>
          <t>待登记</t>
        </is>
      </c>
      <c r="I22" s="301" t="n"/>
    </row>
    <row r="23">
      <c r="A23" s="301" t="n">
        <v>3</v>
      </c>
      <c r="B23" s="301" t="inlineStr">
        <is>
          <t>ENM-SUMMON-HIVE01</t>
        </is>
      </c>
      <c r="C23" s="301" t="inlineStr">
        <is>
          <t>蜂巢怪</t>
        </is>
      </c>
      <c r="D23" s="301" t="inlineStr">
        <is>
          <t>无 Blender 动作母版（程序驱动）</t>
        </is>
      </c>
      <c r="E23" s="301" t="inlineStr">
        <is>
          <t>ENEMY_AI_12_STATES</t>
        </is>
      </c>
      <c r="F23" s="301" t="inlineStr">
        <is>
          <t>程序 Mesh / Prefab</t>
        </is>
      </c>
      <c r="G23" s="301" t="inlineStr">
        <is>
          <t>无</t>
        </is>
      </c>
      <c r="H23" s="301" t="inlineStr">
        <is>
          <t>待登记</t>
        </is>
      </c>
      <c r="I23" s="301" t="n"/>
    </row>
    <row r="24">
      <c r="A24" s="301" t="n">
        <v>4</v>
      </c>
      <c r="B24" s="301" t="inlineStr">
        <is>
          <t>ENM-TANK-SHELLGUARD01</t>
        </is>
      </c>
      <c r="C24" s="301" t="inlineStr">
        <is>
          <t>壳甲卫兵</t>
        </is>
      </c>
      <c r="D24" s="301" t="inlineStr">
        <is>
          <t>无 Blender 动作母版（程序驱动）</t>
        </is>
      </c>
      <c r="E24" s="301" t="inlineStr">
        <is>
          <t>ENEMY_AI_12_STATES</t>
        </is>
      </c>
      <c r="F24" s="301" t="inlineStr">
        <is>
          <t>程序 Mesh / Prefab</t>
        </is>
      </c>
      <c r="G24" s="301" t="inlineStr">
        <is>
          <t>无</t>
        </is>
      </c>
      <c r="H24" s="301" t="inlineStr">
        <is>
          <t>待登记</t>
        </is>
      </c>
      <c r="I24" s="301" t="n"/>
    </row>
    <row r="25">
      <c r="A25" s="301" t="n">
        <v>5</v>
      </c>
      <c r="B25" s="301" t="inlineStr">
        <is>
          <t>ENM-BOMBER-FRUIT01</t>
        </is>
      </c>
      <c r="C25" s="301" t="inlineStr">
        <is>
          <t>炸弹果</t>
        </is>
      </c>
      <c r="D25" s="301" t="inlineStr">
        <is>
          <t>无 Blender 动作母版（程序驱动）</t>
        </is>
      </c>
      <c r="E25" s="301" t="inlineStr">
        <is>
          <t>ENEMY_AI_12_STATES</t>
        </is>
      </c>
      <c r="F25" s="301" t="inlineStr">
        <is>
          <t>程序 Mesh / Prefab</t>
        </is>
      </c>
      <c r="G25" s="301" t="inlineStr">
        <is>
          <t>无</t>
        </is>
      </c>
      <c r="H25" s="301" t="inlineStr">
        <is>
          <t>待登记</t>
        </is>
      </c>
      <c r="I25" s="301" t="n"/>
    </row>
    <row r="26">
      <c r="A26" s="301" t="n">
        <v>6</v>
      </c>
      <c r="B26" s="301" t="inlineStr">
        <is>
          <t>ENM-TRAP-SPIKEWORM01</t>
        </is>
      </c>
      <c r="C26" s="301" t="inlineStr">
        <is>
          <t>地刺虫</t>
        </is>
      </c>
      <c r="D26" s="301" t="inlineStr">
        <is>
          <t>无 Blender 动作母版（程序驱动）</t>
        </is>
      </c>
      <c r="E26" s="301" t="inlineStr">
        <is>
          <t>ENEMY_AI_12_STATES</t>
        </is>
      </c>
      <c r="F26" s="301" t="inlineStr">
        <is>
          <t>程序 Mesh / Prefab</t>
        </is>
      </c>
      <c r="G26" s="301" t="inlineStr">
        <is>
          <t>无</t>
        </is>
      </c>
      <c r="H26" s="301" t="inlineStr">
        <is>
          <t>待登记</t>
        </is>
      </c>
      <c r="I26" s="301" t="n"/>
    </row>
    <row r="27">
      <c r="A27" s="301" t="n">
        <v>7</v>
      </c>
      <c r="B27" s="301" t="inlineStr">
        <is>
          <t>ENM-BOSS-ABYSS01</t>
        </is>
      </c>
      <c r="C27" s="301" t="inlineStr">
        <is>
          <t>深渊 Boss</t>
        </is>
      </c>
      <c r="D27" s="301" t="inlineStr">
        <is>
          <t>无 Blender 动作母版（程序驱动）</t>
        </is>
      </c>
      <c r="E27" s="301" t="inlineStr">
        <is>
          <t>ENEMY_AI_12_STATES</t>
        </is>
      </c>
      <c r="F27" s="301" t="inlineStr">
        <is>
          <t>程序 Mesh / Prefab</t>
        </is>
      </c>
      <c r="G27" s="301" t="inlineStr">
        <is>
          <t>无</t>
        </is>
      </c>
      <c r="H27" s="301" t="inlineStr">
        <is>
          <t>待登记</t>
        </is>
      </c>
      <c r="I27" s="301" t="n"/>
    </row>
    <row r="28">
      <c r="A28" s="301" t="n">
        <v>8</v>
      </c>
      <c r="B28" s="301" t="inlineStr">
        <is>
          <t>ENM-ECOSYSTEM-KIT-3D</t>
        </is>
      </c>
      <c r="C28" s="301" t="inlineStr">
        <is>
          <t>七类怪物3D生态套件</t>
        </is>
      </c>
      <c r="D28" s="301" t="inlineStr">
        <is>
          <t>无 Blender 动作母版（程序驱动）</t>
        </is>
      </c>
      <c r="E28" s="301" t="inlineStr">
        <is>
          <t>ENEMY_AI_12_STATES</t>
        </is>
      </c>
      <c r="F28" s="301" t="inlineStr">
        <is>
          <t>程序 Mesh / Prefab</t>
        </is>
      </c>
      <c r="G28" s="301" t="inlineStr">
        <is>
          <t>无</t>
        </is>
      </c>
      <c r="H28" s="301" t="inlineStr">
        <is>
          <t>待登记</t>
        </is>
      </c>
      <c r="I28" s="301" t="n"/>
    </row>
    <row r="29">
      <c r="A29" s="301" t="n">
        <v>9</v>
      </c>
      <c r="B29" s="301" t="inlineStr">
        <is>
          <t>ENM-BOSS-ARCHIVIST-95</t>
        </is>
      </c>
      <c r="C29" s="301" t="inlineStr">
        <is>
          <t>深渊档案官</t>
        </is>
      </c>
      <c r="D29" s="301" t="inlineStr">
        <is>
          <t>无 Blender 动作母版（程序驱动）</t>
        </is>
      </c>
      <c r="E29" s="301" t="inlineStr">
        <is>
          <t>ENEMY_AI_12_STATES</t>
        </is>
      </c>
      <c r="F29" s="301" t="inlineStr">
        <is>
          <t>程序 Mesh / Prefab</t>
        </is>
      </c>
      <c r="G29" s="301" t="inlineStr">
        <is>
          <t>无</t>
        </is>
      </c>
      <c r="H29" s="301" t="inlineStr">
        <is>
          <t>待登记</t>
        </is>
      </c>
      <c r="I29" s="301" t="n"/>
    </row>
    <row r="30">
      <c r="A30" s="301" t="n">
        <v>10</v>
      </c>
      <c r="B30" s="301" t="inlineStr">
        <is>
          <t>ENM-BOSS-FURNACE-WARDEN-90</t>
        </is>
      </c>
      <c r="C30" s="301" t="inlineStr">
        <is>
          <t>熔炉狱监</t>
        </is>
      </c>
      <c r="D30" s="301" t="inlineStr">
        <is>
          <t>无 Blender 动作母版（程序驱动）</t>
        </is>
      </c>
      <c r="E30" s="301" t="inlineStr">
        <is>
          <t>ENEMY_AI_12_STATES</t>
        </is>
      </c>
      <c r="F30" s="301" t="inlineStr">
        <is>
          <t>程序 Mesh / Prefab</t>
        </is>
      </c>
      <c r="G30" s="301" t="inlineStr">
        <is>
          <t>无</t>
        </is>
      </c>
      <c r="H30" s="301" t="inlineStr">
        <is>
          <t>待登记</t>
        </is>
      </c>
      <c r="I30" s="301" t="n"/>
    </row>
    <row r="31">
      <c r="A31" s="301" t="n">
        <v>11</v>
      </c>
      <c r="B31" s="301" t="inlineStr">
        <is>
          <t>ENM-BOSS-HOLLOW-CHOIR-85</t>
        </is>
      </c>
      <c r="C31" s="301" t="inlineStr">
        <is>
          <t>空洞合唱团</t>
        </is>
      </c>
      <c r="D31" s="301" t="inlineStr">
        <is>
          <t>无 Blender 动作母版（程序驱动）</t>
        </is>
      </c>
      <c r="E31" s="301" t="inlineStr">
        <is>
          <t>ENEMY_AI_12_STATES</t>
        </is>
      </c>
      <c r="F31" s="301" t="inlineStr">
        <is>
          <t>程序 Mesh / Prefab</t>
        </is>
      </c>
      <c r="G31" s="301" t="inlineStr">
        <is>
          <t>无</t>
        </is>
      </c>
      <c r="H31" s="301" t="inlineStr">
        <is>
          <t>待登记</t>
        </is>
      </c>
      <c r="I31" s="301" t="n"/>
    </row>
    <row r="32">
      <c r="A32" s="301" t="n">
        <v>12</v>
      </c>
      <c r="B32" s="301" t="inlineStr">
        <is>
          <t>ENM-ELITE-RIFT-BOAR-ARMED-3D</t>
        </is>
      </c>
      <c r="C32" s="301" t="inlineStr">
        <is>
          <t>背枪的裂口爬虫3D精英根</t>
        </is>
      </c>
      <c r="D32" s="301" t="inlineStr">
        <is>
          <t>无 Blender 动作母版（程序驱动）</t>
        </is>
      </c>
      <c r="E32" s="301" t="inlineStr">
        <is>
          <t>ENEMY_AI_12_STATES</t>
        </is>
      </c>
      <c r="F32" s="301" t="inlineStr">
        <is>
          <t>程序 Mesh / Prefab</t>
        </is>
      </c>
      <c r="G32" s="301" t="inlineStr">
        <is>
          <t>无</t>
        </is>
      </c>
      <c r="H32" s="301" t="inlineStr">
        <is>
          <t>待登记</t>
        </is>
      </c>
      <c r="I32" s="301" t="n"/>
    </row>
    <row r="33">
      <c r="A33" s="323" t="inlineStr">
        <is>
          <t>合计</t>
        </is>
      </c>
      <c r="B33" s="323">
        <f>COUNTA(B21:B32)</f>
        <v/>
      </c>
      <c r="C33" s="323" t="n"/>
      <c r="D33" s="323" t="n"/>
      <c r="E33" s="323" t="n"/>
      <c r="F33" s="323" t="n"/>
      <c r="G33" s="323" t="n"/>
      <c r="H33" s="323" t="n"/>
      <c r="I33" s="323" t="n"/>
    </row>
  </sheetData>
  <mergeCells count="3">
    <mergeCell ref="A1:I2"/>
    <mergeCell ref="A19:I19"/>
    <mergeCell ref="A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392" t="inlineStr">
        <is>
          <t>ENM-ELITE-RIFT-BOAR-ARMED-3D</t>
        </is>
      </c>
      <c r="B6" s="392" t="inlineStr">
        <is>
          <t>背枪的裂口爬虫</t>
        </is>
      </c>
      <c r="C6" s="392" t="inlineStr">
        <is>
          <t>assets/art/enemies/elite_3d/rift_boar_armed/runtime/enm_elite_rift_boar_armed_root_top3d_v001.tscn</t>
        </is>
      </c>
      <c r="D6" s="392" t="inlineStr">
        <is>
          <t>assets/art/enemies/elite_3d/rift_boar_armed/components/enm_elite_rift_boar_armed_visual_top3d_v001.glb</t>
        </is>
      </c>
      <c r="E6" s="392" t="inlineStr">
        <is>
          <t>assets/art/enemies/elite_3d/rift_boar_armed/source/enm_elite_rift_boar_armed_source_v001.blend</t>
        </is>
      </c>
      <c r="F6" s="392" t="inlineStr">
        <is>
          <t>首只唯一精英独立表现、背负副枪与命名专属血条</t>
        </is>
      </c>
      <c r="G6" s="392" t="inlineStr">
        <is>
          <t>src/enemy3d/EliteContentCatalog.gd; src/enemy3d/EliteRosterService.gd; src/enemy3d/EnemyAvatar3D.gd; src/enemy3d/Enemy3D.gd</t>
        </is>
      </c>
      <c r="H6" s="392" t="inlineStr">
        <is>
          <t>关（表现资产）</t>
        </is>
      </c>
      <c r="I6" s="392" t="inlineStr">
        <is>
          <t>Enemy3D</t>
        </is>
      </c>
      <c r="J6" s="392" t="inlineStr">
        <is>
          <t>复用melee_chaser CylinderShape3D</t>
        </is>
      </c>
      <c r="K6" s="392" t="inlineStr">
        <is>
          <t>1.970×1.843×1.345m；18 Mesh；4材质</t>
        </is>
      </c>
      <c r="L6" s="392" t="inlineStr">
        <is>
          <t>底部可预测；Blender -Y / Godot -Z 正面；根Scale=1</t>
        </is>
      </c>
      <c r="M6" s="392" t="inlineStr">
        <is>
          <t>每次行动按run_seed在98F/97F/96F三选一；目标层随机ELITE房</t>
        </is>
      </c>
      <c r="N6" s="392" t="inlineStr">
        <is>
          <t>正式美术已接入</t>
        </is>
      </c>
      <c r="O6" s="392" t="inlineStr">
        <is>
          <t>v001</t>
        </is>
      </c>
      <c r="P6" s="392" t="inlineStr">
        <is>
          <t>AssetID与elite_id稳定；其余11只仍为design_only，完成专项前不投放。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敌人账本变更日志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敌人</t>
        </is>
      </c>
      <c r="E6" s="301" t="inlineStr">
        <is>
          <t>由单体账本《ShellStorm2_美术资产台账_v001.xlsx》按大类拆分而来；本账本接管大类=敌人，条目内容逐格不变，仅登记位置变化。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2026-09-18T02:30:01Z</dcterms:created>
  <dcterms:modified xsi:type="dcterms:W3CDTF">2026-09-18T02:30:01Z</dcterms:modified>
</cp:coreProperties>
</file>