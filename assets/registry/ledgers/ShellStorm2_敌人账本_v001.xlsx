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COUNTA('资产主表'!$A$6:$A$20)</f>
        <v/>
      </c>
      <c r="B6" s="41" t="n"/>
      <c r="C6" s="43">
        <f>COUNTIF('资产主表'!$K$6:$K$20,"已完成")+COUNTIF('资产主表'!$K$6:$K$20,"原型已接入")+COUNTIF('资产主表'!$K$6:$K$20,"正式美术已接入")+COUNTIF('资产主表'!$K$6:$K$20,"已优化并正式接入")+COUNTIF('资产主表'!$K$6:$K$20,"Blender源已完成")+COUNTIF('资产主表'!$K$6:$K$20,"已导入；优化完成")+COUNTIF('资产主表'!$K$6:$K$20,"白模源已完成；QA PASS")</f>
        <v/>
      </c>
      <c r="D6" s="41" t="n"/>
      <c r="E6" s="43">
        <f>COUNTIF('资产主表'!$K$6:$K$20,"待制作")+COUNTIF('资产主表'!$K$6:$K$20,"程序占位")</f>
        <v/>
      </c>
      <c r="F6" s="41" t="n"/>
      <c r="G6" s="43">
        <f>COUNTIF('资产主表'!$S$6:$S$20,"重复")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COUNTIF('资产主表'!$C$6:$C$20,A10)</f>
        <v/>
      </c>
      <c r="C10" s="48">
        <f>SUMPRODUCT(('资产主表'!$C$6:$C$20=A10)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COUNTIF('资产主表'!$C$6:$C$20,A11)</f>
        <v/>
      </c>
      <c r="C11" s="44">
        <f>SUMPRODUCT(('资产主表'!$C$6:$C$20=A11)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v003</t>
        </is>
      </c>
      <c r="N6" s="62" t="inlineStr">
        <is>
          <t>1.2819×0.9535×1.8571m；1 Mesh；1 材质；36 骨；6 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IF(COUNTIF($R$6:$R$20,R6)&gt;1,"重复","唯一")</f>
        <v/>
      </c>
      <c r="T6" s="62" t="inlineStr">
        <is>
          <t>04167459feffd18fa2dfd581ff8def82f58377e13909093a1b599c75080732f0</t>
        </is>
      </c>
      <c r="U6" s="62" t="inlineStr">
        <is>
          <t>Codex</t>
        </is>
      </c>
      <c r="V6" s="63" t="n">
        <v>46285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IF(COUNTIF($R$6:$R$20,R7)&gt;1,"重复","唯一")</f>
        <v/>
      </c>
      <c r="T7" s="62" t="inlineStr">
        <is>
          <t>6ef48eb029670062dde23f413badea4a39cd27635f0365aa8bc1e2c9998173d4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IF(COUNTIF($R$6:$R$20,R8)&gt;1,"重复","唯一")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IF(COUNTIF($R$6:$R$20,R9)&gt;1,"重复","唯一")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IF(COUNTIF($R$6:$R$20,R10)&gt;1,"重复","唯一")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IF(COUNTIF($R$6:$R$20,R11)&gt;1,"重复","唯一")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IF(COUNTIF($R$6:$R$20,R12)&gt;1,"重复","唯一")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IF(COUNTIF($R$6:$R$20,R13)&gt;1,"重复","唯一")</f>
        <v/>
      </c>
      <c r="T13" s="65" t="inlineStr">
        <is>
          <t>d9d8a49bed3fdcb863bad72f60be1f774309c7dda52753f5efb3d4e56159c12d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source/art/blender/bosses_v01/enm_boss_archivist_95_top3d_v001.blend;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IF(COUNTIF($R$6:$R$20,R14)&gt;1,"重复","唯一")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source/art/blender/bosses_v01/enm_boss_furnace_warden_90_top3d_v001.blend;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IF(COUNTIF($R$6:$R$20,R15)&gt;1,"重复","唯一")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source/art/blender/bosses_v01/enm_boss_hollow_choir_85_top3d_v001.blend;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IF(COUNTIF($R$6:$R$20,R16)&gt;1,"重复","唯一")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IF(COUNTIF($R$6:$R$20,R17)&gt;1,"重复","唯一")</f>
        <v/>
      </c>
      <c r="T17" s="65" t="inlineStr">
        <is>
          <t>b5b187474a58aebe1f5e7c2522b2e4a4db609f103365dca6e7bd8c082a08b496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IF(COUNTIF($R$6:$R$20,R18)&gt;1,"重复","唯一")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v011</t>
        </is>
      </c>
      <c r="N19" s="49" t="inlineStr">
        <is>
          <t>源高3.142857m；游戏站立高2.2m；2867顶点/5690三角；66骨；512²贴图；13已验收动作/13设计动作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assets/art/enemies/normal_enemy_3d/fat_zombie03/source/model/enm_normal_fat_zombie03_model_v003.blend; assets/art/enemies/normal_enemy_3d/fat_zombie03/source/animation/enm_normal_fat_zombie03_animation_v008.blend; docs/v0.1/design/胖子僵尸03运行配置.md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IF(COUNTIF($R$6:$R$20,R19)&gt;1,"重复","唯一")</f>
        <v/>
      </c>
      <c r="T19" s="49" t="inlineStr">
        <is>
          <t>946f406f5f9faee0387576fd46888eb314e9c70e294c7eb0bb0111e434edd704</t>
        </is>
      </c>
      <c r="U19" s="49" t="inlineStr">
        <is>
          <t>Codex</t>
        </is>
      </c>
      <c r="V19" s="63" t="n">
        <v>46298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r="I20" s="62" t="inlineStr">
        <is>
          <t>T Pose模型 / 六表情状态 / 正式idle 3.2秒循环</t>
        </is>
      </c>
      <c r="J20" s="49" t="inlineStr">
        <is>
          <t>Boss002 独立美术源</t>
        </is>
      </c>
      <c r="K20" s="49" t="inlineStr">
        <is>
          <t>Blender源已完成</t>
        </is>
      </c>
      <c r="L20" s="62" t="inlineStr">
        <is>
          <t>P1</t>
        </is>
      </c>
      <c r="M20" s="62" t="inlineStr">
        <is>
          <t>v009</t>
        </is>
      </c>
      <c r="N20" s="49" t="inlineStr">
        <is>
          <t>18684三角面；63骨；每臂6段；3材质；中心后轴独立屏幕旋转</t>
        </is>
      </c>
      <c r="O20" s="49" t="inlineStr">
        <is>
          <t>assets/art/enemies/bosses/enm_boss_monitor002/source/enm_boss_monitor002_model_v009.blend</t>
        </is>
      </c>
      <c r="P20" s="62" t="inlineStr">
        <is>
          <t>source/enm_boss_monitor002_model_v009.blend + enm_boss_monitor002_animation_v009.blend；SKEL-MONITOR002-004；用户2026-10-04中心轴/多段臂/3材质要求</t>
        </is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IF(COUNTIF($R$6:$R$20,R20)&gt;1,"重复","唯一")</f>
        <v/>
      </c>
      <c r="T20" s="49" t="inlineStr">
        <is>
          <t>da47fdcbf188f6d05f0089e65a786e3b1bc053cbdd76852cb003c8077115c7cf</t>
        </is>
      </c>
      <c r="U20" s="49" t="inlineStr">
        <is>
          <t>Codex</t>
        </is>
      </c>
      <c r="V20" s="63" t="inlineStr">
        <is>
          <t>2026-10-04</t>
        </is>
      </c>
      <c r="W20" s="49" t="inlineStr">
        <is>
          <t>用户设计图；原创程序建模</t>
        </is>
      </c>
      <c r="X20" s="64" t="inlineStr">
        <is>
          <t>BOSS002_MONITOR</t>
        </is>
      </c>
      <c r="Y20" s="49" t="inlineStr">
        <is>
          <t>v009 authored_rigged。五官保持v006位置；idle重做双手握持与手指蒙皮、键盘握点、下垂线环和朝下插头，3.2秒30fps循环。中心后轴连接双臂，屏幕独立旋转；六段弹簧臂FK弯曲+伸缩；身体色盘UV、六表情单图集、屏幕向上UV滚动，共3材质。16项源级检查通过。未导出/未接入Godot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20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0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20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0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有：assets/art/enemies/normal_enemy_3d/melee_chaser/source/animation/enm_melee_fungboar01_animation_v003.blend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有：assets/art/enemies/normal_enemy_3d/ranged_caster/source/animation/enm_ranged_sporeshooter01_animation_v002.blend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assets/art/enemies/normal_enemy_3d/fat_zombie03/source/animation/enm_normal_fat_zombie03_animation_v008.blend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assets/art/enemies/normal_enemy_3d/fat_zombie03/source/animation/enm_normal_fat_zombie03_animation_v008.blend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assets/art/enemies/normal_enemy_3d/fat_zombie03/source/animation/enm_normal_fat_zombie03_animation_v008.blend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assets/art/enemies/normal_enemy_3d/fat_zombie03/source/animation/enm_normal_fat_zombie03_animation_v008.blend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assets/art/enemies/normal_enemy_3d/fat_zombie03/source/animation/enm_normal_fat_zombie03_animation_v008.blend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assets/art/enemies/normal_enemy_3d/fat_zombie03/source/animation/enm_normal_fat_zombie03_animation_v008.blend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assets/art/enemies/normal_enemy_3d/fat_zombie03/source/animation/enm_normal_fat_zombie03_animation_v008.blend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assets/art/enemies/normal_enemy_3d/fat_zombie03/source/animation/enm_normal_fat_zombie03_animation_v008.blend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assets/art/enemies/normal_enemy_3d/fat_zombie03/source/animation/enm_normal_fat_zombie03_animation_v008.blend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assets/art/enemies/normal_enemy_3d/fat_zombie03/source/animation/enm_normal_fat_zombie03_animation_v008.blend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assets/art/enemies/normal_enemy_3d/fat_zombie03/source/animation/enm_normal_fat_zombie03_animation_v008.blend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assets/art/enemies/normal_enemy_3d/fat_zombie03/source/animation/enm_normal_fat_zombie03_animation_v008.blend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assets/art/enemies/normal_enemy_3d/fat_zombie03/source/animation/enm_normal_fat_zombie03_animation_v008.blend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assets/art/enemies/elite_3d/rift_boar_armed/source/enm_elite_rift_boar_armed_source_v001.blend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F7" s="41" t="inlineStr">
        <is>
          <t>首个标准普通怪表现；六段 Blender 剪辑按 12 态 AI 采样；36 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1.2819×0.9535×1.8571m；1 Mesh；1 材质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v003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assets/art/enemies/normal_enemy_3d/fat_zombie03/source/model/enm_normal_fat_zombie03_model_v003.blend; assets/art/enemies/normal_enemy_3d/fat_zombie03/source/animation/enm_normal_fat_zombie03_animation_v008.blend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站立2.2m；世界圆柱半径0.77m/高2.2m；66骨；512贴图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v011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s="37" t="inlineStr">
        <is>
          <t>v005</t>
        </is>
      </c>
      <c r="B26" s="37" t="inlineStr">
        <is>
          <t>2026-10-03</t>
        </is>
      </c>
      <c r="C26" s="37" t="inlineStr">
        <is>
          <t>Codex</t>
        </is>
      </c>
      <c r="D26" s="37" t="inlineStr">
        <is>
          <t>ENM-BOSS-MONITOR002-3D</t>
        </is>
      </c>
      <c r="E26" s="37" t="inlineStr">
        <is>
          <t>41骨蒙皮与双母版；六表情状态；21项源级验收通过</t>
        </is>
      </c>
    </row>
    <row r="27">
      <c r="A27" s="37" t="inlineStr">
        <is>
          <t>v006</t>
        </is>
      </c>
      <c r="B27" s="37" t="inlineStr">
        <is>
          <t>2026-10-04</t>
        </is>
      </c>
      <c r="C27" s="37" t="inlineStr">
        <is>
          <t>Codex</t>
        </is>
      </c>
      <c r="D27" s="37" t="inlineStr">
        <is>
          <t>ENM-BOSS-MONITOR002-3D</t>
        </is>
      </c>
      <c r="E27" s="37" t="inlineStr">
        <is>
          <t>中心后轴、每臂6骨、3材质、向上代码滚动；32项检查通过</t>
        </is>
      </c>
    </row>
    <row r="28">
      <c r="A28" s="37" t="inlineStr">
        <is>
          <t>v007</t>
        </is>
      </c>
      <c r="B28" s="37" t="inlineStr">
        <is>
          <t>2026-10-04</t>
        </is>
      </c>
      <c r="C28" s="37" t="inlineStr">
        <is>
          <t>Codex</t>
        </is>
      </c>
      <c r="D28" s="37" t="inlineStr">
        <is>
          <t>ENM-BOSS-MONITOR002-3D</t>
        </is>
      </c>
      <c r="E28" s="37" t="inlineStr">
        <is>
          <t>五官按红框下移，10类/15剪辑动画设计，正式动作未制作；33项检查通过</t>
        </is>
      </c>
    </row>
    <row r="29">
      <c r="A29" s="37" t="inlineStr">
        <is>
          <t>v008</t>
        </is>
      </c>
      <c r="B29" s="37" t="inlineStr">
        <is>
          <t>2026-10-04</t>
        </is>
      </c>
      <c r="C29" s="37" t="inlineStr">
        <is>
          <t>Codex</t>
        </is>
      </c>
      <c r="D29" s="37" t="inlineStr">
        <is>
          <t>ENM-BOSS-MONITOR002-3D</t>
        </is>
      </c>
      <c r="E29" s="37" t="inlineStr">
        <is>
          <t>五官恢复；正式idle循环，弧线下垂双臂和滞后回摆；9项检查通过</t>
        </is>
      </c>
    </row>
    <row r="30">
      <c r="A30" t="inlineStr">
        <is>
          <t>v009</t>
        </is>
      </c>
      <c r="B30" t="inlineStr">
        <is>
          <t>2026-10-04</t>
        </is>
      </c>
      <c r="C30" t="inlineStr">
        <is>
          <t>Codex</t>
        </is>
      </c>
      <c r="D30" t="inlineStr">
        <is>
          <t>ENM-BOSS-MONITOR002-3D</t>
        </is>
      </c>
      <c r="E30" t="inlineStr">
        <is>
          <t>待机重做握持：四指夹键盘、握线；16节垂线及朝下插头；16项检查通过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2026-10-04T02:50:29Z</dcterms:modified>
  <cp:revision>0</cp:revision>
</cp:coreProperties>
</file>