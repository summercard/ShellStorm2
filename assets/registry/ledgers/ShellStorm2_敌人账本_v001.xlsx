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name="总览" sheetId="1" state="visible" r:id="rId1"/>
    <sheet name="账本说明" sheetId="2" state="visible" r:id="rId2"/>
    <sheet name="资产主表" sheetId="3" state="visible" r:id="rId3"/>
    <sheet name="敌人动画与状态" sheetId="4" state="visible" r:id="rId4"/>
    <sheet name="3D-敌人" sheetId="5" state="visible" r:id="rId5"/>
    <sheet name="域变更日志" sheetId="6" state="visible" r:id="rId6"/>
  </sheets>
  <definedNames>
    <definedName name="_xlnm._FilterDatabase" localSheetId="2" hidden="1">'资产主表'!$A$5:$Y$20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 h:mm:ss"/>
  </numFmts>
  <fonts count="31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Cambria"/>
      <charset val="1"/>
      <family val="0"/>
      <b val="1"/>
      <color rgb="FF2E7D32"/>
      <sz val="11"/>
    </font>
    <font>
      <name val="Calibri"/>
      <charset val="1"/>
      <family val="0"/>
      <color rgb="FF13202B"/>
      <sz val="9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i val="1"/>
      <color rgb="FF79D8E8"/>
      <sz val="10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mbria"/>
      <charset val="1"/>
      <family val="0"/>
      <b val="1"/>
      <sz val="11"/>
    </font>
    <font>
      <name val="Calibri"/>
      <charset val="1"/>
      <family val="0"/>
      <b val="1"/>
      <color rgb="FFFFFFFF"/>
      <sz val="16"/>
    </font>
    <font>
      <name val="Linux Libertine G"/>
      <family val="2"/>
      <b val="1"/>
      <color rgb="FFFFFFFF"/>
      <sz val="16"/>
    </font>
    <font>
      <name val="Linux Libertine G"/>
      <family val="2"/>
      <i val="1"/>
      <color rgb="FF334155"/>
      <sz val="10"/>
    </font>
    <font>
      <name val="Calibri"/>
      <charset val="1"/>
      <family val="0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</fonts>
  <fills count="11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D9F3E8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2F75B5"/>
        <bgColor rgb="FF156082"/>
      </patternFill>
    </fill>
  </fills>
  <borders count="18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/>
      <right style="thin">
        <color rgb="FFE5E7EB"/>
      </right>
      <top/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9FBAD0"/>
      </bottom>
      <diagonal/>
    </border>
    <border>
      <left style="thin">
        <color rgb="FFE5E7EB"/>
      </left>
      <right/>
      <top/>
      <bottom style="thin">
        <color rgb="FF9FBAD0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 style="thin">
        <color rgb="FFE5E7EB"/>
      </right>
      <top/>
      <bottom/>
      <diagonal/>
    </border>
    <border>
      <left/>
      <right/>
      <top/>
      <bottom style="thin">
        <color rgb="FFD9E2F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7"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0" fillId="4" borderId="0" applyAlignment="1" pivotButton="0" quotePrefix="0" xfId="20">
      <alignment horizontal="general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0" fontId="25" fillId="8" borderId="0" applyAlignment="1" pivotButton="0" quotePrefix="0" xfId="20">
      <alignment horizontal="general" vertical="center"/>
    </xf>
    <xf numFmtId="0" fontId="27" fillId="9" borderId="0" applyAlignment="1" pivotButton="0" quotePrefix="0" xfId="20">
      <alignment horizontal="general" vertical="center" wrapText="1"/>
    </xf>
    <xf numFmtId="0" fontId="22" fillId="10" borderId="8" applyAlignment="1" pivotButton="0" quotePrefix="0" xfId="20">
      <alignment horizontal="center" vertical="center" wrapText="1"/>
    </xf>
    <xf numFmtId="0" fontId="13" fillId="10" borderId="9" applyAlignment="1" pivotButton="0" quotePrefix="0" xfId="20">
      <alignment horizontal="center" vertical="center" wrapText="1"/>
    </xf>
    <xf numFmtId="0" fontId="22" fillId="10" borderId="9" applyAlignment="1" pivotButton="0" quotePrefix="0" xfId="20">
      <alignment horizontal="center" vertical="center" wrapText="1"/>
    </xf>
    <xf numFmtId="0" fontId="13" fillId="10" borderId="10" applyAlignment="1" pivotButton="0" quotePrefix="0" xfId="20">
      <alignment horizontal="center" vertical="center" wrapText="1"/>
    </xf>
    <xf numFmtId="0" fontId="29" fillId="0" borderId="11" applyAlignment="1" pivotButton="0" quotePrefix="0" xfId="20">
      <alignment horizontal="general" vertical="top" wrapText="1"/>
    </xf>
    <xf numFmtId="0" fontId="30" fillId="0" borderId="12" applyAlignment="1" pivotButton="0" quotePrefix="0" xfId="20">
      <alignment horizontal="general" vertical="top" wrapText="1"/>
    </xf>
    <xf numFmtId="0" fontId="29" fillId="0" borderId="12" applyAlignment="1" pivotButton="0" quotePrefix="0" xfId="20">
      <alignment horizontal="general" vertical="top" wrapText="1"/>
    </xf>
    <xf numFmtId="0" fontId="30" fillId="0" borderId="13" applyAlignment="1" pivotButton="0" quotePrefix="0" xfId="2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0" fillId="0" borderId="15" pivotButton="0" quotePrefix="0" xfId="0"/>
    <xf numFmtId="0" fontId="0" fillId="0" borderId="2" pivotButton="0" quotePrefix="0" xfId="0"/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0" fillId="0" borderId="17" pivotButton="0" quotePrefix="0" xfId="0"/>
    <xf numFmtId="0" fontId="0" fillId="0" borderId="5" pivotButton="0" quotePrefix="0" xfId="0"/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0" fontId="25" fillId="8" borderId="0" applyAlignment="1" pivotButton="0" quotePrefix="0" xfId="20">
      <alignment horizontal="general" vertical="center"/>
    </xf>
    <xf numFmtId="0" fontId="27" fillId="9" borderId="0" applyAlignment="1" pivotButton="0" quotePrefix="0" xfId="20">
      <alignment horizontal="general" vertical="center" wrapText="1"/>
    </xf>
    <xf numFmtId="0" fontId="22" fillId="10" borderId="8" applyAlignment="1" pivotButton="0" quotePrefix="0" xfId="20">
      <alignment horizontal="center" vertical="center" wrapText="1"/>
    </xf>
    <xf numFmtId="0" fontId="13" fillId="10" borderId="9" applyAlignment="1" pivotButton="0" quotePrefix="0" xfId="20">
      <alignment horizontal="center" vertical="center" wrapText="1"/>
    </xf>
    <xf numFmtId="0" fontId="22" fillId="10" borderId="9" applyAlignment="1" pivotButton="0" quotePrefix="0" xfId="20">
      <alignment horizontal="center" vertical="center" wrapText="1"/>
    </xf>
    <xf numFmtId="0" fontId="13" fillId="10" borderId="10" applyAlignment="1" pivotButton="0" quotePrefix="0" xfId="20">
      <alignment horizontal="center" vertical="center" wrapText="1"/>
    </xf>
    <xf numFmtId="0" fontId="29" fillId="0" borderId="11" applyAlignment="1" pivotButton="0" quotePrefix="0" xfId="20">
      <alignment horizontal="general" vertical="top" wrapText="1"/>
    </xf>
    <xf numFmtId="0" fontId="30" fillId="0" borderId="12" applyAlignment="1" pivotButton="0" quotePrefix="0" xfId="20">
      <alignment horizontal="general" vertical="top" wrapText="1"/>
    </xf>
    <xf numFmtId="0" fontId="29" fillId="0" borderId="12" applyAlignment="1" pivotButton="0" quotePrefix="0" xfId="20">
      <alignment horizontal="general" vertical="top" wrapText="1"/>
    </xf>
    <xf numFmtId="0" fontId="30" fillId="0" borderId="13" applyAlignment="1" pivotButton="0" quotePrefix="0" xfId="20">
      <alignment horizontal="general" vertical="top" wrapText="1"/>
    </xf>
    <xf numFmtId="165" fontId="0" fillId="0" borderId="0" pivotButton="0" quotePrefix="0" xfId="0"/>
    <xf numFmtId="0" fontId="15" fillId="0" borderId="4" applyAlignment="1" pivotButton="0" quotePrefix="0" xfId="20">
      <alignment vertical="top" wrapText="1"/>
    </xf>
    <xf numFmtId="164" fontId="19" fillId="0" borderId="4" applyAlignment="1" pivotButton="0" quotePrefix="0" xfId="20">
      <alignment vertical="top" wrapText="1"/>
    </xf>
    <xf numFmtId="0" fontId="15" fillId="0" borderId="4" applyAlignment="1" pivotButton="0" quotePrefix="0" xfId="2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9" fillId="0" borderId="4" applyAlignment="1" pivotButton="0" quotePrefix="0" xfId="0">
      <alignment horizontal="general" vertical="top" wrapText="1"/>
    </xf>
    <xf numFmtId="0" fontId="15" fillId="0" borderId="4" applyAlignment="1" pivotButton="0" quotePrefix="0" xfId="0">
      <alignment horizontal="general" vertical="top" wrapText="1"/>
    </xf>
    <xf numFmtId="0" fontId="15" fillId="0" borderId="4" applyAlignment="1" pivotButton="0" quotePrefix="0" xfId="0">
      <alignment vertical="top" wrapText="1"/>
    </xf>
    <xf numFmtId="164" fontId="19" fillId="0" borderId="4" applyAlignment="1" pivotButton="0" quotePrefix="0" xfId="0">
      <alignment vertical="top" wrapText="1"/>
    </xf>
    <xf numFmtId="0" fontId="9" fillId="0" borderId="0" applyAlignment="1" pivotButton="0" quotePrefix="0" xfId="0">
      <alignment horizontal="center" vertical="bottom"/>
    </xf>
    <xf numFmtId="0" fontId="19" fillId="0" borderId="3" applyAlignment="1" pivotButton="0" quotePrefix="0" xfId="0">
      <alignment horizontal="general" vertical="top" wrapText="1"/>
    </xf>
    <xf numFmtId="0" fontId="15" fillId="0" borderId="3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5A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3202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3E8"/>
          <bgColor rgb="FF000000"/>
        </patternFill>
      </fill>
    </dxf>
    <dxf>
      <fill>
        <patternFill patternType="solid">
          <fgColor rgb="FF176C4A"/>
          <bgColor rgb="FF000000"/>
        </patternFill>
      </fill>
    </dxf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  <dxf>
      <font>
        <color rgb="FF000000"/>
      </font>
      <border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>
        <left/>
        <right/>
        <top style="double">
          <color theme="4"/>
        </top>
        <bottom/>
        <diagonal/>
      </border>
    </dxf>
  </dxfs>
  <tableStyles count="1" defaultTableStyle="TableStyleMedium9" defaultPivotStyle="PivotStyleLight16">
    <tableStyle name="TableStyleMedium2" count="7">
      <tableStyleElement type="wholeTable" dxfId="9"/>
      <tableStyleElement type="firstColumnStripe" dxfId="10"/>
      <tableStyleElement type="firstRowStripe" dxfId="11"/>
      <tableStyleElement type="lastColumn" dxfId="12"/>
      <tableStyleElement type="firstColumn" dxfId="13"/>
      <tableStyleElement type="headerRow" dxfId="14"/>
      <tableStyleElement type="totalRow" dxfId="15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A61B1B"/>
      <rgbColor rgb="FF008000"/>
      <rgbColor rgb="FF000080"/>
      <rgbColor rgb="FF808000"/>
      <rgbColor rgb="FF800080"/>
      <rgbColor rgb="FF176C4A"/>
      <rgbColor rgb="FFB9CBD2"/>
      <rgbColor rgb="FF808080"/>
      <rgbColor rgb="FF79D8E8"/>
      <rgbColor rgb="FF993366"/>
      <rgbColor rgb="FFFFF0D6"/>
      <rgbColor rgb="FFD9F3E8"/>
      <rgbColor rgb="FF660066"/>
      <rgbColor rgb="FFFF8080"/>
      <rgbColor rgb="FF1F5A78"/>
      <rgbColor rgb="FFD9E2F3"/>
      <rgbColor rgb="FF000080"/>
      <rgbColor rgb="FFFF00FF"/>
      <rgbColor rgb="FFFFFF00"/>
      <rgbColor rgb="FF00FFFF"/>
      <rgbColor rgb="FF800080"/>
      <rgbColor rgb="FF800000"/>
      <rgbColor rgb="FF156082"/>
      <rgbColor rgb="FF0000FF"/>
      <rgbColor rgb="FF00CCFF"/>
      <rgbColor rgb="FFE8F5E9"/>
      <rgbColor rgb="FFDCE8EC"/>
      <rgbColor rgb="FFE5E7EB"/>
      <rgbColor rgb="FF9FBAD0"/>
      <rgbColor rgb="FFFF99CC"/>
      <rgbColor rgb="FFDCE6F1"/>
      <rgbColor rgb="FFFFD6D6"/>
      <rgbColor rgb="FF2F75B5"/>
      <rgbColor rgb="FF46B1E1"/>
      <rgbColor rgb="FF99CC00"/>
      <rgbColor rgb="FFF2C94C"/>
      <rgbColor rgb="FFFF9900"/>
      <rgbColor rgb="FFFF6600"/>
      <rgbColor rgb="FF446170"/>
      <rgbColor rgb="FF969696"/>
      <rgbColor rgb="FF17324D"/>
      <rgbColor rgb="FF2E7D32"/>
      <rgbColor rgb="FF13202B"/>
      <rgbColor rgb="FF163246"/>
      <rgbColor rgb="FF8A4B08"/>
      <rgbColor rgb="FF993366"/>
      <rgbColor rgb="FF334155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37" min="1" max="1"/>
    <col width="16.71" customWidth="1" style="37" min="2" max="3"/>
    <col width="3.58" customWidth="1" style="37" min="4" max="4"/>
    <col width="9.550000000000001" customWidth="1" style="37" min="5" max="5"/>
    <col width="35.81" customWidth="1" style="37" min="6" max="6"/>
    <col width="50.13" customWidth="1" style="37" min="7" max="7"/>
    <col width="3.58" customWidth="1" style="37" min="8" max="8"/>
    <col width="25.07" customWidth="1" style="37" min="9" max="10"/>
  </cols>
  <sheetData>
    <row r="1" ht="24.75" customHeight="1" s="38">
      <c r="A1" s="39" t="inlineStr">
        <is>
          <t>SHELLSTORM 2 · 敌人美术账本 v0.1</t>
        </is>
      </c>
    </row>
    <row r="2" ht="12" customHeight="1" s="38"/>
    <row r="3" ht="22.5" customHeight="1" s="38">
      <c r="A3" s="40" t="inlineStr">
        <is>
          <t>归属域=敌人｜覆盖大类=敌人｜AssetID 前缀=ENM｜主账本（总目录）=assets/registry/ShellStorm2_美术资产台账_v001.xlsx；本账本可独立并行编辑，跨域契约见主账本</t>
        </is>
      </c>
    </row>
    <row r="4" ht="15" customHeight="1" s="38">
      <c r="A4" s="41" t="n"/>
      <c r="B4" s="41" t="n"/>
      <c r="C4" s="41" t="n"/>
      <c r="D4" s="41" t="n"/>
      <c r="E4" s="41" t="n"/>
      <c r="F4" s="41" t="n"/>
      <c r="G4" s="41" t="n"/>
      <c r="H4" s="41" t="n"/>
      <c r="I4" s="41" t="n"/>
      <c r="J4" s="41" t="n"/>
    </row>
    <row r="5" ht="27.6" customHeight="1" s="38">
      <c r="A5" s="42" t="inlineStr">
        <is>
          <t>资产总数</t>
        </is>
      </c>
      <c r="B5" s="42" t="n"/>
      <c r="C5" s="42" t="inlineStr">
        <is>
          <t>已完成/已接入</t>
        </is>
      </c>
      <c r="D5" s="42" t="n"/>
      <c r="E5" s="42" t="inlineStr">
        <is>
          <t>待制作/程序占位</t>
        </is>
      </c>
      <c r="F5" s="42" t="n"/>
      <c r="G5" s="42" t="inlineStr">
        <is>
          <t>重复警报</t>
        </is>
      </c>
      <c r="H5" s="42" t="n"/>
      <c r="I5" s="42" t="inlineStr">
        <is>
          <t>域内专表 / 3D Prefab 分页</t>
        </is>
      </c>
      <c r="J5" s="42" t="n"/>
    </row>
    <row r="6" ht="42" customHeight="1" s="38">
      <c r="A6" s="43">
        <f>COUNTA('资产主表'!$A$6:$A$53)</f>
        <v/>
      </c>
      <c r="B6" s="41" t="n"/>
      <c r="C6" s="43">
        <f>COUNTIF('资产主表'!$K$6:$K$53,"已完成")+COUNTIF('资产主表'!$K$6:$K$53,"原型已接入")+COUNTIF('资产主表'!$K$6:$K$53,"正式美术已接入")+COUNTIF('资产主表'!$K$6:$K$53,"已优化并正式接入")+COUNTIF('资产主表'!$K$6:$K$53,"Blender源已完成")+COUNTIF('资产主表'!$K$6:$K$53,"已导入；优化完成")+COUNTIF('资产主表'!$K$6:$K$53,"白模源已完成；QA PASS")</f>
        <v/>
      </c>
      <c r="D6" s="41" t="n"/>
      <c r="E6" s="43">
        <f>COUNTIF('资产主表'!$K$6:$K$53,"待制作")+COUNTIF('资产主表'!$K$6:$K$53,"程序占位")</f>
        <v/>
      </c>
      <c r="F6" s="41" t="n"/>
      <c r="G6" s="43">
        <f>COUNTIF('资产主表'!$S$6:$S$53,"重复")</f>
        <v/>
      </c>
      <c r="H6" s="41" t="n"/>
      <c r="I6" s="42" t="inlineStr">
        <is>
          <t>域内专表：敌人动画与状态 / 3D-敌人　|　3D Prefab 分页：3D-敌人</t>
        </is>
      </c>
    </row>
    <row r="7" ht="15" customHeight="1" s="38">
      <c r="A7" s="41" t="n"/>
      <c r="B7" s="41" t="n"/>
      <c r="C7" s="41" t="n"/>
      <c r="D7" s="41" t="n"/>
      <c r="E7" s="41" t="n"/>
      <c r="F7" s="41" t="n"/>
      <c r="G7" s="41" t="n"/>
      <c r="H7" s="41" t="n"/>
      <c r="I7" s="41" t="n"/>
      <c r="J7" s="41" t="n"/>
    </row>
    <row r="8" ht="15" customHeight="1" s="38">
      <c r="A8" s="41" t="n"/>
      <c r="B8" s="41" t="n"/>
      <c r="C8" s="41" t="n"/>
      <c r="D8" s="41" t="n"/>
      <c r="E8" s="41" t="n"/>
      <c r="F8" s="41" t="n"/>
      <c r="G8" s="41" t="n"/>
      <c r="H8" s="41" t="n"/>
      <c r="I8" s="41" t="n"/>
      <c r="J8" s="41" t="n"/>
    </row>
    <row r="9" ht="31.5" customHeight="1" s="38">
      <c r="A9" s="44" t="inlineStr">
        <is>
          <t>大类</t>
        </is>
      </c>
      <c r="B9" s="44" t="inlineStr">
        <is>
          <t>资产数</t>
        </is>
      </c>
      <c r="C9" s="44" t="inlineStr">
        <is>
          <t>完成/接入</t>
        </is>
      </c>
      <c r="D9" s="44" t="n"/>
      <c r="E9" s="45" t="inlineStr">
        <is>
          <t>本账本只登记上列大类；跨域搬运资产须同步主账本《分类与编码》并重跑门禁</t>
        </is>
      </c>
      <c r="F9" s="46" t="n"/>
      <c r="G9" s="46" t="n"/>
      <c r="H9" s="46" t="n"/>
      <c r="I9" s="46" t="n"/>
      <c r="J9" s="47" t="n"/>
    </row>
    <row r="10" ht="21.75" customHeight="1" s="38">
      <c r="A10" s="48" t="inlineStr">
        <is>
          <t>敌人</t>
        </is>
      </c>
      <c r="B10" s="48">
        <f>COUNTIF('资产主表'!$C$6:$C$53,A10)</f>
        <v/>
      </c>
      <c r="C10" s="48">
        <f>SUMPRODUCT(('资产主表'!$C$6:$C$53=A10)*(('资产主表'!$K$6:$K$53="已完成")+('资产主表'!$K$6:$K$53="原型已接入")+('资产主表'!$K$6:$K$53="正式美术已接入")+('资产主表'!$K$6:$K$53="已优化并正式接入")+('资产主表'!$K$6:$K$53="Blender源已完成")+('资产主表'!$K$6:$K$53="已导入；优化完成")+('资产主表'!$K$6:$K$53="白模源已完成；QA PASS")))</f>
        <v/>
      </c>
      <c r="D10" s="48" t="n"/>
      <c r="E10" s="48" t="n"/>
      <c r="F10" s="48" t="n"/>
      <c r="G10" s="48" t="n"/>
      <c r="H10" s="48" t="n"/>
      <c r="I10" s="48" t="n"/>
      <c r="J10" s="48" t="n"/>
    </row>
    <row r="11" ht="15" customHeight="1" s="38">
      <c r="A11" s="44" t="inlineStr">
        <is>
          <t>合计</t>
        </is>
      </c>
      <c r="B11" s="44">
        <f>COUNTIF('资产主表'!$C$6:$C$53,A11)</f>
        <v/>
      </c>
      <c r="C11" s="44">
        <f>SUMPRODUCT(('资产主表'!$C$6:$C$53=A11)*(('资产主表'!$K$6:$K$53="已完成")+('资产主表'!$K$6:$K$53="原型已接入")+('资产主表'!$K$6:$K$53="正式美术已接入")+('资产主表'!$K$6:$K$53="已优化并正式接入")+('资产主表'!$K$6:$K$53="Blender源已完成")+('资产主表'!$K$6:$K$53="已导入；优化完成")+('资产主表'!$K$6:$K$53="白模源已完成；QA PASS")))</f>
        <v/>
      </c>
      <c r="D11" s="44" t="n"/>
      <c r="E11" s="44" t="n"/>
      <c r="F11" s="44" t="n"/>
      <c r="G11" s="44" t="n"/>
      <c r="H11" s="44" t="n"/>
      <c r="I11" s="44" t="n"/>
      <c r="J11" s="44" t="n"/>
    </row>
    <row r="12" ht="15" customHeight="1" s="38">
      <c r="A12" s="49" t="n"/>
      <c r="B12" s="49" t="n"/>
      <c r="C12" s="49" t="n"/>
      <c r="D12" s="41" t="n"/>
      <c r="E12" s="50" t="n"/>
      <c r="F12" s="49" t="n"/>
      <c r="G12" s="49" t="n"/>
      <c r="H12" s="41" t="n"/>
      <c r="I12" s="41" t="n"/>
      <c r="J12" s="41" t="n"/>
    </row>
    <row r="13" ht="15" customHeight="1" s="38">
      <c r="A13" s="51" t="inlineStr">
        <is>
          <t>域内 3D Prefab 分页统计（快照口径与本账本分页一致；权威清单在各分页表）</t>
        </is>
      </c>
      <c r="B13" s="52" t="n"/>
      <c r="C13" s="52" t="n"/>
      <c r="D13" s="52" t="n"/>
      <c r="E13" s="52" t="n"/>
      <c r="F13" s="52" t="n"/>
      <c r="G13" s="52" t="n"/>
      <c r="H13" s="52" t="n"/>
      <c r="I13" s="52" t="n"/>
      <c r="J13" s="53" t="n"/>
    </row>
    <row r="14" ht="39.55" customHeight="1" s="38">
      <c r="A14" s="42" t="inlineStr">
        <is>
          <t>分页</t>
        </is>
      </c>
      <c r="B14" s="54" t="inlineStr">
        <is>
          <t>Prefab 数</t>
        </is>
      </c>
      <c r="C14" s="42" t="inlineStr">
        <is>
          <t>直接引用 GLB</t>
        </is>
      </c>
      <c r="D14" s="42" t="inlineStr">
        <is>
          <t>有功能脚本</t>
        </is>
      </c>
      <c r="E14" s="42" t="inlineStr">
        <is>
          <t>碰撞开启</t>
        </is>
      </c>
      <c r="F14" s="42" t="inlineStr">
        <is>
          <t>说明</t>
        </is>
      </c>
      <c r="G14" s="49" t="n"/>
      <c r="H14" s="41" t="n"/>
      <c r="I14" s="41" t="n"/>
      <c r="J14" s="41" t="n"/>
    </row>
    <row r="15" ht="15" customHeight="1" s="38">
      <c r="A15" s="55" t="inlineStr">
        <is>
          <t>3D-敌人</t>
        </is>
      </c>
      <c r="B15" s="48">
        <f>COUNTA('3D-敌人'!$A$5:$A$204)</f>
        <v/>
      </c>
      <c r="C15" s="48">
        <f>COUNTIF('3D-敌人'!$D$5:$D$204,"&lt;&gt;")</f>
        <v/>
      </c>
      <c r="D15" s="48">
        <f>COUNTIF('3D-敌人'!$G$5:$G$204,"&lt;&gt;")</f>
        <v/>
      </c>
      <c r="E15" s="48">
        <f>COUNTIF('3D-敌人'!$H$5:$H$204,"开")</f>
        <v/>
      </c>
      <c r="F15" s="48" t="inlineStr">
        <is>
          <t>一行 = 一个实际存在的 Godot PackedScene</t>
        </is>
      </c>
      <c r="G15" s="48" t="n"/>
      <c r="H15" s="48" t="n"/>
      <c r="I15" s="48" t="n"/>
      <c r="J15" s="48" t="n"/>
    </row>
    <row r="16" ht="15" customHeight="1" s="38">
      <c r="A16" s="44" t="inlineStr">
        <is>
          <t>合计</t>
        </is>
      </c>
      <c r="B16" s="44">
        <f>SUM(B15)</f>
        <v/>
      </c>
      <c r="C16" s="44">
        <f>SUM(C15)</f>
        <v/>
      </c>
      <c r="D16" s="44">
        <f>SUM(D15)</f>
        <v/>
      </c>
      <c r="E16" s="44">
        <f>SUM(E15)</f>
        <v/>
      </c>
      <c r="F16" s="44" t="n"/>
      <c r="G16" s="44" t="n"/>
      <c r="H16" s="44" t="n"/>
      <c r="I16" s="44" t="n"/>
      <c r="J16" s="44" t="n"/>
    </row>
    <row r="17" ht="15" customHeight="1" s="38">
      <c r="A17" s="49" t="n"/>
      <c r="B17" s="49" t="n"/>
      <c r="C17" s="49" t="n"/>
      <c r="D17" s="41" t="n"/>
      <c r="E17" s="41" t="n"/>
      <c r="F17" s="41" t="n"/>
      <c r="G17" s="41" t="n"/>
      <c r="H17" s="41" t="n"/>
      <c r="I17" s="41" t="n"/>
      <c r="J17" s="41" t="n"/>
    </row>
    <row r="18" ht="15" customHeight="1" s="38">
      <c r="A18" s="49" t="n"/>
      <c r="B18" s="49" t="n"/>
      <c r="C18" s="49" t="n"/>
      <c r="D18" s="41" t="n"/>
      <c r="E18" s="41" t="n"/>
      <c r="F18" s="41" t="n"/>
      <c r="G18" s="41" t="n"/>
      <c r="H18" s="41" t="n"/>
      <c r="I18" s="41" t="n"/>
      <c r="J18" s="41" t="n"/>
    </row>
    <row r="19" ht="15" customHeight="1" s="38">
      <c r="A19" s="41" t="n"/>
      <c r="B19" s="41" t="n"/>
      <c r="C19" s="41" t="n"/>
      <c r="D19" s="41" t="n"/>
      <c r="E19" s="41" t="n"/>
      <c r="F19" s="41" t="n"/>
      <c r="G19" s="41" t="n"/>
      <c r="H19" s="41" t="n"/>
      <c r="I19" s="41" t="n"/>
      <c r="J19" s="41" t="n"/>
    </row>
    <row r="20" ht="15" customHeight="1" s="38">
      <c r="A20" s="41" t="n"/>
      <c r="B20" s="41" t="n"/>
      <c r="C20" s="41" t="n"/>
      <c r="D20" s="41" t="n"/>
      <c r="E20" s="41" t="n"/>
      <c r="F20" s="41" t="n"/>
      <c r="G20" s="41" t="n"/>
      <c r="H20" s="41" t="n"/>
      <c r="I20" s="41" t="n"/>
      <c r="J20" s="41" t="n"/>
    </row>
  </sheetData>
  <mergeCells count="5">
    <mergeCell ref="A1:J2"/>
    <mergeCell ref="I6:J6"/>
    <mergeCell ref="A3:J3"/>
    <mergeCell ref="E9:J9"/>
    <mergeCell ref="A13:J1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6.26" customWidth="1" style="37" min="1" max="1"/>
    <col width="74" customWidth="1" style="37" min="2" max="2"/>
    <col width="40.58" customWidth="1" style="37" min="3" max="3"/>
    <col width="28.65" customWidth="1" style="37" min="4" max="6"/>
  </cols>
  <sheetData>
    <row r="1" ht="15" customHeight="1" s="38">
      <c r="A1" s="56" t="inlineStr">
        <is>
          <t>本账本说明 · 敌人</t>
        </is>
      </c>
    </row>
    <row r="2" ht="15" customHeight="1" s="38"/>
    <row r="3" ht="15" customHeight="1" s="38">
      <c r="A3" s="40" t="inlineStr">
        <is>
          <t>本表是分账本自描述；机器可读真源为 assets/registry/ledger_index.json，二者不一致时以 JSON 为准</t>
        </is>
      </c>
    </row>
    <row r="5" ht="15" customHeight="1" s="38">
      <c r="A5" s="44" t="inlineStr">
        <is>
          <t>项</t>
        </is>
      </c>
      <c r="B5" s="44" t="inlineStr">
        <is>
          <t>值</t>
        </is>
      </c>
      <c r="C5" s="44" t="n"/>
      <c r="D5" s="44" t="n"/>
      <c r="E5" s="44" t="n"/>
      <c r="F5" s="44" t="n"/>
    </row>
    <row r="6" ht="30" customHeight="1" s="38">
      <c r="A6" s="48" t="inlineStr">
        <is>
          <t>账本归属域</t>
        </is>
      </c>
      <c r="B6" s="48" t="inlineStr">
        <is>
          <t>敌人</t>
        </is>
      </c>
      <c r="C6" s="48" t="n"/>
      <c r="D6" s="48" t="n"/>
      <c r="E6" s="48" t="n"/>
      <c r="F6" s="48" t="n"/>
    </row>
    <row r="7" ht="30" customHeight="1" s="38">
      <c r="A7" s="48" t="inlineStr">
        <is>
          <t>分账本文件</t>
        </is>
      </c>
      <c r="B7" s="55" t="inlineStr">
        <is>
          <t>assets/registry/ledgers/ShellStorm2_敌人账本_v001.xlsx</t>
        </is>
      </c>
      <c r="C7" s="48" t="n"/>
      <c r="D7" s="48" t="n"/>
      <c r="E7" s="48" t="n"/>
      <c r="F7" s="48" t="n"/>
    </row>
    <row r="8" ht="30" customHeight="1" s="38">
      <c r="A8" s="48" t="inlineStr">
        <is>
          <t>覆盖大类</t>
        </is>
      </c>
      <c r="B8" s="48" t="inlineStr">
        <is>
          <t>敌人</t>
        </is>
      </c>
      <c r="C8" s="48" t="n"/>
      <c r="D8" s="48" t="n"/>
      <c r="E8" s="48" t="n"/>
      <c r="F8" s="48" t="n"/>
    </row>
    <row r="9" ht="30" customHeight="1" s="38">
      <c r="A9" s="55" t="inlineStr">
        <is>
          <t>AssetID 前缀</t>
        </is>
      </c>
      <c r="B9" s="55" t="inlineStr">
        <is>
          <t>ENM</t>
        </is>
      </c>
      <c r="C9" s="48" t="n"/>
      <c r="D9" s="48" t="n"/>
      <c r="E9" s="48" t="n"/>
      <c r="F9" s="48" t="n"/>
    </row>
    <row r="10" ht="30" customHeight="1" s="38">
      <c r="A10" s="48" t="inlineStr">
        <is>
          <t>域内专表</t>
        </is>
      </c>
      <c r="B10" s="48" t="inlineStr">
        <is>
          <t>敌人动画与状态 / 3D-敌人</t>
        </is>
      </c>
      <c r="C10" s="48" t="n"/>
      <c r="D10" s="48" t="n"/>
      <c r="E10" s="48" t="n"/>
      <c r="F10" s="48" t="n"/>
    </row>
    <row r="11" ht="30" customHeight="1" s="38">
      <c r="A11" s="55" t="inlineStr">
        <is>
          <t>3D Prefab 分页</t>
        </is>
      </c>
      <c r="B11" s="55" t="inlineStr">
        <is>
          <t>3D-敌人</t>
        </is>
      </c>
      <c r="C11" s="48" t="n"/>
      <c r="D11" s="48" t="n"/>
      <c r="E11" s="48" t="n"/>
      <c r="F11" s="48" t="n"/>
    </row>
    <row r="12" ht="30" customHeight="1" s="38">
      <c r="A12" s="48" t="inlineStr">
        <is>
          <t>动画登记表</t>
        </is>
      </c>
      <c r="B12" s="48" t="inlineStr">
        <is>
          <t>敌人动画与状态</t>
        </is>
      </c>
      <c r="C12" s="48" t="n"/>
      <c r="D12" s="48" t="n"/>
      <c r="E12" s="48" t="n"/>
      <c r="F12" s="48" t="n"/>
    </row>
    <row r="13" ht="30" customHeight="1" s="38">
      <c r="A13" s="48" t="inlineStr">
        <is>
          <t>主账本（总目录）</t>
        </is>
      </c>
      <c r="B13" s="55" t="inlineStr">
        <is>
          <t>assets/registry/ShellStorm2_美术资产台账_v001.xlsx</t>
        </is>
      </c>
      <c r="C13" s="48" t="n"/>
      <c r="D13" s="48" t="n"/>
      <c r="E13" s="48" t="n"/>
      <c r="F13" s="48" t="n"/>
    </row>
    <row r="14" ht="30" customHeight="1" s="38">
      <c r="A14" s="48" t="inlineStr">
        <is>
          <t>跨域契约</t>
        </is>
      </c>
      <c r="B14" s="48" t="inlineStr">
        <is>
          <t>分类与编码 / 命名与查重 / 版本记录 / Skill 清单 / 3D Prefab 总控 —— 全部只在主账本维护</t>
        </is>
      </c>
      <c r="C14" s="48" t="n"/>
      <c r="D14" s="48" t="n"/>
      <c r="E14" s="48" t="n"/>
      <c r="F14" s="48" t="n"/>
    </row>
    <row r="15" ht="30" customHeight="1" s="38">
      <c r="A15" s="48" t="inlineStr">
        <is>
          <t>首选制作 Skill</t>
        </is>
      </c>
      <c r="B15" s="55" t="inlineStr">
        <is>
          <t>game-character-model-pipeline</t>
        </is>
      </c>
      <c r="C15" s="48" t="n"/>
      <c r="D15" s="48" t="n"/>
      <c r="E15" s="48" t="n"/>
      <c r="F15" s="48" t="n"/>
    </row>
    <row r="16" ht="30" customHeight="1" s="38">
      <c r="A16" s="48" t="inlineStr">
        <is>
          <t>协作 Skill</t>
        </is>
      </c>
      <c r="B16" s="48" t="inlineStr">
        <is>
          <t>无</t>
        </is>
      </c>
      <c r="C16" s="48" t="n"/>
      <c r="D16" s="48" t="n"/>
      <c r="E16" s="48" t="n"/>
      <c r="F16" s="48" t="n"/>
    </row>
    <row r="17" ht="30" customHeight="1" s="38">
      <c r="A17" s="48" t="inlineStr">
        <is>
          <t>负责人</t>
        </is>
      </c>
      <c r="B17" s="48" t="inlineStr">
        <is>
          <t>待分配</t>
        </is>
      </c>
      <c r="C17" s="48" t="n"/>
      <c r="D17" s="48" t="n"/>
      <c r="E17" s="48" t="n"/>
      <c r="F17" s="48" t="n"/>
    </row>
    <row r="18" ht="30" customHeight="1" s="38">
      <c r="A18" s="48" t="inlineStr">
        <is>
          <t>登记范围</t>
        </is>
      </c>
      <c r="B18" s="48" t="inlineStr">
        <is>
          <t>普通怪七类原型、12只精英与Boss的独立表现包、共用生态根、远征03《挺进地牢》第一层 33 种复刻怪（表现占位：借既有模型或程序壳，无自有 PackedScene），以及怪物动作/状态清单。动画随怪物同账本。</t>
        </is>
      </c>
      <c r="C18" s="48" t="n"/>
      <c r="D18" s="48" t="n"/>
      <c r="E18" s="48" t="n"/>
      <c r="F18" s="48" t="n"/>
    </row>
    <row r="19" ht="30" customHeight="1" s="38">
      <c r="A19" s="48" t="inlineStr">
        <is>
          <t>编辑边界</t>
        </is>
      </c>
      <c r="B19" s="48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48" t="n"/>
      <c r="D19" s="48" t="n"/>
      <c r="E19" s="48" t="n"/>
      <c r="F19" s="48" t="n"/>
    </row>
    <row r="20" ht="30" customHeight="1" s="38">
      <c r="A20" s="48" t="inlineStr">
        <is>
          <t>登记口径</t>
        </is>
      </c>
      <c r="B20" s="48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48" t="n"/>
      <c r="D20" s="48" t="n"/>
      <c r="E20" s="48" t="n"/>
      <c r="F20" s="48" t="n"/>
    </row>
    <row r="21" ht="30" customHeight="1" s="38">
      <c r="A21" s="48" t="inlineStr">
        <is>
          <t>门禁</t>
        </is>
      </c>
      <c r="B21" s="55" t="inlineStr">
        <is>
          <t>python3 scripts/check_asset_registry.py --scope structure（需 venv python + openpyxl，且在 /tmp 下跑）</t>
        </is>
      </c>
      <c r="C21" s="48" t="n"/>
      <c r="D21" s="48" t="n"/>
      <c r="E21" s="48" t="n"/>
      <c r="F21" s="48" t="n"/>
    </row>
    <row r="22" ht="30" customHeight="1" s="38">
      <c r="A22" s="48" t="inlineStr">
        <is>
          <t>无损基线</t>
        </is>
      </c>
      <c r="B22" s="55" t="inlineStr">
        <is>
          <t>assets/registry/ledger_split_baseline.json；python3 tools/asset_pipeline/verify_ledger_split.py 断言并集与拆分前逐格一致</t>
        </is>
      </c>
      <c r="C22" s="48" t="n"/>
      <c r="D22" s="48" t="n"/>
      <c r="E22" s="48" t="n"/>
      <c r="F22" s="48" t="n"/>
    </row>
    <row r="23" ht="30" customHeight="1" s="38">
      <c r="A23" s="48" t="inlineStr">
        <is>
          <t>快照日期</t>
        </is>
      </c>
      <c r="B23" s="55" t="inlineStr">
        <is>
          <t>2026-10-29</t>
        </is>
      </c>
      <c r="C23" s="48" t="n"/>
      <c r="D23" s="48" t="n"/>
      <c r="E23" s="48" t="n"/>
      <c r="F23" s="48" t="n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5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9.84" customWidth="1" style="37" min="1" max="1"/>
    <col width="21.48" customWidth="1" style="37" min="2" max="2"/>
    <col width="11.94" customWidth="1" style="37" min="3" max="3"/>
    <col width="21.48" customWidth="1" style="37" min="4" max="4"/>
    <col width="26.26" customWidth="1" style="37" min="5" max="5"/>
    <col width="14.33" customWidth="1" style="37" min="6" max="6"/>
    <col width="29.84" customWidth="1" style="37" min="7" max="7"/>
    <col width="22.68" customWidth="1" style="37" min="8" max="8"/>
    <col width="17.9" customWidth="1" style="37" min="9" max="9"/>
    <col width="21.48" customWidth="1" style="37" min="10" max="10"/>
    <col width="14.33" customWidth="1" style="37" min="11" max="11"/>
    <col width="9.550000000000001" customWidth="1" style="37" min="12" max="12"/>
    <col width="10.74" customWidth="1" style="37" min="13" max="13"/>
    <col width="19.1" customWidth="1" style="37" min="14" max="14"/>
    <col width="42.97" customWidth="1" style="37" min="15" max="15"/>
    <col width="40.58" customWidth="1" style="37" min="16" max="16"/>
    <col width="31.03" customWidth="1" style="37" min="17" max="17"/>
    <col width="50.13" customWidth="1" style="37" min="18" max="18"/>
    <col width="14.33" customWidth="1" style="37" min="19" max="19"/>
    <col width="35.81" customWidth="1" style="37" min="20" max="20"/>
    <col width="14.33" customWidth="1" style="37" min="21" max="21"/>
    <col width="15.51" customWidth="1" style="37" min="22" max="22"/>
    <col width="19.1" customWidth="1" style="37" min="23" max="23"/>
    <col width="62.06" customWidth="1" style="37" min="24" max="24"/>
  </cols>
  <sheetData>
    <row r="1" ht="24.75" customHeight="1" s="38">
      <c r="A1" s="56" t="inlineStr">
        <is>
          <t>资产主表 · 唯一登记源</t>
        </is>
      </c>
    </row>
    <row r="2" ht="12" customHeight="1" s="38"/>
    <row r="3" ht="22.5" customHeight="1" s="38">
      <c r="A3" s="40" t="inlineStr">
        <is>
          <t>查重键由公式生成；S 列出现“重复”时禁止制作，先合并或建立变体父子关系</t>
        </is>
      </c>
    </row>
    <row r="4" ht="15" customHeight="1" s="38">
      <c r="A4" s="41" t="n"/>
      <c r="B4" s="41" t="n"/>
      <c r="C4" s="41" t="n"/>
      <c r="D4" s="41" t="n"/>
      <c r="E4" s="41" t="n"/>
      <c r="F4" s="41" t="n"/>
      <c r="G4" s="41" t="n"/>
      <c r="H4" s="41" t="n"/>
      <c r="I4" s="41" t="n"/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Y4" s="41" t="n"/>
    </row>
    <row r="5" ht="31.5" customHeight="1" s="38">
      <c r="A5" s="57" t="inlineStr">
        <is>
          <t>AssetID</t>
        </is>
      </c>
      <c r="B5" s="58" t="inlineStr">
        <is>
          <t>中文名</t>
        </is>
      </c>
      <c r="C5" s="58" t="inlineStr">
        <is>
          <t>大类</t>
        </is>
      </c>
      <c r="D5" s="58" t="inlineStr">
        <is>
          <t>子类</t>
        </is>
      </c>
      <c r="E5" s="58" t="inlineStr">
        <is>
          <t>逻辑ID/源键</t>
        </is>
      </c>
      <c r="F5" s="58" t="inlineStr">
        <is>
          <t>组件槽</t>
        </is>
      </c>
      <c r="G5" s="58" t="inlineStr">
        <is>
          <t>变体父ID</t>
        </is>
      </c>
      <c r="H5" s="58" t="inlineStr">
        <is>
          <t>视角</t>
        </is>
      </c>
      <c r="I5" s="58" t="inlineStr">
        <is>
          <t>状态/动画</t>
        </is>
      </c>
      <c r="J5" s="58" t="inlineStr">
        <is>
          <t>复用范围</t>
        </is>
      </c>
      <c r="K5" s="58" t="inlineStr">
        <is>
          <t>制作状态</t>
        </is>
      </c>
      <c r="L5" s="58" t="inlineStr">
        <is>
          <t>优先级</t>
        </is>
      </c>
      <c r="M5" s="58" t="inlineStr">
        <is>
          <t>版本</t>
        </is>
      </c>
      <c r="N5" s="58" t="inlineStr">
        <is>
          <t>规格(px)</t>
        </is>
      </c>
      <c r="O5" s="58" t="inlineStr">
        <is>
          <t>文件路径</t>
        </is>
      </c>
      <c r="P5" s="58" t="inlineStr">
        <is>
          <t>源码/策划依据</t>
        </is>
      </c>
      <c r="Q5" s="58" t="inlineStr">
        <is>
          <t>关键词/别名</t>
        </is>
      </c>
      <c r="R5" s="58" t="inlineStr">
        <is>
          <t>查重键</t>
        </is>
      </c>
      <c r="S5" s="58" t="inlineStr">
        <is>
          <t>查重结果</t>
        </is>
      </c>
      <c r="T5" s="59" t="inlineStr">
        <is>
          <t>SHA-256</t>
        </is>
      </c>
      <c r="U5" s="58" t="inlineStr">
        <is>
          <t>负责人</t>
        </is>
      </c>
      <c r="V5" s="58" t="inlineStr">
        <is>
          <t>更新时间</t>
        </is>
      </c>
      <c r="W5" s="58" t="inlineStr">
        <is>
          <t>来源/许可</t>
        </is>
      </c>
      <c r="X5" s="60" t="inlineStr">
        <is>
          <t>源编号（Blender collection）</t>
        </is>
      </c>
      <c r="Y5" s="61" t="inlineStr">
        <is>
          <t>备注</t>
        </is>
      </c>
    </row>
    <row r="6" ht="516.4" customHeight="1" s="38">
      <c r="A6" s="62" t="inlineStr">
        <is>
          <t>ENM-MELEE-FUNGBOAR01</t>
        </is>
      </c>
      <c r="B6" s="49" t="inlineStr">
        <is>
          <t>小僵尸</t>
        </is>
      </c>
      <c r="C6" s="49" t="inlineStr">
        <is>
          <t>敌人</t>
        </is>
      </c>
      <c r="D6" s="62" t="inlineStr">
        <is>
          <t>normal_melee</t>
        </is>
      </c>
      <c r="E6" s="62" t="inlineStr">
        <is>
          <t>melee_chaser</t>
        </is>
      </c>
      <c r="F6" s="62" t="inlineStr">
        <is>
          <t>root_3d</t>
        </is>
      </c>
      <c r="G6" s="62" t="inlineStr">
        <is>
          <t>ENM-ECOSYSTEM-KIT-3D</t>
        </is>
      </c>
      <c r="H6" s="62" t="inlineStr">
        <is>
          <t>Top3D / local -Z 正面</t>
        </is>
      </c>
      <c r="I6" s="62" t="inlineStr">
        <is>
          <t>default / chase</t>
        </is>
      </c>
      <c r="J6" s="49" t="inlineStr">
        <is>
          <t>全部战斗关卡普通怪池</t>
        </is>
      </c>
      <c r="K6" s="49" t="inlineStr">
        <is>
          <t>已完成</t>
        </is>
      </c>
      <c r="L6" s="62" t="inlineStr">
        <is>
          <t>P0</t>
        </is>
      </c>
      <c r="M6" s="62" t="inlineStr">
        <is>
          <t>v004</t>
        </is>
      </c>
      <c r="N6" s="62" t="inlineStr">
        <is>
          <t>游戏高1.3m；源高1.857143m；1790三角/897顶点；20骨；512贴图；6剪辑</t>
        </is>
      </c>
      <c r="O6" s="62" t="inlineStr">
        <is>
          <t>assets/art/enemies/normal_enemy_3d/melee_chaser/runtime/enm_melee_fungboar01_root_top3d.tscn</t>
        </is>
      </c>
      <c r="P6" s="62" t="inlineStr">
        <is>
          <t>art_source/enemies/normal_enemy_3d/melee_chaser/source/model/enm_melee_fungboar01_model_v003.blend; art_source/enemies/normal_enemy_3d/melee_chaser/source/animation/enm_melee_fungboar01_animation_v004.blend</t>
        </is>
      </c>
      <c r="Q6" s="49" t="inlineStr">
        <is>
          <t>近战追击; chaser; 小僵尸; 小菌猪（旧登记名）; 普通怪标准样板; ENM-MELEE-FUNGBOAR01</t>
        </is>
      </c>
      <c r="R6" s="49">
        <f>LOWER(TRIM(C6)&amp;"|"&amp;TRIM(D6)&amp;"|"&amp;TRIM(E6)&amp;"|"&amp;TRIM(F6)&amp;"|"&amp;TRIM(H6)&amp;"|"&amp;TRIM(I6))</f>
        <v/>
      </c>
      <c r="S6" s="49">
        <f>IF(COUNTIF($R$6:$R$53,R6)&gt;1,"重复","唯一")</f>
        <v/>
      </c>
      <c r="T6" s="62" t="inlineStr">
        <is>
          <t>6b88f60e398a204cc3d31719550138c7dad8866d0477fa41094ecb0c228b07c0</t>
        </is>
      </c>
      <c r="U6" s="62" t="inlineStr">
        <is>
          <t>Codex</t>
        </is>
      </c>
      <c r="V6" s="63" t="n">
        <v>46304</v>
      </c>
      <c r="W6" s="62" t="inlineStr">
        <is>
          <t>AI 生成（Tripo）+ Blender 重制</t>
        </is>
      </c>
      <c r="X6" s="64" t="inlineStr">
        <is>
          <t>—</t>
        </is>
      </c>
      <c r="Y6" s="62" t="inlineStr">
        <is>
          <t>GLB 仅表现；runtime PackedScene 无碰撞，Enemy3D 继续持有 CylinderShape3D、AI、生命、伤害与掉落。EnemyAvatar3D 以 FORMAL_MELEE_KIND 常量分支自动挂载，普通怪没有 configure_*_content() 函数。
2026-09-20 首个标准普通怪转正：Tripo 源 → Blender 重制（模型 v002 / 动作 v003），六段剪辑按 12 态采样，verify_melee_zombie_presentation 通过。
显示名迁移：小菌猪 → 小僵尸（Enemy3D.configure_from_enemy_data 精确迁移旧存档尾名）；AssetID 与逻辑 ID 不变。
未闭合：碰撞 FOOTPRINT_PROFILES(radius 1.02/height 1.30) 仍为旧程序网格口径，按新几何应为 0.641/1.857，属玩法数值待拍板；贴图仅 basecolor，无法线贴图。
2026-10-09 v004减面与减骨：4552→1790三角，897顶点；36→20骨，移除16根手指骨，每手仅一根手骨；自然弯曲形状固定，手指权重合并至手骨并重新归一。512贴图/六段身体动作/12态/碰撞/受击闪色/2.4秒死亡保留。源重开、半帧蒙皮检查、运行专项及死亡视野真实渲染通过。</t>
        </is>
      </c>
    </row>
    <row r="7" ht="132.8" customHeight="1" s="38">
      <c r="A7" s="62" t="inlineStr">
        <is>
          <t>ENM-RANGED-SPORESHOOTER01</t>
        </is>
      </c>
      <c r="B7" s="49" t="inlineStr">
        <is>
          <t>保安僵尸</t>
        </is>
      </c>
      <c r="C7" s="49" t="inlineStr">
        <is>
          <t>敌人</t>
        </is>
      </c>
      <c r="D7" s="62" t="inlineStr">
        <is>
          <t>normal_ranged</t>
        </is>
      </c>
      <c r="E7" s="62" t="inlineStr">
        <is>
          <t>ranged_caster</t>
        </is>
      </c>
      <c r="F7" s="62" t="inlineStr">
        <is>
          <t>root_3d</t>
        </is>
      </c>
      <c r="G7" s="62" t="inlineStr">
        <is>
          <t>ENM-ECOSYSTEM-KIT-3D</t>
        </is>
      </c>
      <c r="H7" s="62" t="inlineStr">
        <is>
          <t>Top3D / local -Z 正面</t>
        </is>
      </c>
      <c r="I7" s="62" t="inlineStr">
        <is>
          <t>default / chase / shoot</t>
        </is>
      </c>
      <c r="J7" s="49" t="inlineStr">
        <is>
          <t>全部战斗关卡远程怪池</t>
        </is>
      </c>
      <c r="K7" s="49" t="inlineStr">
        <is>
          <t>已完成</t>
        </is>
      </c>
      <c r="L7" s="62" t="inlineStr">
        <is>
          <t>P0</t>
        </is>
      </c>
      <c r="M7" s="62" t="inlineStr">
        <is>
          <t>v002</t>
        </is>
      </c>
      <c r="N7" s="62" t="inlineStr">
        <is>
          <t>1.2819×0.9535×1.8571m；1 Mesh；1 材质；36 骨；10 剪辑</t>
        </is>
      </c>
      <c r="O7" s="62" t="inlineStr">
        <is>
          <t>assets/art/enemies/normal_enemy_3d/ranged_caster/runtime/enm_ranged_sporeshooter01_root_top3d.tscn</t>
        </is>
      </c>
      <c r="P7" s="62" t="inlineStr">
        <is>
          <t>../ShellStorm2-backup/2026-10-11_slimming/original_tree/art_source/enemies/normal_enemy_3d/ranged_caster/source/model/enm_ranged_sporeshooter01_model_v001.blend; ../ShellStorm2-backup/2026-10-11_slimming/original_tree/art_source/enemies/normal_enemy_3d/ranged_caster/source/animation/enm_ranged_sporeshooter01_animation_v002.blend</t>
        </is>
      </c>
      <c r="Q7" s="49" t="inlineStr">
        <is>
          <t>远程射击; ranged; 保安僵尸; 孢子射手（旧程序名）; 单手持枪; ENM-RANGED-SPORESHOOTER01</t>
        </is>
      </c>
      <c r="R7" s="49">
        <f>LOWER(TRIM(C7)&amp;"|"&amp;TRIM(D7)&amp;"|"&amp;TRIM(E7)&amp;"|"&amp;TRIM(F7)&amp;"|"&amp;TRIM(H7)&amp;"|"&amp;TRIM(I7))</f>
        <v/>
      </c>
      <c r="S7" s="49">
        <f>IF(COUNTIF($R$6:$R$53,R7)&gt;1,"重复","唯一")</f>
        <v/>
      </c>
      <c r="T7" s="62" t="inlineStr">
        <is>
          <t>09eca9c05e4c83e2994f0e2a888cf1f685e511f882b6005f8a3d282bdeb7365b</t>
        </is>
      </c>
      <c r="U7" s="62" t="inlineStr">
        <is>
          <t>Codex</t>
        </is>
      </c>
      <c r="V7" s="63" t="n">
        <v>46286</v>
      </c>
      <c r="W7" s="49" t="inlineStr">
        <is>
          <t>桌面 FBX + Blender 共享小僵尸骨架重制</t>
        </is>
      </c>
      <c r="X7" s="64" t="inlineStr">
        <is>
          <t>—</t>
        </is>
      </c>
      <c r="Y7" s="62" t="inlineStr">
        <is>
          <t>GLB 仅表现；runtime PackedScene 无碰撞；Enemy3D 继续持有 ranged_caster 的 AI、三弹散布、生命、伤害与掉落。枪为双管炮视觉附件，挂 L_Hand，不接玩家武器逻辑。</t>
        </is>
      </c>
    </row>
    <row r="8" ht="20.85" customHeight="1" s="38">
      <c r="A8" s="62" t="inlineStr">
        <is>
          <t>ENM-SUMMON-HIVE01</t>
        </is>
      </c>
      <c r="B8" s="49" t="inlineStr">
        <is>
          <t>蜂巢怪</t>
        </is>
      </c>
      <c r="C8" s="49" t="inlineStr">
        <is>
          <t>敌人</t>
        </is>
      </c>
      <c r="D8" s="62" t="inlineStr">
        <is>
          <t>normal_summoner</t>
        </is>
      </c>
      <c r="E8" s="62" t="inlineStr">
        <is>
          <t>summoner</t>
        </is>
      </c>
      <c r="F8" s="62" t="inlineStr">
        <is>
          <t>root</t>
        </is>
      </c>
      <c r="G8" s="49" t="n"/>
      <c r="H8" s="49" t="inlineStr">
        <is>
          <t>侧面朝右（可水平翻转）</t>
        </is>
      </c>
      <c r="I8" s="62" t="inlineStr">
        <is>
          <t>default</t>
        </is>
      </c>
      <c r="J8" s="49" t="inlineStr">
        <is>
          <t>单资产</t>
        </is>
      </c>
      <c r="K8" s="49" t="inlineStr">
        <is>
          <t>程序占位</t>
        </is>
      </c>
      <c r="L8" s="62" t="inlineStr">
        <is>
          <t>P0</t>
        </is>
      </c>
      <c r="M8" s="62" t="inlineStr">
        <is>
          <t>v001</t>
        </is>
      </c>
      <c r="N8" s="49" t="inlineStr">
        <is>
          <t>待定</t>
        </is>
      </c>
      <c r="O8" s="49" t="n"/>
      <c r="P8" s="62" t="inlineStr">
        <is>
          <t>src/enemy/EnemyTypes.gd</t>
        </is>
      </c>
      <c r="Q8" s="49" t="inlineStr">
        <is>
          <t>召唤型; hive</t>
        </is>
      </c>
      <c r="R8" s="49">
        <f>LOWER(TRIM(C8)&amp;"|"&amp;TRIM(D8)&amp;"|"&amp;TRIM(E8)&amp;"|"&amp;TRIM(F8)&amp;"|"&amp;TRIM(H8)&amp;"|"&amp;TRIM(I8))</f>
        <v/>
      </c>
      <c r="S8" s="49">
        <f>IF(COUNTIF($R$6:$R$53,R8)&gt;1,"重复","唯一")</f>
        <v/>
      </c>
      <c r="T8" s="49" t="n"/>
      <c r="U8" s="49" t="inlineStr">
        <is>
          <t>待分配</t>
        </is>
      </c>
      <c r="V8" s="63" t="n">
        <v>46224</v>
      </c>
      <c r="W8" s="49" t="inlineStr">
        <is>
          <t>原创/待确认</t>
        </is>
      </c>
      <c r="X8" s="64" t="inlineStr">
        <is>
          <t>—</t>
        </is>
      </c>
      <c r="Y8" s="49" t="n"/>
    </row>
    <row r="9" ht="15" customHeight="1" s="38">
      <c r="A9" s="62" t="inlineStr">
        <is>
          <t>ENM-TANK-SHELLGUARD01</t>
        </is>
      </c>
      <c r="B9" s="49" t="inlineStr">
        <is>
          <t>壳甲卫兵</t>
        </is>
      </c>
      <c r="C9" s="49" t="inlineStr">
        <is>
          <t>敌人</t>
        </is>
      </c>
      <c r="D9" s="62" t="inlineStr">
        <is>
          <t>normal_tank</t>
        </is>
      </c>
      <c r="E9" s="62" t="inlineStr">
        <is>
          <t>shielded</t>
        </is>
      </c>
      <c r="F9" s="62" t="inlineStr">
        <is>
          <t>root</t>
        </is>
      </c>
      <c r="G9" s="49" t="n"/>
      <c r="H9" s="49" t="inlineStr">
        <is>
          <t>侧面朝右（可水平翻转）</t>
        </is>
      </c>
      <c r="I9" s="62" t="inlineStr">
        <is>
          <t>default</t>
        </is>
      </c>
      <c r="J9" s="49" t="inlineStr">
        <is>
          <t>单资产</t>
        </is>
      </c>
      <c r="K9" s="49" t="inlineStr">
        <is>
          <t>弃用</t>
        </is>
      </c>
      <c r="L9" s="62" t="inlineStr">
        <is>
          <t>P0</t>
        </is>
      </c>
      <c r="M9" s="62" t="inlineStr">
        <is>
          <t>v001</t>
        </is>
      </c>
      <c r="N9" s="49" t="inlineStr">
        <is>
          <t>待定</t>
        </is>
      </c>
      <c r="O9" s="49" t="n"/>
      <c r="P9" s="62" t="inlineStr">
        <is>
          <t>src/enemy/EnemyTypes.gd</t>
        </is>
      </c>
      <c r="Q9" s="49" t="inlineStr">
        <is>
          <t>护盾型; tank</t>
        </is>
      </c>
      <c r="R9" s="49">
        <f>LOWER(TRIM(C9)&amp;"|"&amp;TRIM(D9)&amp;"|"&amp;TRIM(E9)&amp;"|"&amp;TRIM(F9)&amp;"|"&amp;TRIM(H9)&amp;"|"&amp;TRIM(I9))</f>
        <v/>
      </c>
      <c r="S9" s="49">
        <f>IF(COUNTIF($R$6:$R$53,R9)&gt;1,"重复","唯一")</f>
        <v/>
      </c>
      <c r="T9" s="49" t="n"/>
      <c r="U9" s="49" t="inlineStr">
        <is>
          <t>待分配</t>
        </is>
      </c>
      <c r="V9" s="63" t="n">
        <v>46298</v>
      </c>
      <c r="W9" s="49" t="inlineStr">
        <is>
          <t>原创/待确认</t>
        </is>
      </c>
      <c r="X9" s="64" t="inlineStr">
        <is>
          <t>—</t>
        </is>
      </c>
      <c r="Y9" s="49" t="inlineStr">
        <is>
          <t>2026-10-03用户要求退役；现行盒/随机池/主题池由ENM-NORMAL-FAT-ZOMBIE03接替。旧ID、源与存档兼容保留；不再新投放。</t>
        </is>
      </c>
    </row>
    <row r="10" ht="15" customHeight="1" s="38">
      <c r="A10" s="62" t="inlineStr">
        <is>
          <t>ENM-BOMBER-FRUIT01</t>
        </is>
      </c>
      <c r="B10" s="49" t="inlineStr">
        <is>
          <t>炸弹果</t>
        </is>
      </c>
      <c r="C10" s="49" t="inlineStr">
        <is>
          <t>敌人</t>
        </is>
      </c>
      <c r="D10" s="62" t="inlineStr">
        <is>
          <t>normal_bomber</t>
        </is>
      </c>
      <c r="E10" s="62" t="inlineStr">
        <is>
          <t>exploder</t>
        </is>
      </c>
      <c r="F10" s="62" t="inlineStr">
        <is>
          <t>root</t>
        </is>
      </c>
      <c r="G10" s="49" t="n"/>
      <c r="H10" s="49" t="inlineStr">
        <is>
          <t>侧面朝右（可水平翻转）</t>
        </is>
      </c>
      <c r="I10" s="62" t="inlineStr">
        <is>
          <t>default</t>
        </is>
      </c>
      <c r="J10" s="49" t="inlineStr">
        <is>
          <t>单资产</t>
        </is>
      </c>
      <c r="K10" s="49" t="inlineStr">
        <is>
          <t>程序占位</t>
        </is>
      </c>
      <c r="L10" s="62" t="inlineStr">
        <is>
          <t>P0</t>
        </is>
      </c>
      <c r="M10" s="62" t="inlineStr">
        <is>
          <t>v001</t>
        </is>
      </c>
      <c r="N10" s="49" t="inlineStr">
        <is>
          <t>待定</t>
        </is>
      </c>
      <c r="O10" s="49" t="n"/>
      <c r="P10" s="62" t="inlineStr">
        <is>
          <t>src/enemy/EnemyTypes.gd</t>
        </is>
      </c>
      <c r="Q10" s="49" t="inlineStr">
        <is>
          <t>膨胀鼠; 自爆型; bomber</t>
        </is>
      </c>
      <c r="R10" s="49">
        <f>LOWER(TRIM(C10)&amp;"|"&amp;TRIM(D10)&amp;"|"&amp;TRIM(E10)&amp;"|"&amp;TRIM(F10)&amp;"|"&amp;TRIM(H10)&amp;"|"&amp;TRIM(I10))</f>
        <v/>
      </c>
      <c r="S10" s="49">
        <f>IF(COUNTIF($R$6:$R$53,R10)&gt;1,"重复","唯一")</f>
        <v/>
      </c>
      <c r="T10" s="49" t="n"/>
      <c r="U10" s="49" t="inlineStr">
        <is>
          <t>待分配</t>
        </is>
      </c>
      <c r="V10" s="63" t="n">
        <v>46224</v>
      </c>
      <c r="W10" s="49" t="inlineStr">
        <is>
          <t>原创/待确认</t>
        </is>
      </c>
      <c r="X10" s="64" t="inlineStr">
        <is>
          <t>—</t>
        </is>
      </c>
      <c r="Y10" s="49" t="n"/>
    </row>
    <row r="11" ht="20.85" customHeight="1" s="38">
      <c r="A11" s="62" t="inlineStr">
        <is>
          <t>ENM-TRAP-SPIKEWORM01</t>
        </is>
      </c>
      <c r="B11" s="49" t="inlineStr">
        <is>
          <t>地刺虫</t>
        </is>
      </c>
      <c r="C11" s="49" t="inlineStr">
        <is>
          <t>敌人</t>
        </is>
      </c>
      <c r="D11" s="62" t="inlineStr">
        <is>
          <t>normal_ambusher</t>
        </is>
      </c>
      <c r="E11" s="62" t="inlineStr">
        <is>
          <t>ambusher</t>
        </is>
      </c>
      <c r="F11" s="62" t="inlineStr">
        <is>
          <t>root</t>
        </is>
      </c>
      <c r="G11" s="49" t="n"/>
      <c r="H11" s="49" t="inlineStr">
        <is>
          <t>侧面朝右（可水平翻转）</t>
        </is>
      </c>
      <c r="I11" s="62" t="inlineStr">
        <is>
          <t>default</t>
        </is>
      </c>
      <c r="J11" s="49" t="inlineStr">
        <is>
          <t>单资产</t>
        </is>
      </c>
      <c r="K11" s="49" t="inlineStr">
        <is>
          <t>程序占位</t>
        </is>
      </c>
      <c r="L11" s="62" t="inlineStr">
        <is>
          <t>P0</t>
        </is>
      </c>
      <c r="M11" s="62" t="inlineStr">
        <is>
          <t>v001</t>
        </is>
      </c>
      <c r="N11" s="49" t="inlineStr">
        <is>
          <t>待定</t>
        </is>
      </c>
      <c r="O11" s="49" t="n"/>
      <c r="P11" s="62" t="inlineStr">
        <is>
          <t>src/enemy/EnemyTypes.gd</t>
        </is>
      </c>
      <c r="Q11" s="49" t="inlineStr">
        <is>
          <t>潜伏型; trapper</t>
        </is>
      </c>
      <c r="R11" s="49">
        <f>LOWER(TRIM(C11)&amp;"|"&amp;TRIM(D11)&amp;"|"&amp;TRIM(E11)&amp;"|"&amp;TRIM(F11)&amp;"|"&amp;TRIM(H11)&amp;"|"&amp;TRIM(I11))</f>
        <v/>
      </c>
      <c r="S11" s="49">
        <f>IF(COUNTIF($R$6:$R$53,R11)&gt;1,"重复","唯一")</f>
        <v/>
      </c>
      <c r="T11" s="49" t="n"/>
      <c r="U11" s="49" t="inlineStr">
        <is>
          <t>待分配</t>
        </is>
      </c>
      <c r="V11" s="63" t="n">
        <v>46224</v>
      </c>
      <c r="W11" s="49" t="inlineStr">
        <is>
          <t>原创/待确认</t>
        </is>
      </c>
      <c r="X11" s="64" t="inlineStr">
        <is>
          <t>—</t>
        </is>
      </c>
      <c r="Y11" s="49" t="n"/>
    </row>
    <row r="12" ht="32.8" customHeight="1" s="38">
      <c r="A12" s="62" t="inlineStr">
        <is>
          <t>ENM-BOSS-ABYSS01</t>
        </is>
      </c>
      <c r="B12" s="49" t="inlineStr">
        <is>
          <t>深渊 Boss</t>
        </is>
      </c>
      <c r="C12" s="49" t="inlineStr">
        <is>
          <t>敌人</t>
        </is>
      </c>
      <c r="D12" s="62" t="inlineStr">
        <is>
          <t>boss</t>
        </is>
      </c>
      <c r="E12" s="62" t="inlineStr">
        <is>
          <t>boss</t>
        </is>
      </c>
      <c r="F12" s="62" t="inlineStr">
        <is>
          <t>root</t>
        </is>
      </c>
      <c r="G12" s="49" t="n"/>
      <c r="H12" s="49" t="inlineStr">
        <is>
          <t>侧面朝右（可水平翻转）</t>
        </is>
      </c>
      <c r="I12" s="62" t="inlineStr">
        <is>
          <t>default</t>
        </is>
      </c>
      <c r="J12" s="49" t="inlineStr">
        <is>
          <t>单资产</t>
        </is>
      </c>
      <c r="K12" s="49" t="inlineStr">
        <is>
          <t>程序占位</t>
        </is>
      </c>
      <c r="L12" s="62" t="inlineStr">
        <is>
          <t>P1</t>
        </is>
      </c>
      <c r="M12" s="62" t="inlineStr">
        <is>
          <t>v001</t>
        </is>
      </c>
      <c r="N12" s="49" t="inlineStr">
        <is>
          <t>待定</t>
        </is>
      </c>
      <c r="O12" s="49" t="n"/>
      <c r="P12" s="62" t="inlineStr">
        <is>
          <t>src/enemy/BossAvatarRenderer.gd</t>
        </is>
      </c>
      <c r="Q12" s="62" t="inlineStr">
        <is>
          <t>BossActor; 三阶段</t>
        </is>
      </c>
      <c r="R12" s="49">
        <f>LOWER(TRIM(C12)&amp;"|"&amp;TRIM(D12)&amp;"|"&amp;TRIM(E12)&amp;"|"&amp;TRIM(F12)&amp;"|"&amp;TRIM(H12)&amp;"|"&amp;TRIM(I12))</f>
        <v/>
      </c>
      <c r="S12" s="49">
        <f>IF(COUNTIF($R$6:$R$53,R12)&gt;1,"重复","唯一")</f>
        <v/>
      </c>
      <c r="T12" s="49" t="n"/>
      <c r="U12" s="49" t="inlineStr">
        <is>
          <t>待分配</t>
        </is>
      </c>
      <c r="V12" s="63" t="n">
        <v>46224</v>
      </c>
      <c r="W12" s="49" t="inlineStr">
        <is>
          <t>原创/待确认</t>
        </is>
      </c>
      <c r="X12" s="64" t="inlineStr">
        <is>
          <t>—</t>
        </is>
      </c>
      <c r="Y12" s="49" t="inlineStr">
        <is>
          <t>三阶段由同一主体加部件/发光变化，不重复做整套</t>
        </is>
      </c>
    </row>
    <row r="13" ht="115.65" customHeight="1" s="38">
      <c r="A13" s="65" t="inlineStr">
        <is>
          <t>ENM-ECOSYSTEM-KIT-3D</t>
        </is>
      </c>
      <c r="B13" s="41" t="inlineStr">
        <is>
          <t>七类怪物3D生态套件</t>
        </is>
      </c>
      <c r="C13" s="41" t="inlineStr">
        <is>
          <t>敌人</t>
        </is>
      </c>
      <c r="D13" s="65" t="inlineStr">
        <is>
          <t>normal_elite_boss</t>
        </is>
      </c>
      <c r="E13" s="65" t="inlineStr">
        <is>
          <t>enemy_ecosystem</t>
        </is>
      </c>
      <c r="F13" s="65" t="inlineStr">
        <is>
          <t>root_3d</t>
        </is>
      </c>
      <c r="G13" s="65" t="n"/>
      <c r="H13" s="41" t="inlineStr">
        <is>
          <t>俯视3D</t>
        </is>
      </c>
      <c r="I13" s="65" t="inlineStr">
        <is>
          <t>default</t>
        </is>
      </c>
      <c r="J13" s="41" t="inlineStr">
        <is>
          <t>四主题战斗房</t>
        </is>
      </c>
      <c r="K13" s="41" t="inlineStr">
        <is>
          <t>原型已接入</t>
        </is>
      </c>
      <c r="L13" s="65" t="inlineStr">
        <is>
          <t>P0</t>
        </is>
      </c>
      <c r="M13" s="65" t="inlineStr">
        <is>
          <t>v001</t>
        </is>
      </c>
      <c r="N13" s="65" t="inlineStr">
        <is>
          <t>PackedScene/模块敌人</t>
        </is>
      </c>
      <c r="O13" s="65" t="inlineStr">
        <is>
          <t>assets/art/enemies/enemy_3d/enm_ecosystem_kit_root_top3d_v001.tscn</t>
        </is>
      </c>
      <c r="P13" s="65" t="inlineStr">
        <is>
          <t>src/enemy3d/Enemy3D.gd</t>
        </is>
      </c>
      <c r="Q13" s="41" t="inlineStr">
        <is>
          <t>怪物;七类;核心;外壳;附肢;状态</t>
        </is>
      </c>
      <c r="R13" s="65">
        <f>LOWER(TRIM(C13)&amp;"|"&amp;TRIM(D13)&amp;"|"&amp;TRIM(E13)&amp;"|"&amp;TRIM(F13)&amp;"|"&amp;TRIM(H13)&amp;"|"&amp;TRIM(I13))</f>
        <v/>
      </c>
      <c r="S13" s="41">
        <f>IF(COUNTIF($R$6:$R$53,R13)&gt;1,"重复","唯一")</f>
        <v/>
      </c>
      <c r="T13" s="65" t="inlineStr">
        <is>
          <t>901fb3e339fca1127138a6da85ff7e69cf93a56bb8b0e840e7124a1216198149</t>
        </is>
      </c>
      <c r="U13" s="65" t="inlineStr">
        <is>
          <t>Codex</t>
        </is>
      </c>
      <c r="V13" s="66" t="n">
        <v>46225</v>
      </c>
      <c r="W13" s="41" t="inlineStr">
        <is>
          <t>原创程序几何</t>
        </is>
      </c>
      <c r="X13" s="64" t="inlineStr">
        <is>
          <t>—</t>
        </is>
      </c>
      <c r="Y13" s="41" t="inlineStr">
        <is>
          <t>九态AI视线允许射线命中玩家本体并保留实体墙遮挡；3D基础HP乘旧楼层/主题/精英倍率，开局手枪普通命中不秒杀基础怪</t>
        </is>
      </c>
    </row>
    <row r="14" ht="182.8" customHeight="1" s="38">
      <c r="A14" s="65" t="inlineStr">
        <is>
          <t>ENM-BOSS-ARCHIVIST-95</t>
        </is>
      </c>
      <c r="B14" s="41" t="inlineStr">
        <is>
          <t>深渊档案官</t>
        </is>
      </c>
      <c r="C14" s="41" t="inlineStr">
        <is>
          <t>敌人</t>
        </is>
      </c>
      <c r="D14" s="65" t="inlineStr">
        <is>
          <t>boss</t>
        </is>
      </c>
      <c r="E14" s="65" t="inlineStr">
        <is>
          <t>boss_abyss_archivist_95</t>
        </is>
      </c>
      <c r="F14" s="65" t="inlineStr">
        <is>
          <t>root</t>
        </is>
      </c>
      <c r="G14" s="65" t="n"/>
      <c r="H14" s="65" t="inlineStr">
        <is>
          <t>Top3D</t>
        </is>
      </c>
      <c r="I14" s="65" t="inlineStr">
        <is>
          <t>default / 三阶段</t>
        </is>
      </c>
      <c r="J14" s="65" t="inlineStr">
        <is>
          <t>95层Boss</t>
        </is>
      </c>
      <c r="K14" s="41" t="inlineStr">
        <is>
          <t>已完成</t>
        </is>
      </c>
      <c r="L14" s="65" t="inlineStr">
        <is>
          <t>P0</t>
        </is>
      </c>
      <c r="M14" s="65" t="inlineStr">
        <is>
          <t>v001</t>
        </is>
      </c>
      <c r="N14" s="65" t="inlineStr">
        <is>
          <t>GLB；主体/发光/附肢语义拆分</t>
        </is>
      </c>
      <c r="O14" s="65" t="inlineStr">
        <is>
          <t>assets/art/enemies/bosses_v01/enm_boss_archivist_95_top3d_v001.glb</t>
        </is>
      </c>
      <c r="P14" s="65" t="inlineStr">
        <is>
          <t>art_source/design/blender/bosses_v01/enm_boss_archivist_95_top3d_v001.blend; src/enemy3d/BossContentCatalog.gd</t>
        </is>
      </c>
      <c r="Q14" s="41" t="inlineStr">
        <is>
          <t>深渊档案官; archive; 95F; 三阶段</t>
        </is>
      </c>
      <c r="R14" s="65">
        <f>LOWER(TRIM(C14)&amp;"|"&amp;TRIM(D14)&amp;"|"&amp;TRIM(E14)&amp;"|"&amp;TRIM(F14)&amp;"|"&amp;TRIM(H14)&amp;"|"&amp;TRIM(I14))</f>
        <v/>
      </c>
      <c r="S14" s="41">
        <f>IF(COUNTIF($R$6:$R$53,R14)&gt;1,"重复","唯一")</f>
        <v/>
      </c>
      <c r="T14" s="65" t="inlineStr">
        <is>
          <t>d48dbdef27c500895471b8e14e4d07ae8f733b511ea67bf44cf0dffe959d781c</t>
        </is>
      </c>
      <c r="U14" s="65" t="inlineStr">
        <is>
          <t>Codex</t>
        </is>
      </c>
      <c r="V14" s="65" t="n">
        <v>46247</v>
      </c>
      <c r="W14" s="41" t="inlineStr">
        <is>
          <t>原创程序建模</t>
        </is>
      </c>
      <c r="X14" s="64" t="inlineStr">
        <is>
          <t>—</t>
        </is>
      </c>
      <c r="Y14" s="41" t="inlineStr">
        <is>
          <t>独立正式模型；阶段技能袋 archive_fan/index_beam/archive_storm；通过Boss专项验收。
2026-08-30 AST-01规范化（原制作状态：正式美术已接入）</t>
        </is>
      </c>
    </row>
    <row r="15" ht="181.3" customHeight="1" s="38">
      <c r="A15" s="65" t="inlineStr">
        <is>
          <t>ENM-BOSS-FURNACE-WARDEN-90</t>
        </is>
      </c>
      <c r="B15" s="41" t="inlineStr">
        <is>
          <t>熔炉狱监</t>
        </is>
      </c>
      <c r="C15" s="41" t="inlineStr">
        <is>
          <t>敌人</t>
        </is>
      </c>
      <c r="D15" s="65" t="inlineStr">
        <is>
          <t>boss</t>
        </is>
      </c>
      <c r="E15" s="65" t="inlineStr">
        <is>
          <t>boss_furnace_warden_90</t>
        </is>
      </c>
      <c r="F15" s="65" t="inlineStr">
        <is>
          <t>root</t>
        </is>
      </c>
      <c r="G15" s="65" t="n"/>
      <c r="H15" s="65" t="inlineStr">
        <is>
          <t>Top3D</t>
        </is>
      </c>
      <c r="I15" s="65" t="inlineStr">
        <is>
          <t>default / 三阶段</t>
        </is>
      </c>
      <c r="J15" s="65" t="inlineStr">
        <is>
          <t>90层Boss</t>
        </is>
      </c>
      <c r="K15" s="41" t="inlineStr">
        <is>
          <t>已完成</t>
        </is>
      </c>
      <c r="L15" s="65" t="inlineStr">
        <is>
          <t>P0</t>
        </is>
      </c>
      <c r="M15" s="65" t="inlineStr">
        <is>
          <t>v001</t>
        </is>
      </c>
      <c r="N15" s="65" t="inlineStr">
        <is>
          <t>GLB；主体/发光/附肢语义拆分</t>
        </is>
      </c>
      <c r="O15" s="65" t="inlineStr">
        <is>
          <t>assets/art/enemies/bosses_v01/enm_boss_furnace_warden_90_top3d_v001.glb</t>
        </is>
      </c>
      <c r="P15" s="65" t="inlineStr">
        <is>
          <t>art_source/design/blender/bosses_v01/enm_boss_furnace_warden_90_top3d_v001.blend; src/enemy3d/BossContentCatalog.gd</t>
        </is>
      </c>
      <c r="Q15" s="41" t="inlineStr">
        <is>
          <t>熔炉狱监; furnace; 90F; 三阶段</t>
        </is>
      </c>
      <c r="R15" s="65">
        <f>LOWER(TRIM(C15)&amp;"|"&amp;TRIM(D15)&amp;"|"&amp;TRIM(E15)&amp;"|"&amp;TRIM(F15)&amp;"|"&amp;TRIM(H15)&amp;"|"&amp;TRIM(I15))</f>
        <v/>
      </c>
      <c r="S15" s="41">
        <f>IF(COUNTIF($R$6:$R$53,R15)&gt;1,"重复","唯一")</f>
        <v/>
      </c>
      <c r="T15" s="65" t="inlineStr">
        <is>
          <t>77469ad543d9265ffcc32198c06e25dd3ea8b793b79da4afeb7bd5e56f09d24c</t>
        </is>
      </c>
      <c r="U15" s="65" t="inlineStr">
        <is>
          <t>Codex</t>
        </is>
      </c>
      <c r="V15" s="65" t="n">
        <v>46247</v>
      </c>
      <c r="W15" s="41" t="inlineStr">
        <is>
          <t>原创程序建模</t>
        </is>
      </c>
      <c r="X15" s="64" t="inlineStr">
        <is>
          <t>—</t>
        </is>
      </c>
      <c r="Y15" s="41" t="inlineStr">
        <is>
          <t>独立正式模型；阶段技能袋 molten_volley/hammer_drive/furnace_burst；通过Boss专项验收。
2026-08-30 AST-01规范化（原制作状态：正式美术已接入）</t>
        </is>
      </c>
    </row>
    <row r="16" ht="182.8" customHeight="1" s="38">
      <c r="A16" s="65" t="inlineStr">
        <is>
          <t>ENM-BOSS-HOLLOW-CHOIR-85</t>
        </is>
      </c>
      <c r="B16" s="41" t="inlineStr">
        <is>
          <t>空洞合唱团</t>
        </is>
      </c>
      <c r="C16" s="41" t="inlineStr">
        <is>
          <t>敌人</t>
        </is>
      </c>
      <c r="D16" s="65" t="inlineStr">
        <is>
          <t>boss</t>
        </is>
      </c>
      <c r="E16" s="65" t="inlineStr">
        <is>
          <t>boss_hollow_choir_85</t>
        </is>
      </c>
      <c r="F16" s="65" t="inlineStr">
        <is>
          <t>root</t>
        </is>
      </c>
      <c r="G16" s="65" t="n"/>
      <c r="H16" s="65" t="inlineStr">
        <is>
          <t>Top3D</t>
        </is>
      </c>
      <c r="I16" s="65" t="inlineStr">
        <is>
          <t>default / 三阶段</t>
        </is>
      </c>
      <c r="J16" s="65" t="inlineStr">
        <is>
          <t>85层Boss</t>
        </is>
      </c>
      <c r="K16" s="41" t="inlineStr">
        <is>
          <t>已完成</t>
        </is>
      </c>
      <c r="L16" s="65" t="inlineStr">
        <is>
          <t>P0</t>
        </is>
      </c>
      <c r="M16" s="65" t="inlineStr">
        <is>
          <t>v001</t>
        </is>
      </c>
      <c r="N16" s="65" t="inlineStr">
        <is>
          <t>GLB；主体/发光/附肢语义拆分</t>
        </is>
      </c>
      <c r="O16" s="65" t="inlineStr">
        <is>
          <t>assets/art/enemies/bosses_v01/enm_boss_hollow_choir_85_top3d_v001.glb</t>
        </is>
      </c>
      <c r="P16" s="65" t="inlineStr">
        <is>
          <t>art_source/design/blender/bosses_v01/enm_boss_hollow_choir_85_top3d_v001.blend; src/enemy3d/BossContentCatalog.gd</t>
        </is>
      </c>
      <c r="Q16" s="41" t="inlineStr">
        <is>
          <t>空洞合唱团; choir; 85F; 三阶段</t>
        </is>
      </c>
      <c r="R16" s="65">
        <f>LOWER(TRIM(C16)&amp;"|"&amp;TRIM(D16)&amp;"|"&amp;TRIM(E16)&amp;"|"&amp;TRIM(F16)&amp;"|"&amp;TRIM(H16)&amp;"|"&amp;TRIM(I16))</f>
        <v/>
      </c>
      <c r="S16" s="41">
        <f>IF(COUNTIF($R$6:$R$53,R16)&gt;1,"重复","唯一")</f>
        <v/>
      </c>
      <c r="T16" s="65" t="inlineStr">
        <is>
          <t>c7d1bade328047877d64770b2c534cbd930fc377ce8a00e19873fc108a73a56f</t>
        </is>
      </c>
      <c r="U16" s="65" t="inlineStr">
        <is>
          <t>Codex</t>
        </is>
      </c>
      <c r="V16" s="65" t="n">
        <v>46247</v>
      </c>
      <c r="W16" s="41" t="inlineStr">
        <is>
          <t>原创程序建模</t>
        </is>
      </c>
      <c r="X16" s="64" t="inlineStr">
        <is>
          <t>—</t>
        </is>
      </c>
      <c r="Y16" s="41" t="inlineStr">
        <is>
          <t>独立正式模型；阶段技能袋 choir_wave/silence_chord/echo_burst；通过Boss专项验收。
2026-08-30 AST-01规范化（原制作状态：正式美术已接入）</t>
        </is>
      </c>
    </row>
    <row r="17" ht="525.35" customHeight="1" s="38">
      <c r="A17" s="65" t="inlineStr">
        <is>
          <t>ENM-ELITE-RIFT-BOAR-ARMED-3D</t>
        </is>
      </c>
      <c r="B17" s="41" t="inlineStr">
        <is>
          <t>背枪的裂口爬虫3D精英根</t>
        </is>
      </c>
      <c r="C17" s="41" t="inlineStr">
        <is>
          <t>敌人</t>
        </is>
      </c>
      <c r="D17" s="65" t="inlineStr">
        <is>
          <t>elite</t>
        </is>
      </c>
      <c r="E17" s="65" t="inlineStr">
        <is>
          <t>elite_rift_boar_armed</t>
        </is>
      </c>
      <c r="F17" s="65" t="inlineStr">
        <is>
          <t>root_3d</t>
        </is>
      </c>
      <c r="G17" s="65" t="inlineStr">
        <is>
          <t>ENM-ECOSYSTEM-KIT-3D</t>
        </is>
      </c>
      <c r="H17" s="65" t="inlineStr">
        <is>
          <t>Top3D / local -Z 正面</t>
        </is>
      </c>
      <c r="I17" s="65" t="inlineStr">
        <is>
          <t>default / armed_rush</t>
        </is>
      </c>
      <c r="J17" s="41" t="inlineStr">
        <is>
          <t>每次行动98—96F三选一；目标层随机ELITE房</t>
        </is>
      </c>
      <c r="K17" s="41" t="inlineStr">
        <is>
          <t>已完成</t>
        </is>
      </c>
      <c r="L17" s="65" t="inlineStr">
        <is>
          <t>P0</t>
        </is>
      </c>
      <c r="M17" s="65" t="inlineStr">
        <is>
          <t>v001</t>
        </is>
      </c>
      <c r="N17" s="65" t="inlineStr">
        <is>
          <t>1.970×1.843×1.345m；18 Mesh；4材质</t>
        </is>
      </c>
      <c r="O17" s="65" t="inlineStr">
        <is>
          <t>assets/art/enemies/elite_3d/rift_boar_armed/runtime/enm_elite_rift_boar_armed_root_top3d_v001.tscn</t>
        </is>
      </c>
      <c r="P17" s="65" t="inlineStr">
        <is>
          <t>art_source/enemies/elite_3d/rift_boar_armed/source/enm_elite_rift_boar_armed_source_v001.blend; assets/art/enemies/elite_3d/rift_boar_armed/components/enm_elite_rift_boar_armed_visual_top3d_v001.glb; scripts/blender/build_elite_rift_boar_armed_v001.py; src/enemy3d/EliteContentCatalog.gd</t>
        </is>
      </c>
      <c r="Q17" s="41" t="inlineStr">
        <is>
          <t>唯一精英;背枪;裂口爬虫;elite_rift_boar_armed;armed_rush;98F;97F;96F;命名血条</t>
        </is>
      </c>
      <c r="R17" s="65">
        <f>LOWER(TRIM(C17)&amp;"|"&amp;TRIM(D17)&amp;"|"&amp;TRIM(E17)&amp;"|"&amp;TRIM(F17)&amp;"|"&amp;TRIM(H17)&amp;"|"&amp;TRIM(I17))</f>
        <v/>
      </c>
      <c r="S17" s="41">
        <f>IF(COUNTIF($R$6:$R$53,R17)&gt;1,"重复","唯一")</f>
        <v/>
      </c>
      <c r="T17" s="65" t="inlineStr">
        <is>
          <t>ec19ed6bda41e2a5d9ace78f28150ccdb1a646e0bd0bb9051e61ed374579e6e8</t>
        </is>
      </c>
      <c r="U17" s="65" t="inlineStr">
        <is>
          <t>Codex</t>
        </is>
      </c>
      <c r="V17" s="66" t="n">
        <v>46264</v>
      </c>
      <c r="W17" s="41" t="inlineStr">
        <is>
          <t>原创 Blender/Godot 组合</t>
        </is>
      </c>
      <c r="X17" s="64" t="inlineStr">
        <is>
          <t>—</t>
        </is>
      </c>
      <c r="Y17" s="65" t="inlineStr">
        <is>
          <t>GLB仅表现；core/shell/appendages/weapon_attachment/state_vfx语义齐全；PackedScene无碰撞；Enemy3D继续持有melee_chaser碰撞、AI、生命、伤害与掉落。Forward+固定机位与专项验收通过。
2026-08-30 AST-01规范化（原制作状态：正式美术已接入）
2026-08-30 AST-02：合法内容更新；文件为Git已跟踪且修改时间不早于原台账日期；验收：verify_unique_elite_roster_flow；SHA c72d42495532→b5b187474a58。</t>
        </is>
      </c>
    </row>
    <row r="18" ht="525.35" customHeight="1" s="38">
      <c r="A18" s="62" t="inlineStr">
        <is>
          <t>ENM-BEAST-SPIKESHELL01</t>
        </is>
      </c>
      <c r="B18" s="49" t="inlineStr">
        <is>
          <t>暗影兽</t>
        </is>
      </c>
      <c r="C18" s="49" t="inlineStr">
        <is>
          <t>敌人</t>
        </is>
      </c>
      <c r="D18" s="62" t="inlineStr">
        <is>
          <t>normal_beast</t>
        </is>
      </c>
      <c r="E18" s="62" t="inlineStr">
        <is>
          <t>spike_shell</t>
        </is>
      </c>
      <c r="F18" s="62" t="inlineStr">
        <is>
          <t>root</t>
        </is>
      </c>
      <c r="G18" s="49" t="n"/>
      <c r="H18" s="49" t="inlineStr">
        <is>
          <t>侧面朝右（可水平翻转）</t>
        </is>
      </c>
      <c r="I18" s="62" t="inlineStr">
        <is>
          <t>default</t>
        </is>
      </c>
      <c r="J18" s="49" t="inlineStr">
        <is>
          <t>单资产</t>
        </is>
      </c>
      <c r="K18" s="49" t="inlineStr">
        <is>
          <t>待制作</t>
        </is>
      </c>
      <c r="L18" s="62" t="inlineStr">
        <is>
          <t>P1</t>
        </is>
      </c>
      <c r="M18" s="62" t="inlineStr">
        <is>
          <t>v001</t>
        </is>
      </c>
      <c r="N18" s="49" t="inlineStr">
        <is>
          <t>待定</t>
        </is>
      </c>
      <c r="O18" s="49" t="n"/>
      <c r="P18" s="62" t="inlineStr">
        <is>
          <t>待入库（Tripo 生成模型当前仅在 Blender 会话中，尚未保存为 .blend）</t>
        </is>
      </c>
      <c r="Q18" s="49" t="inlineStr">
        <is>
          <t>暗影兽; 暗影; 刺背; spike shell; 四足怪; Tripo生成; ENM-BEAST-SPIKESHELL01</t>
        </is>
      </c>
      <c r="R18" s="49">
        <f>LOWER(TRIM(C18)&amp;"|"&amp;TRIM(D18)&amp;"|"&amp;TRIM(E18)&amp;"|"&amp;TRIM(F18)&amp;"|"&amp;TRIM(H18)&amp;"|"&amp;TRIM(I18))</f>
        <v/>
      </c>
      <c r="S18" s="49">
        <f>IF(COUNTIF($R$6:$R$53,R18)&gt;1,"重复","唯一")</f>
        <v/>
      </c>
      <c r="T18" s="49" t="n"/>
      <c r="U18" s="49" t="inlineStr">
        <is>
          <t>待分配</t>
        </is>
      </c>
      <c r="V18" s="63" t="n">
        <v>46288</v>
      </c>
      <c r="W18" s="49" t="inlineStr">
        <is>
          <t>AI 生成（Tripo）/待确认</t>
        </is>
      </c>
      <c r="X18" s="64" t="inlineStr">
        <is>
          <t>—</t>
        </is>
      </c>
      <c r="Y18" s="49" t="inlineStr">
        <is>
          <t>2026-09-23 新登记为独立新怪，只登记不接线。造型：低伏四足、背脊一排尖刺、大圆头带尾，头部朝 Blender -Y（契约要求 +Y，后续 S3 需整体转 180°）。源尺寸 0.8286×0.9995×0.7104m（Tripo 原始尺度，未按展示倍率归一）。已完成 Rigify 骨架生成 + 自动权重蒙皮（Rigify Basic Human 29 骨 metarig → 219 骨 rig / 34 DEF 骨 / 34 顶点组，3241 顶点全有权重），但**尚未改名到本项目 36 骨契约骨架**，也**缺契约的 16 根手指骨**（Basic Human 无手指链）。入库前待办：① 源 .blend 落 source/model/ 并内部改名；② 按展示倍率 0.70 归一尺寸（源高 = 目标游戏内高 / (0.70×kind×variant)）；③ 朝向归正到 +Y；④ DEF 改名到契约骨架并补手指链；⑤ 另建动作母版 6 段剪辑；⑥ 导出视觉 GLB + runtime Prefab；⑦ 补《3D-敌人》与《敌人动画与状态》行（那两张表分别有『一行=一个真实 PackedScene』与逐字节摘要约束，故本次刻意未动）。玩法数值（HP/速度/伤害/范围/冷却）未定，未接入 Enemy3D.PROFILES。</t>
        </is>
      </c>
    </row>
    <row r="19" ht="525.35" customHeight="1" s="38">
      <c r="A19" s="62" t="inlineStr">
        <is>
          <t>ENM-NORMAL-FAT-ZOMBIE03</t>
        </is>
      </c>
      <c r="B19" s="49" t="inlineStr">
        <is>
          <t>胖子僵尸</t>
        </is>
      </c>
      <c r="C19" s="49" t="inlineStr">
        <is>
          <t>敌人</t>
        </is>
      </c>
      <c r="D19" s="62" t="inlineStr">
        <is>
          <t>normal</t>
        </is>
      </c>
      <c r="E19" s="62" t="inlineStr">
        <is>
          <t>fat_zombie03</t>
        </is>
      </c>
      <c r="F19" s="62" t="inlineStr">
        <is>
          <t>root_3d</t>
        </is>
      </c>
      <c r="G19" s="49" t="n"/>
      <c r="H19" s="49" t="inlineStr">
        <is>
          <t>Top3D / local -Z 正面</t>
        </is>
      </c>
      <c r="I19" s="62" t="inlineStr">
        <is>
          <t>12态绑定13段动画；idle/walking/running循环，其他单次；hit_light上半身局部混合</t>
        </is>
      </c>
      <c r="J19" s="49" t="inlineStr">
        <is>
          <t>独立新怪资产；未投放</t>
        </is>
      </c>
      <c r="K19" s="49" t="inlineStr">
        <is>
          <t>正式美术已接入</t>
        </is>
      </c>
      <c r="L19" s="62" t="inlineStr">
        <is>
          <t>P1</t>
        </is>
      </c>
      <c r="M19" s="62" t="inlineStr">
        <is>
          <t>v012</t>
        </is>
      </c>
      <c r="N19" s="49" t="inlineStr">
        <is>
          <t>源高3.142857m；游戏站立高2.2m；1009顶点/1979三角；66骨；512²贴图；13段动作</t>
        </is>
      </c>
      <c r="O19" s="49" t="inlineStr">
        <is>
          <t>assets/art/enemies/normal_enemy_3d/fat_zombie03/runtime/enm_normal_fat_zombie03_root_top3d.tscn</t>
        </is>
      </c>
      <c r="P19" s="62" t="inlineStr">
        <is>
          <t>art_source/enemies/normal_enemy_3d/fat_zombie03/source/model/enm_normal_fat_zombie03_model_v004.blend; art_source/enemies/normal_enemy_3d/fat_zombie03/source/animation/enm_normal_fat_zombie03_animation_v009.blend; docs/v0.1/design/胖子僵尸03动作设计.md</t>
        </is>
      </c>
      <c r="Q19" s="49" t="inlineStr">
        <is>
          <t>胖子僵尸; fat zombie; 03</t>
        </is>
      </c>
      <c r="R19" s="49">
        <f>LOWER(TRIM(C19)&amp;"|"&amp;TRIM(D19)&amp;"|"&amp;TRIM(E19)&amp;"|"&amp;TRIM(F19)&amp;"|"&amp;TRIM(H19)&amp;"|"&amp;TRIM(I19))</f>
        <v/>
      </c>
      <c r="S19" s="49">
        <f>IF(COUNTIF($R$6:$R$53,R19)&gt;1,"重复","唯一")</f>
        <v/>
      </c>
      <c r="T19" s="49" t="inlineStr">
        <is>
          <t>9d1eb25f47914d2ca3db3bef1174ec1b470940206228f3da49091ed4e5faa649</t>
        </is>
      </c>
      <c r="U19" s="49" t="inlineStr">
        <is>
          <t>Codex</t>
        </is>
      </c>
      <c r="V19" s="63" t="n">
        <v>46304</v>
      </c>
      <c r="W19" s="49" t="inlineStr">
        <is>
          <t>用户提供Tripo素材；许可待确认</t>
        </is>
      </c>
      <c r="X19" s="64" t="inlineStr">
        <is>
          <t>03</t>
        </is>
      </c>
      <c r="Y19" s="49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替换壳甲卫兵的远征盒、默认随机池和两个主题怪池；固定种子全关实测10只胖子/0只壳甲。；2026-10-04修复游戏内死亡隐藏：尸体退出AI后独立视野组继续判定距离/遮挡，表现帧计时推进2.6秒倒地/腹部接地/回弹后回收；AI休眠不暂停死亡。真实Player3D视野逻辑与Forward+四帧截图通过，负向原失踪条件检出；胖子152项/小僵尸死亡/玩家视野回归通过。；2026-10-09 v012减面：5690→1979三角（减少65.22%）；脸手特征加权保留，512贴图/66骨/13段动画保留；死亡接地形态键重新拟合。模型v004/动作v009；Godot153项及死亡视野真实渲染通过。</t>
        </is>
      </c>
    </row>
    <row r="20" ht="525.35" customHeight="1" s="38">
      <c r="A20" s="62" t="inlineStr">
        <is>
          <t>ENM-BOSS-MONITOR002-3D</t>
        </is>
      </c>
      <c r="B20" s="49" t="inlineStr">
        <is>
          <t>Boss002 显示器 MONITOR.EXE</t>
        </is>
      </c>
      <c r="C20" s="49" t="inlineStr">
        <is>
          <t>敌人</t>
        </is>
      </c>
      <c r="D20" s="62" t="inlineStr">
        <is>
          <t>boss</t>
        </is>
      </c>
      <c r="E20" s="62" t="inlineStr">
        <is>
          <t>boss_monitor002</t>
        </is>
      </c>
      <c r="F20" s="62" t="inlineStr">
        <is>
          <t>root_3d</t>
        </is>
      </c>
      <c r="G20" s="49" t="n"/>
      <c r="H20" s="49" t="inlineStr">
        <is>
          <t>Top3D / Blender +Y</t>
        </is>
      </c>
      <c r="I20" s="62" t="inlineStr">
        <is>
          <t>12态；16剪辑：idle move melee_keyboard melee_cable heavy_spin_slam special四段 hurt stun三段 turn_left/right dead</t>
        </is>
      </c>
      <c r="J20" s="80" t="inlineStr">
        <is>
          <t>expedition_01 / floor_00 / boss（源房ID f00_boss）</t>
        </is>
      </c>
      <c r="K20" s="49" t="inlineStr">
        <is>
          <t>active</t>
        </is>
      </c>
      <c r="L20" s="62" t="inlineStr">
        <is>
          <t>P1</t>
        </is>
      </c>
      <c r="M20" s="62" t="inlineStr">
        <is>
          <t>v035</t>
        </is>
      </c>
      <c r="N20" s="49" t="inlineStr">
        <is>
          <t>18684三角面；64骨；每臂6段；3材质；中心后轴独立屏幕旋转</t>
        </is>
      </c>
      <c r="O20" s="49" t="inlineStr">
        <is>
          <t>assets/art/enemies/bosses/enm_boss_monitor002/runtime/enm_boss_monitor002/enm_boss_monitor002_root_top3d.tscn</t>
        </is>
      </c>
      <c r="P20" s="62" t="inlineStr">
        <is>
          <t>art_source/enemies/bosses/enm_boss_monitor002/source/enm_boss_monitor002_model_v035.blend; art_source/enemies/bosses/enm_boss_monitor002/source/enm_boss_monitor002_animation_v035.blend；SKEL-MONITOR002-005</t>
        </is>
      </c>
      <c r="Q20" s="49" t="inlineStr">
        <is>
          <t>Boss002;monitor;显示器;平面五官</t>
        </is>
      </c>
      <c r="R20" s="49">
        <f>LOWER(TRIM(C20)&amp;"|"&amp;TRIM(D20)&amp;"|"&amp;TRIM(E20)&amp;"|"&amp;TRIM(F20)&amp;"|"&amp;TRIM(H20)&amp;"|"&amp;TRIM(I20))</f>
        <v/>
      </c>
      <c r="S20" s="49">
        <f>IF(COUNTIF($R$6:$R$53,R20)&gt;1,"重复","唯一")</f>
        <v/>
      </c>
      <c r="T20" s="49" t="inlineStr">
        <is>
          <t>712ca8f0cd8ef64989e377cebc6b5468ad1f6404161033c2943a64aa14801b42</t>
        </is>
      </c>
      <c r="U20" s="49" t="inlineStr">
        <is>
          <t>Codex</t>
        </is>
      </c>
      <c r="V20" s="79" t="inlineStr">
        <is>
          <t>2026-10-08</t>
        </is>
      </c>
      <c r="W20" s="49" t="inlineStr">
        <is>
          <t>用户设计图；原创程序建模</t>
        </is>
      </c>
      <c r="X20" s="64" t="inlineStr">
        <is>
          <t>BOSS002_MONITOR</t>
        </is>
      </c>
      <c r="Y20" s="80" t="inlineStr">
        <is>
          <t>v035仅屏幕总成沿角色前向平移0.5米，排除下沿支杆穿插。外壳、代码与五官同步；其它骨骼矩阵、旋转/缩放、17剪辑时长、双手、特效及10米激活规则均不变。562项专项通过；真实出场214帧验证。</t>
        </is>
      </c>
    </row>
    <row r="21">
      <c r="A21" s="62" t="inlineStr">
        <is>
          <t>ENM-RANGED-BULLETKIN01</t>
        </is>
      </c>
      <c r="B21" s="49" t="inlineStr">
        <is>
          <t>子弹小子</t>
        </is>
      </c>
      <c r="C21" s="49" t="inlineStr">
        <is>
          <t>敌人</t>
        </is>
      </c>
      <c r="D21" s="62" t="inlineStr">
        <is>
          <t>normal_ranged</t>
        </is>
      </c>
      <c r="E21" s="62" t="inlineStr">
        <is>
          <t>egt_bullet_kin</t>
        </is>
      </c>
      <c r="F21" s="62" t="inlineStr">
        <is>
          <t>root_3d</t>
        </is>
      </c>
      <c r="G21" s="49" t="inlineStr">
        <is>
          <t>ENM-RANGED-SPORESHOOTER01</t>
        </is>
      </c>
      <c r="H21" s="49" t="inlineStr">
        <is>
          <t>Top3D / local -Z 正面</t>
        </is>
      </c>
      <c r="I21" s="62" t="inlineStr">
        <is>
          <t>default / ranged</t>
        </is>
      </c>
      <c r="J21" s="80" t="inlineStr">
        <is>
          <t>远征03 战斗房（spawn_roster 逐房编成）</t>
        </is>
      </c>
      <c r="K21" s="49" t="inlineStr">
        <is>
          <t>程序占位</t>
        </is>
      </c>
      <c r="L21" s="62" t="inlineStr">
        <is>
          <t>P1</t>
        </is>
      </c>
      <c r="M21" s="62" t="inlineStr">
        <is>
          <t>v001</t>
        </is>
      </c>
      <c r="N21" s="49" t="inlineStr">
        <is>
          <t>体型0.86；hp150（进场实测）；伤害17；弹速8 m/s；单发直射；染色#73FFFF</t>
        </is>
      </c>
      <c r="O21" s="49" t="inlineStr">
        <is>
          <t>assets/art/enemies/normal_enemy_3d/ranged_caster/runtime/enm_ranged_sporeshooter01_root_top3d.tscn</t>
        </is>
      </c>
      <c r="P21" s="62" t="inlineStr">
        <is>
          <t>docs/v0.1/reference/挺进地牢/第一层怪物数据表.md; docs/v0.1/design/怪物设计.md §T1/§T5</t>
        </is>
      </c>
      <c r="Q21" s="49" t="inlineStr">
        <is>
          <t>子弹小子; egt_bullet_kin; 远征03; EGT第一层复刻</t>
        </is>
      </c>
      <c r="R21" s="49">
        <f>LOWER(TRIM(C21)&amp;"|"&amp;TRIM(D21)&amp;"|"&amp;TRIM(E21)&amp;"|"&amp;TRIM(F21)&amp;"|"&amp;TRIM(H21)&amp;"|"&amp;TRIM(I21))</f>
        <v/>
      </c>
      <c r="S21" s="49">
        <f>IF(COUNTIF($R$6:$R$53,R21)&gt;1,"重复","唯一")</f>
        <v/>
      </c>
      <c r="T21" s="49" t="inlineStr">
        <is>
          <t>—</t>
        </is>
      </c>
      <c r="U21" s="49" t="inlineStr">
        <is>
          <t>Codex</t>
        </is>
      </c>
      <c r="V21" s="79" t="inlineStr">
        <is>
          <t>2026-10-29</t>
        </is>
      </c>
      <c r="W21" s="49" t="inlineStr">
        <is>
          <t>复用 ENM-RANGED-SPORESHOOTER01 的表现资产（借皮占位）</t>
        </is>
      </c>
      <c r="X21" s="64" t="inlineStr">
        <is>
          <t>—</t>
        </is>
      </c>
      <c r="Y21" s="80" t="inlineStr">
        <is>
          <t>远征03《挺进地牢》第一层复刻怪（2026-10-29）。**本行是表现层占位**：复用 ENM-RANGED-SPORESHOOTER01 的模型/程序壳，尚无自有美术。替换正式美术时**不得改动**：逻辑ID、数值（hp/伤害/速度）、行为键（volley/death_split/death_burst/suicide_rush/support_buff）、体型倍率与染色值 —— 依据 docs/v0.1/design/怪物设计.md §T1~§T3。逐房编成见同文档 §T5（spawn_roster）。</t>
        </is>
      </c>
    </row>
    <row r="22">
      <c r="A22" s="62" t="inlineStr">
        <is>
          <t>ENM-RANGED-BANDANAKIN01</t>
        </is>
      </c>
      <c r="B22" s="49" t="inlineStr">
        <is>
          <t>头巾小子</t>
        </is>
      </c>
      <c r="C22" s="49" t="inlineStr">
        <is>
          <t>敌人</t>
        </is>
      </c>
      <c r="D22" s="62" t="inlineStr">
        <is>
          <t>normal_ranged</t>
        </is>
      </c>
      <c r="E22" s="62" t="inlineStr">
        <is>
          <t>egt_bandana_kin</t>
        </is>
      </c>
      <c r="F22" s="62" t="inlineStr">
        <is>
          <t>root_3d</t>
        </is>
      </c>
      <c r="G22" s="49" t="inlineStr">
        <is>
          <t>ENM-RANGED-SPORESHOOTER01</t>
        </is>
      </c>
      <c r="H22" s="49" t="inlineStr">
        <is>
          <t>Top3D / local -Z 正面</t>
        </is>
      </c>
      <c r="I22" s="62" t="inlineStr">
        <is>
          <t>default / ranged</t>
        </is>
      </c>
      <c r="J22" s="80" t="inlineStr">
        <is>
          <t>远征03 战斗房（spawn_roster 逐房编成）</t>
        </is>
      </c>
      <c r="K22" s="49" t="inlineStr">
        <is>
          <t>程序占位</t>
        </is>
      </c>
      <c r="L22" s="62" t="inlineStr">
        <is>
          <t>P1</t>
        </is>
      </c>
      <c r="M22" s="62" t="inlineStr">
        <is>
          <t>v001</t>
        </is>
      </c>
      <c r="N22" s="49" t="inlineStr">
        <is>
          <t>体型0.94；hp150（进场实测）；伤害17；弹速8 m/s；三连发0.12s；染色#85BDFF</t>
        </is>
      </c>
      <c r="O22" s="49" t="inlineStr">
        <is>
          <t>assets/art/enemies/normal_enemy_3d/ranged_caster/runtime/enm_ranged_sporeshooter01_root_top3d.tscn</t>
        </is>
      </c>
      <c r="P22" s="62" t="inlineStr">
        <is>
          <t>docs/v0.1/reference/挺进地牢/第一层怪物数据表.md; docs/v0.1/design/怪物设计.md §T1/§T5</t>
        </is>
      </c>
      <c r="Q22" s="49" t="inlineStr">
        <is>
          <t>头巾小子; egt_bandana_kin; 远征03; EGT第一层复刻</t>
        </is>
      </c>
      <c r="R22" s="49">
        <f>LOWER(TRIM(C22)&amp;"|"&amp;TRIM(D22)&amp;"|"&amp;TRIM(E22)&amp;"|"&amp;TRIM(F22)&amp;"|"&amp;TRIM(H22)&amp;"|"&amp;TRIM(I22))</f>
        <v/>
      </c>
      <c r="S22" s="49">
        <f>IF(COUNTIF($R$6:$R$53,R22)&gt;1,"重复","唯一")</f>
        <v/>
      </c>
      <c r="T22" s="49" t="inlineStr">
        <is>
          <t>—</t>
        </is>
      </c>
      <c r="U22" s="49" t="inlineStr">
        <is>
          <t>Codex</t>
        </is>
      </c>
      <c r="V22" s="79" t="inlineStr">
        <is>
          <t>2026-10-29</t>
        </is>
      </c>
      <c r="W22" s="49" t="inlineStr">
        <is>
          <t>复用 ENM-RANGED-SPORESHOOTER01 的表现资产（借皮占位）</t>
        </is>
      </c>
      <c r="X22" s="64" t="inlineStr">
        <is>
          <t>—</t>
        </is>
      </c>
      <c r="Y22" s="80" t="inlineStr">
        <is>
          <t>远征03《挺进地牢》第一层复刻怪（2026-10-29）。**本行是表现层占位**：复用 ENM-RANGED-SPORESHOOTER01 的模型/程序壳，尚无自有美术。替换正式美术时**不得改动**：逻辑ID、数值（hp/伤害/速度）、行为键（volley/death_split/death_burst/suicide_rush/support_buff）、体型倍率与染色值 —— 依据 docs/v0.1/design/怪物设计.md §T1~§T3。逐房编成见同文档 §T5（spawn_roster）。</t>
        </is>
      </c>
    </row>
    <row r="23">
      <c r="A23" s="62" t="inlineStr">
        <is>
          <t>ENM-RANGED-VETERANKIN01</t>
        </is>
      </c>
      <c r="B23" s="49" t="inlineStr">
        <is>
          <t>老兵小子</t>
        </is>
      </c>
      <c r="C23" s="49" t="inlineStr">
        <is>
          <t>敌人</t>
        </is>
      </c>
      <c r="D23" s="62" t="inlineStr">
        <is>
          <t>normal_ranged</t>
        </is>
      </c>
      <c r="E23" s="62" t="inlineStr">
        <is>
          <t>egt_veteran_kin</t>
        </is>
      </c>
      <c r="F23" s="62" t="inlineStr">
        <is>
          <t>root_3d</t>
        </is>
      </c>
      <c r="G23" s="49" t="inlineStr">
        <is>
          <t>ENM-RANGED-SPORESHOOTER01</t>
        </is>
      </c>
      <c r="H23" s="49" t="inlineStr">
        <is>
          <t>Top3D / local -Z 正面</t>
        </is>
      </c>
      <c r="I23" s="62" t="inlineStr">
        <is>
          <t>default / ranged</t>
        </is>
      </c>
      <c r="J23" s="80" t="inlineStr">
        <is>
          <t>远征03 战斗房（spawn_roster 逐房编成）</t>
        </is>
      </c>
      <c r="K23" s="49" t="inlineStr">
        <is>
          <t>程序占位</t>
        </is>
      </c>
      <c r="L23" s="62" t="inlineStr">
        <is>
          <t>P1</t>
        </is>
      </c>
      <c r="M23" s="62" t="inlineStr">
        <is>
          <t>v001</t>
        </is>
      </c>
      <c r="N23" s="49" t="inlineStr">
        <is>
          <t>体型1.02；hp150（进场实测）；伤害17；弹速10 m/s；预判0.62；4连发（原作 fire 4 bullets in a row）；染色#FFB86B</t>
        </is>
      </c>
      <c r="O23" s="49" t="inlineStr">
        <is>
          <t>assets/art/enemies/normal_enemy_3d/ranged_caster/runtime/enm_ranged_sporeshooter01_root_top3d.tscn</t>
        </is>
      </c>
      <c r="P23" s="62" t="inlineStr">
        <is>
          <t>docs/v0.1/reference/挺进地牢/第一层怪物数据表.md; docs/v0.1/design/怪物设计.md §T1/§T5</t>
        </is>
      </c>
      <c r="Q23" s="49" t="inlineStr">
        <is>
          <t>老兵小子; egt_veteran_kin; 远征03; EGT第一层复刻</t>
        </is>
      </c>
      <c r="R23" s="49">
        <f>LOWER(TRIM(C23)&amp;"|"&amp;TRIM(D23)&amp;"|"&amp;TRIM(E23)&amp;"|"&amp;TRIM(F23)&amp;"|"&amp;TRIM(H23)&amp;"|"&amp;TRIM(I23))</f>
        <v/>
      </c>
      <c r="S23" s="49">
        <f>IF(COUNTIF($R$6:$R$53,R23)&gt;1,"重复","唯一")</f>
        <v/>
      </c>
      <c r="T23" s="49" t="inlineStr">
        <is>
          <t>—</t>
        </is>
      </c>
      <c r="U23" s="49" t="inlineStr">
        <is>
          <t>Codex</t>
        </is>
      </c>
      <c r="V23" s="79" t="inlineStr">
        <is>
          <t>2026-10-29</t>
        </is>
      </c>
      <c r="W23" s="49" t="inlineStr">
        <is>
          <t>复用 ENM-RANGED-SPORESHOOTER01 的表现资产（借皮占位）</t>
        </is>
      </c>
      <c r="X23" s="64" t="inlineStr">
        <is>
          <t>—</t>
        </is>
      </c>
      <c r="Y23" s="80" t="inlineStr">
        <is>
          <t>远征03《挺进地牢》第一层复刻怪（2026-10-29）。**本行是表现层占位**：复用 ENM-RANGED-SPORESHOOTER01 的模型/程序壳，尚无自有美术。替换正式美术时**不得改动**：逻辑ID、数值（hp/伤害/速度）、行为键（volley/death_split/death_burst/suicide_rush/support_buff）、体型倍率与染色值 —— 依据 docs/v0.1/design/怪物设计.md §T1~§T3。逐房编成见同文档 §T5（spawn_roster）。</t>
        </is>
      </c>
    </row>
    <row r="24">
      <c r="A24" s="62" t="inlineStr">
        <is>
          <t>ENM-RANGED-REDSHOTGUN01</t>
        </is>
      </c>
      <c r="B24" s="49" t="inlineStr">
        <is>
          <t>红霰弹枪小子</t>
        </is>
      </c>
      <c r="C24" s="49" t="inlineStr">
        <is>
          <t>敌人</t>
        </is>
      </c>
      <c r="D24" s="62" t="inlineStr">
        <is>
          <t>normal_ranged</t>
        </is>
      </c>
      <c r="E24" s="62" t="inlineStr">
        <is>
          <t>egt_red_shotgun</t>
        </is>
      </c>
      <c r="F24" s="62" t="inlineStr">
        <is>
          <t>root_3d</t>
        </is>
      </c>
      <c r="G24" s="49" t="inlineStr">
        <is>
          <t>ENM-RANGED-SPORESHOOTER01</t>
        </is>
      </c>
      <c r="H24" s="49" t="inlineStr">
        <is>
          <t>Top3D / local -Z 正面</t>
        </is>
      </c>
      <c r="I24" s="62" t="inlineStr">
        <is>
          <t>default / ranged</t>
        </is>
      </c>
      <c r="J24" s="80" t="inlineStr">
        <is>
          <t>远征03 战斗房（spawn_roster 逐房编成）</t>
        </is>
      </c>
      <c r="K24" s="49" t="inlineStr">
        <is>
          <t>程序占位</t>
        </is>
      </c>
      <c r="L24" s="62" t="inlineStr">
        <is>
          <t>P1</t>
        </is>
      </c>
      <c r="M24" s="62" t="inlineStr">
        <is>
          <t>v001</t>
        </is>
      </c>
      <c r="N24" s="49" t="inlineStr">
        <is>
          <t>体型1.10；hp300（进场实测）；伤害17；弹速8 m/s；±14°五发+死亡全向喷；染色#FF6B66</t>
        </is>
      </c>
      <c r="O24" s="49" t="inlineStr">
        <is>
          <t>assets/art/enemies/normal_enemy_3d/ranged_caster/runtime/enm_ranged_sporeshooter01_root_top3d.tscn</t>
        </is>
      </c>
      <c r="P24" s="62" t="inlineStr">
        <is>
          <t>docs/v0.1/reference/挺进地牢/第一层怪物数据表.md; docs/v0.1/design/怪物设计.md §T1/§T5</t>
        </is>
      </c>
      <c r="Q24" s="49" t="inlineStr">
        <is>
          <t>红霰弹枪小子; egt_red_shotgun; 远征03; EGT第一层复刻</t>
        </is>
      </c>
      <c r="R24" s="49">
        <f>LOWER(TRIM(C24)&amp;"|"&amp;TRIM(D24)&amp;"|"&amp;TRIM(E24)&amp;"|"&amp;TRIM(F24)&amp;"|"&amp;TRIM(H24)&amp;"|"&amp;TRIM(I24))</f>
        <v/>
      </c>
      <c r="S24" s="49">
        <f>IF(COUNTIF($R$6:$R$53,R24)&gt;1,"重复","唯一")</f>
        <v/>
      </c>
      <c r="T24" s="49" t="inlineStr">
        <is>
          <t>—</t>
        </is>
      </c>
      <c r="U24" s="49" t="inlineStr">
        <is>
          <t>Codex</t>
        </is>
      </c>
      <c r="V24" s="79" t="inlineStr">
        <is>
          <t>2026-10-29</t>
        </is>
      </c>
      <c r="W24" s="49" t="inlineStr">
        <is>
          <t>复用 ENM-RANGED-SPORESHOOTER01 的表现资产（借皮占位）</t>
        </is>
      </c>
      <c r="X24" s="64" t="inlineStr">
        <is>
          <t>—</t>
        </is>
      </c>
      <c r="Y24" s="80" t="inlineStr">
        <is>
          <t>远征03《挺进地牢》第一层复刻怪（2026-10-29）。**本行是表现层占位**：复用 ENM-RANGED-SPORESHOOTER01 的模型/程序壳，尚无自有美术。替换正式美术时**不得改动**：逻辑ID、数值（hp/伤害/速度）、行为键（volley/death_split/death_burst/suicide_rush/support_buff）、体型倍率与染色值 —— 依据 docs/v0.1/design/怪物设计.md §T1~§T3。逐房编成见同文档 §T5（spawn_roster）。</t>
        </is>
      </c>
    </row>
    <row r="25">
      <c r="A25" s="62" t="inlineStr">
        <is>
          <t>ENM-RANGED-BLUESHOTGUN01</t>
        </is>
      </c>
      <c r="B25" s="49" t="inlineStr">
        <is>
          <t>蓝霰弹枪小子</t>
        </is>
      </c>
      <c r="C25" s="49" t="inlineStr">
        <is>
          <t>敌人</t>
        </is>
      </c>
      <c r="D25" s="62" t="inlineStr">
        <is>
          <t>normal_ranged</t>
        </is>
      </c>
      <c r="E25" s="62" t="inlineStr">
        <is>
          <t>egt_blue_shotgun</t>
        </is>
      </c>
      <c r="F25" s="62" t="inlineStr">
        <is>
          <t>root_3d</t>
        </is>
      </c>
      <c r="G25" s="49" t="inlineStr">
        <is>
          <t>ENM-RANGED-SPORESHOOTER01</t>
        </is>
      </c>
      <c r="H25" s="49" t="inlineStr">
        <is>
          <t>Top3D / local -Z 正面</t>
        </is>
      </c>
      <c r="I25" s="62" t="inlineStr">
        <is>
          <t>default / ranged</t>
        </is>
      </c>
      <c r="J25" s="80" t="inlineStr">
        <is>
          <t>远征03 战斗房（spawn_roster 逐房编成）</t>
        </is>
      </c>
      <c r="K25" s="49" t="inlineStr">
        <is>
          <t>程序占位</t>
        </is>
      </c>
      <c r="L25" s="62" t="inlineStr">
        <is>
          <t>P1</t>
        </is>
      </c>
      <c r="M25" s="62" t="inlineStr">
        <is>
          <t>v001</t>
        </is>
      </c>
      <c r="N25" s="49" t="inlineStr">
        <is>
          <t>体型1.18；hp400（进场实测）；伤害17；弹速8 m/s；±26°五发双段；染色#668AFF；族内最强最大</t>
        </is>
      </c>
      <c r="O25" s="49" t="inlineStr">
        <is>
          <t>assets/art/enemies/normal_enemy_3d/ranged_caster/runtime/enm_ranged_sporeshooter01_root_top3d.tscn</t>
        </is>
      </c>
      <c r="P25" s="62" t="inlineStr">
        <is>
          <t>docs/v0.1/reference/挺进地牢/第一层怪物数据表.md; docs/v0.1/design/怪物设计.md §T1/§T5</t>
        </is>
      </c>
      <c r="Q25" s="49" t="inlineStr">
        <is>
          <t>蓝霰弹枪小子; egt_blue_shotgun; 远征03; EGT第一层复刻</t>
        </is>
      </c>
      <c r="R25" s="49">
        <f>LOWER(TRIM(C25)&amp;"|"&amp;TRIM(D25)&amp;"|"&amp;TRIM(E25)&amp;"|"&amp;TRIM(F25)&amp;"|"&amp;TRIM(H25)&amp;"|"&amp;TRIM(I25))</f>
        <v/>
      </c>
      <c r="S25" s="49">
        <f>IF(COUNTIF($R$6:$R$53,R25)&gt;1,"重复","唯一")</f>
        <v/>
      </c>
      <c r="T25" s="49" t="inlineStr">
        <is>
          <t>—</t>
        </is>
      </c>
      <c r="U25" s="49" t="inlineStr">
        <is>
          <t>Codex</t>
        </is>
      </c>
      <c r="V25" s="79" t="inlineStr">
        <is>
          <t>2026-10-29</t>
        </is>
      </c>
      <c r="W25" s="49" t="inlineStr">
        <is>
          <t>复用 ENM-RANGED-SPORESHOOTER01 的表现资产（借皮占位）</t>
        </is>
      </c>
      <c r="X25" s="64" t="inlineStr">
        <is>
          <t>—</t>
        </is>
      </c>
      <c r="Y25" s="80" t="inlineStr">
        <is>
          <t>远征03《挺进地牢》第一层复刻怪（2026-10-29）。**本行是表现层占位**：复用 ENM-RANGED-SPORESHOOTER01 的模型/程序壳，尚无自有美术。替换正式美术时**不得改动**：逻辑ID、数值（hp/伤害/速度）、行为键（volley/death_split/death_burst/suicide_rush/support_buff）、体型倍率与染色值 —— 依据 docs/v0.1/design/怪物设计.md §T1~§T3。逐房编成见同文档 §T5（spawn_roster）。</t>
        </is>
      </c>
    </row>
    <row r="26">
      <c r="A26" s="62" t="inlineStr">
        <is>
          <t>ENM-MELEE-BLOBULON01</t>
        </is>
      </c>
      <c r="B26" s="49" t="inlineStr">
        <is>
          <t>布洛布</t>
        </is>
      </c>
      <c r="C26" s="49" t="inlineStr">
        <is>
          <t>敌人</t>
        </is>
      </c>
      <c r="D26" s="62" t="inlineStr">
        <is>
          <t>normal_melee</t>
        </is>
      </c>
      <c r="E26" s="62" t="inlineStr">
        <is>
          <t>egt_blobulon</t>
        </is>
      </c>
      <c r="F26" s="62" t="inlineStr">
        <is>
          <t>root_3d</t>
        </is>
      </c>
      <c r="G26" s="49" t="inlineStr">
        <is>
          <t>ENM-MELEE-FUNGBOAR01</t>
        </is>
      </c>
      <c r="H26" s="49" t="inlineStr">
        <is>
          <t>Top3D / local -Z 正面</t>
        </is>
      </c>
      <c r="I26" s="62" t="inlineStr">
        <is>
          <t>default / chase</t>
        </is>
      </c>
      <c r="J26" s="80" t="inlineStr">
        <is>
          <t>远征03 战斗房（spawn_roster 逐房编成）</t>
        </is>
      </c>
      <c r="K26" s="49" t="inlineStr">
        <is>
          <t>程序占位</t>
        </is>
      </c>
      <c r="L26" s="62" t="inlineStr">
        <is>
          <t>P1</t>
        </is>
      </c>
      <c r="M26" s="62" t="inlineStr">
        <is>
          <t>v001</t>
        </is>
      </c>
      <c r="N26" s="49" t="inlineStr">
        <is>
          <t>体型1.00；hp200（进场实测）；伤害17；弹速8 m/s；接触伤害；死亡分裂2只幼体；刻意不染色</t>
        </is>
      </c>
      <c r="O26" s="49" t="inlineStr">
        <is>
          <t>assets/art/enemies/normal_enemy_3d/melee_chaser/runtime/enm_melee_fungboar01_root_top3d.tscn</t>
        </is>
      </c>
      <c r="P26" s="62" t="inlineStr">
        <is>
          <t>docs/v0.1/reference/挺进地牢/第一层怪物数据表.md; docs/v0.1/design/怪物设计.md §T1/§T5</t>
        </is>
      </c>
      <c r="Q26" s="49" t="inlineStr">
        <is>
          <t>布洛布; egt_blobulon; 远征03; EGT第一层复刻</t>
        </is>
      </c>
      <c r="R26" s="49">
        <f>LOWER(TRIM(C26)&amp;"|"&amp;TRIM(D26)&amp;"|"&amp;TRIM(E26)&amp;"|"&amp;TRIM(F26)&amp;"|"&amp;TRIM(H26)&amp;"|"&amp;TRIM(I26))</f>
        <v/>
      </c>
      <c r="S26" s="49">
        <f>IF(COUNTIF($R$6:$R$53,R26)&gt;1,"重复","唯一")</f>
        <v/>
      </c>
      <c r="T26" s="49" t="inlineStr">
        <is>
          <t>—</t>
        </is>
      </c>
      <c r="U26" s="49" t="inlineStr">
        <is>
          <t>Codex</t>
        </is>
      </c>
      <c r="V26" s="79" t="inlineStr">
        <is>
          <t>2026-10-29</t>
        </is>
      </c>
      <c r="W26" s="49" t="inlineStr">
        <is>
          <t>复用 ENM-MELEE-FUNGBOAR01 的表现资产（借皮占位）</t>
        </is>
      </c>
      <c r="X26" s="64" t="inlineStr">
        <is>
          <t>—</t>
        </is>
      </c>
      <c r="Y26" s="80" t="inlineStr">
        <is>
          <t>远征03《挺进地牢》第一层复刻怪（2026-10-29）。**本行是表现层占位**：复用 ENM-MELEE-FUNGBOAR01 的模型/程序壳，尚无自有美术。替换正式美术时**不得改动**：逻辑ID、数值（hp/伤害/速度）、行为键（volley/death_split/death_burst/suicide_rush/support_buff）、体型倍率与染色值 —— 依据 docs/v0.1/design/怪物设计.md §T1~§T3。逐房编成见同文档 §T5（spawn_roster）。</t>
        </is>
      </c>
    </row>
    <row r="27">
      <c r="A27" s="62" t="inlineStr">
        <is>
          <t>ENM-MELEE-BLOBULOID01</t>
        </is>
      </c>
      <c r="B27" s="49" t="inlineStr">
        <is>
          <t>布洛布幼体</t>
        </is>
      </c>
      <c r="C27" s="49" t="inlineStr">
        <is>
          <t>敌人</t>
        </is>
      </c>
      <c r="D27" s="62" t="inlineStr">
        <is>
          <t>normal_melee</t>
        </is>
      </c>
      <c r="E27" s="62" t="inlineStr">
        <is>
          <t>egt_blobuloid</t>
        </is>
      </c>
      <c r="F27" s="62" t="inlineStr">
        <is>
          <t>root_3d</t>
        </is>
      </c>
      <c r="G27" s="49" t="inlineStr">
        <is>
          <t>ENM-MELEE-FUNGBOAR01</t>
        </is>
      </c>
      <c r="H27" s="49" t="inlineStr">
        <is>
          <t>Top3D / local -Z 正面</t>
        </is>
      </c>
      <c r="I27" s="62" t="inlineStr">
        <is>
          <t>default / chase</t>
        </is>
      </c>
      <c r="J27" s="80" t="inlineStr">
        <is>
          <t>远征03 战斗房（spawn_roster 逐房编成）</t>
        </is>
      </c>
      <c r="K27" s="49" t="inlineStr">
        <is>
          <t>程序占位</t>
        </is>
      </c>
      <c r="L27" s="62" t="inlineStr">
        <is>
          <t>P1</t>
        </is>
      </c>
      <c r="M27" s="62" t="inlineStr">
        <is>
          <t>v001</t>
        </is>
      </c>
      <c r="N27" s="49" t="inlineStr">
        <is>
          <t>体型0.62；hp100（进场实测）；伤害17；弹速8 m/s；死亡再分裂2只微体；刻意不染色</t>
        </is>
      </c>
      <c r="O27" s="49" t="inlineStr">
        <is>
          <t>assets/art/enemies/normal_enemy_3d/melee_chaser/runtime/enm_melee_fungboar01_root_top3d.tscn</t>
        </is>
      </c>
      <c r="P27" s="62" t="inlineStr">
        <is>
          <t>docs/v0.1/reference/挺进地牢/第一层怪物数据表.md; docs/v0.1/design/怪物设计.md §T1/§T5</t>
        </is>
      </c>
      <c r="Q27" s="49" t="inlineStr">
        <is>
          <t>布洛布幼体; egt_blobuloid; 远征03; EGT第一层复刻</t>
        </is>
      </c>
      <c r="R27" s="49">
        <f>LOWER(TRIM(C27)&amp;"|"&amp;TRIM(D27)&amp;"|"&amp;TRIM(E27)&amp;"|"&amp;TRIM(F27)&amp;"|"&amp;TRIM(H27)&amp;"|"&amp;TRIM(I27))</f>
        <v/>
      </c>
      <c r="S27" s="49">
        <f>IF(COUNTIF($R$6:$R$53,R27)&gt;1,"重复","唯一")</f>
        <v/>
      </c>
      <c r="T27" s="49" t="inlineStr">
        <is>
          <t>—</t>
        </is>
      </c>
      <c r="U27" s="49" t="inlineStr">
        <is>
          <t>Codex</t>
        </is>
      </c>
      <c r="V27" s="79" t="inlineStr">
        <is>
          <t>2026-10-29</t>
        </is>
      </c>
      <c r="W27" s="49" t="inlineStr">
        <is>
          <t>复用 ENM-MELEE-FUNGBOAR01 的表现资产（借皮占位）</t>
        </is>
      </c>
      <c r="X27" s="64" t="inlineStr">
        <is>
          <t>—</t>
        </is>
      </c>
      <c r="Y27" s="80" t="inlineStr">
        <is>
          <t>远征03《挺进地牢》第一层复刻怪（2026-10-29）。**本行是表现层占位**：复用 ENM-MELEE-FUNGBOAR01 的模型/程序壳，尚无自有美术。替换正式美术时**不得改动**：逻辑ID、数值（hp/伤害/速度）、行为键（volley/death_split/death_burst/suicide_rush/support_buff）、体型倍率与染色值 —— 依据 docs/v0.1/design/怪物设计.md §T1~§T3。逐房编成见同文档 §T5（spawn_roster）。</t>
        </is>
      </c>
    </row>
    <row r="28">
      <c r="A28" s="62" t="inlineStr">
        <is>
          <t>ENM-MELEE-BLOBULIN01</t>
        </is>
      </c>
      <c r="B28" s="49" t="inlineStr">
        <is>
          <t>布洛布微体</t>
        </is>
      </c>
      <c r="C28" s="49" t="inlineStr">
        <is>
          <t>敌人</t>
        </is>
      </c>
      <c r="D28" s="62" t="inlineStr">
        <is>
          <t>normal_melee</t>
        </is>
      </c>
      <c r="E28" s="62" t="inlineStr">
        <is>
          <t>egt_blobulin</t>
        </is>
      </c>
      <c r="F28" s="62" t="inlineStr">
        <is>
          <t>root_3d</t>
        </is>
      </c>
      <c r="G28" s="49" t="inlineStr">
        <is>
          <t>ENM-MELEE-FUNGBOAR01</t>
        </is>
      </c>
      <c r="H28" s="49" t="inlineStr">
        <is>
          <t>Top3D / local -Z 正面</t>
        </is>
      </c>
      <c r="I28" s="62" t="inlineStr">
        <is>
          <t>default / chase</t>
        </is>
      </c>
      <c r="J28" s="80" t="inlineStr">
        <is>
          <t>远征03 战斗房（spawn_roster 逐房编成）</t>
        </is>
      </c>
      <c r="K28" s="49" t="inlineStr">
        <is>
          <t>程序占位</t>
        </is>
      </c>
      <c r="L28" s="62" t="inlineStr">
        <is>
          <t>P1</t>
        </is>
      </c>
      <c r="M28" s="62" t="inlineStr">
        <is>
          <t>v001</t>
        </is>
      </c>
      <c r="N28" s="49" t="inlineStr">
        <is>
          <t>体型0.40；hp10（进场实测）；伤害17；弹速8 m/s；极快接触；分裂终段；刻意不染色</t>
        </is>
      </c>
      <c r="O28" s="49" t="inlineStr">
        <is>
          <t>assets/art/enemies/normal_enemy_3d/melee_chaser/runtime/enm_melee_fungboar01_root_top3d.tscn</t>
        </is>
      </c>
      <c r="P28" s="62" t="inlineStr">
        <is>
          <t>docs/v0.1/reference/挺进地牢/第一层怪物数据表.md; docs/v0.1/design/怪物设计.md §T1/§T5</t>
        </is>
      </c>
      <c r="Q28" s="49" t="inlineStr">
        <is>
          <t>布洛布微体; egt_blobulin; 远征03; EGT第一层复刻</t>
        </is>
      </c>
      <c r="R28" s="49">
        <f>LOWER(TRIM(C28)&amp;"|"&amp;TRIM(D28)&amp;"|"&amp;TRIM(E28)&amp;"|"&amp;TRIM(F28)&amp;"|"&amp;TRIM(H28)&amp;"|"&amp;TRIM(I28))</f>
        <v/>
      </c>
      <c r="S28" s="49">
        <f>IF(COUNTIF($R$6:$R$53,R28)&gt;1,"重复","唯一")</f>
        <v/>
      </c>
      <c r="T28" s="49" t="inlineStr">
        <is>
          <t>—</t>
        </is>
      </c>
      <c r="U28" s="49" t="inlineStr">
        <is>
          <t>Codex</t>
        </is>
      </c>
      <c r="V28" s="79" t="inlineStr">
        <is>
          <t>2026-10-29</t>
        </is>
      </c>
      <c r="W28" s="49" t="inlineStr">
        <is>
          <t>复用 ENM-MELEE-FUNGBOAR01 的表现资产（借皮占位）</t>
        </is>
      </c>
      <c r="X28" s="64" t="inlineStr">
        <is>
          <t>—</t>
        </is>
      </c>
      <c r="Y28" s="80" t="inlineStr">
        <is>
          <t>远征03《挺进地牢》第一层复刻怪（2026-10-29）。**本行是表现层占位**：复用 ENM-MELEE-FUNGBOAR01 的模型/程序壳，尚无自有美术。替换正式美术时**不得改动**：逻辑ID、数值（hp/伤害/速度）、行为键（volley/death_split/death_burst/suicide_rush/support_buff）、体型倍率与染色值 —— 依据 docs/v0.1/design/怪物设计.md §T1~§T3。逐房编成见同文档 §T5（spawn_roster）。</t>
        </is>
      </c>
    </row>
    <row r="29">
      <c r="A29" s="62" t="inlineStr">
        <is>
          <t>ENM-BOMBER-PINHEAD01</t>
        </is>
      </c>
      <c r="B29" s="49" t="inlineStr">
        <is>
          <t>保险销头</t>
        </is>
      </c>
      <c r="C29" s="49" t="inlineStr">
        <is>
          <t>敌人</t>
        </is>
      </c>
      <c r="D29" s="62" t="inlineStr">
        <is>
          <t>normal_bomber</t>
        </is>
      </c>
      <c r="E29" s="62" t="inlineStr">
        <is>
          <t>egt_pinhead</t>
        </is>
      </c>
      <c r="F29" s="62" t="inlineStr">
        <is>
          <t>root</t>
        </is>
      </c>
      <c r="G29" s="49" t="inlineStr">
        <is>
          <t>ENM-BOMBER-FRUIT01</t>
        </is>
      </c>
      <c r="H29" s="49" t="inlineStr">
        <is>
          <t>侧面朝右（可水平翻转）</t>
        </is>
      </c>
      <c r="I29" s="62" t="inlineStr">
        <is>
          <t>default / ranged</t>
        </is>
      </c>
      <c r="J29" s="80" t="inlineStr">
        <is>
          <t>远征03 战斗房（spawn_roster 逐房编成）</t>
        </is>
      </c>
      <c r="K29" s="49" t="inlineStr">
        <is>
          <t>程序占位</t>
        </is>
      </c>
      <c r="L29" s="62" t="inlineStr">
        <is>
          <t>P1</t>
        </is>
      </c>
      <c r="M29" s="62" t="inlineStr">
        <is>
          <t>v001</t>
        </is>
      </c>
      <c r="N29" s="49" t="inlineStr">
        <is>
          <t>体型1.00；hp130（进场实测）；伤害17；弹速8 m/s；扑击后自爆+被打死也炸（17伤/2.6m）；外壳#B84D14</t>
        </is>
      </c>
      <c r="O29" s="49" t="inlineStr"/>
      <c r="P29" s="62" t="inlineStr">
        <is>
          <t>docs/v0.1/reference/挺进地牢/第一层怪物数据表.md; docs/v0.1/design/怪物设计.md §T1/§T5</t>
        </is>
      </c>
      <c r="Q29" s="49" t="inlineStr">
        <is>
          <t>保险销头; egt_pinhead; 远征03; EGT第一层复刻</t>
        </is>
      </c>
      <c r="R29" s="49">
        <f>LOWER(TRIM(C29)&amp;"|"&amp;TRIM(D29)&amp;"|"&amp;TRIM(E29)&amp;"|"&amp;TRIM(F29)&amp;"|"&amp;TRIM(H29)&amp;"|"&amp;TRIM(I29))</f>
        <v/>
      </c>
      <c r="S29" s="49">
        <f>IF(COUNTIF($R$6:$R$53,R29)&gt;1,"重复","唯一")</f>
        <v/>
      </c>
      <c r="T29" s="49" t="inlineStr">
        <is>
          <t>—</t>
        </is>
      </c>
      <c r="U29" s="49" t="inlineStr">
        <is>
          <t>Codex</t>
        </is>
      </c>
      <c r="V29" s="79" t="inlineStr">
        <is>
          <t>2026-10-29</t>
        </is>
      </c>
      <c r="W29" s="49" t="inlineStr">
        <is>
          <t>复用 ENM-BOMBER-FRUIT01 的表现资产（借皮占位）</t>
        </is>
      </c>
      <c r="X29" s="64" t="inlineStr">
        <is>
          <t>—</t>
        </is>
      </c>
      <c r="Y29" s="80" t="inlineStr">
        <is>
          <t>远征03《挺进地牢》第一层复刻怪（2026-10-29）。**本行是表现层占位**：复用 ENM-BOMBER-FRUIT01 的模型/程序壳，尚无自有美术。替换正式美术时**不得改动**：逻辑ID、数值（hp/伤害/速度）、行为键（volley/death_split/death_burst/suicide_rush/support_buff）、体型倍率与染色值 —— 依据 docs/v0.1/design/怪物设计.md §T1~§T3。逐房编成见同文档 §T5（spawn_roster）。</t>
        </is>
      </c>
    </row>
    <row r="30">
      <c r="A30" s="62" t="inlineStr">
        <is>
          <t>ENM-BOMBER-NITRA01</t>
        </is>
      </c>
      <c r="B30" s="49" t="inlineStr">
        <is>
          <t>硝酸怪</t>
        </is>
      </c>
      <c r="C30" s="49" t="inlineStr">
        <is>
          <t>敌人</t>
        </is>
      </c>
      <c r="D30" s="62" t="inlineStr">
        <is>
          <t>normal_bomber</t>
        </is>
      </c>
      <c r="E30" s="62" t="inlineStr">
        <is>
          <t>egt_nitra</t>
        </is>
      </c>
      <c r="F30" s="62" t="inlineStr">
        <is>
          <t>root</t>
        </is>
      </c>
      <c r="G30" s="49" t="inlineStr">
        <is>
          <t>ENM-BOMBER-FRUIT01</t>
        </is>
      </c>
      <c r="H30" s="49" t="inlineStr">
        <is>
          <t>侧面朝右（可水平翻转）</t>
        </is>
      </c>
      <c r="I30" s="62" t="inlineStr">
        <is>
          <t>default / ranged</t>
        </is>
      </c>
      <c r="J30" s="80" t="inlineStr">
        <is>
          <t>远征03 战斗房（spawn_roster 逐房编成）</t>
        </is>
      </c>
      <c r="K30" s="49" t="inlineStr">
        <is>
          <t>程序占位</t>
        </is>
      </c>
      <c r="L30" s="62" t="inlineStr">
        <is>
          <t>P1</t>
        </is>
      </c>
      <c r="M30" s="62" t="inlineStr">
        <is>
          <t>v001</t>
        </is>
      </c>
      <c r="N30" s="49" t="inlineStr">
        <is>
          <t>体型0.90；hp100（进场实测）；伤害17；弹速8 m/s；死亡自爆留伤害场(22伤/3.4m/2s)；外壳#94AD2E</t>
        </is>
      </c>
      <c r="O30" s="49" t="inlineStr"/>
      <c r="P30" s="62" t="inlineStr">
        <is>
          <t>docs/v0.1/reference/挺进地牢/第一层怪物数据表.md; docs/v0.1/design/怪物设计.md §T1/§T5</t>
        </is>
      </c>
      <c r="Q30" s="49" t="inlineStr">
        <is>
          <t>硝酸怪; egt_nitra; 远征03; EGT第一层复刻</t>
        </is>
      </c>
      <c r="R30" s="49">
        <f>LOWER(TRIM(C30)&amp;"|"&amp;TRIM(D30)&amp;"|"&amp;TRIM(E30)&amp;"|"&amp;TRIM(F30)&amp;"|"&amp;TRIM(H30)&amp;"|"&amp;TRIM(I30))</f>
        <v/>
      </c>
      <c r="S30" s="49">
        <f>IF(COUNTIF($R$6:$R$53,R30)&gt;1,"重复","唯一")</f>
        <v/>
      </c>
      <c r="T30" s="49" t="inlineStr">
        <is>
          <t>—</t>
        </is>
      </c>
      <c r="U30" s="49" t="inlineStr">
        <is>
          <t>Codex</t>
        </is>
      </c>
      <c r="V30" s="79" t="inlineStr">
        <is>
          <t>2026-10-29</t>
        </is>
      </c>
      <c r="W30" s="49" t="inlineStr">
        <is>
          <t>复用 ENM-BOMBER-FRUIT01 的表现资产（借皮占位）</t>
        </is>
      </c>
      <c r="X30" s="64" t="inlineStr">
        <is>
          <t>—</t>
        </is>
      </c>
      <c r="Y30" s="80" t="inlineStr">
        <is>
          <t>远征03《挺进地牢》第一层复刻怪（2026-10-29）。**本行是表现层占位**：复用 ENM-BOMBER-FRUIT01 的模型/程序壳，尚无自有美术。替换正式美术时**不得改动**：逻辑ID、数值（hp/伤害/速度）、行为键（volley/death_split/death_burst/suicide_rush/support_buff）、体型倍率与染色值 —— 依据 docs/v0.1/design/怪物设计.md §T1~§T3。逐房编成见同文档 §T5（spawn_roster）。</t>
        </is>
      </c>
    </row>
    <row r="31">
      <c r="A31" s="62" t="inlineStr">
        <is>
          <t>ENM-BOMBER-BULLAT01</t>
        </is>
      </c>
      <c r="B31" s="49" t="inlineStr">
        <is>
          <t>子弹榴弹</t>
        </is>
      </c>
      <c r="C31" s="49" t="inlineStr">
        <is>
          <t>敌人</t>
        </is>
      </c>
      <c r="D31" s="62" t="inlineStr">
        <is>
          <t>normal_bomber</t>
        </is>
      </c>
      <c r="E31" s="62" t="inlineStr">
        <is>
          <t>egt_bullat</t>
        </is>
      </c>
      <c r="F31" s="62" t="inlineStr">
        <is>
          <t>root</t>
        </is>
      </c>
      <c r="G31" s="49" t="inlineStr">
        <is>
          <t>ENM-BOMBER-FRUIT01</t>
        </is>
      </c>
      <c r="H31" s="49" t="inlineStr">
        <is>
          <t>侧面朝右（可水平翻转）</t>
        </is>
      </c>
      <c r="I31" s="62" t="inlineStr">
        <is>
          <t>default / ranged</t>
        </is>
      </c>
      <c r="J31" s="80" t="inlineStr">
        <is>
          <t>远征03 战斗房（spawn_roster 逐房编成）</t>
        </is>
      </c>
      <c r="K31" s="49" t="inlineStr">
        <is>
          <t>程序占位</t>
        </is>
      </c>
      <c r="L31" s="62" t="inlineStr">
        <is>
          <t>P1</t>
        </is>
      </c>
      <c r="M31" s="62" t="inlineStr">
        <is>
          <t>v001</t>
        </is>
      </c>
      <c r="N31" s="49" t="inlineStr">
        <is>
          <t>体型0.55；hp10（进场实测）；伤害17；弹速8 m/s；冲撞命中即自身死亡；外壳#F0CC33；全关最小最快</t>
        </is>
      </c>
      <c r="O31" s="49" t="inlineStr"/>
      <c r="P31" s="62" t="inlineStr">
        <is>
          <t>docs/v0.1/reference/挺进地牢/第一层怪物数据表.md; docs/v0.1/design/怪物设计.md §T1/§T5</t>
        </is>
      </c>
      <c r="Q31" s="49" t="inlineStr">
        <is>
          <t>子弹榴弹; egt_bullat; 远征03; EGT第一层复刻</t>
        </is>
      </c>
      <c r="R31" s="49">
        <f>LOWER(TRIM(C31)&amp;"|"&amp;TRIM(D31)&amp;"|"&amp;TRIM(E31)&amp;"|"&amp;TRIM(F31)&amp;"|"&amp;TRIM(H31)&amp;"|"&amp;TRIM(I31))</f>
        <v/>
      </c>
      <c r="S31" s="49">
        <f>IF(COUNTIF($R$6:$R$53,R31)&gt;1,"重复","唯一")</f>
        <v/>
      </c>
      <c r="T31" s="49" t="inlineStr">
        <is>
          <t>—</t>
        </is>
      </c>
      <c r="U31" s="49" t="inlineStr">
        <is>
          <t>Codex</t>
        </is>
      </c>
      <c r="V31" s="79" t="inlineStr">
        <is>
          <t>2026-10-29</t>
        </is>
      </c>
      <c r="W31" s="49" t="inlineStr">
        <is>
          <t>复用 ENM-BOMBER-FRUIT01 的表现资产（借皮占位）</t>
        </is>
      </c>
      <c r="X31" s="64" t="inlineStr">
        <is>
          <t>—</t>
        </is>
      </c>
      <c r="Y31" s="80" t="inlineStr">
        <is>
          <t>远征03《挺进地牢》第一层复刻怪（2026-10-29）。**本行是表现层占位**：复用 ENM-BOMBER-FRUIT01 的模型/程序壳，尚无自有美术。替换正式美术时**不得改动**：逻辑ID、数值（hp/伤害/速度）、行为键（volley/death_split/death_burst/suicide_rush/support_buff）、体型倍率与染色值 —— 依据 docs/v0.1/design/怪物设计.md §T1~§T3。逐房编成见同文档 §T5（spawn_roster）。</t>
        </is>
      </c>
    </row>
    <row r="32" s="38">
      <c r="A32" s="62" t="inlineStr">
        <is>
          <t>ENM-SUMMON-GUNSINGER01</t>
        </is>
      </c>
      <c r="B32" s="49" t="inlineStr">
        <is>
          <t>枪歌者</t>
        </is>
      </c>
      <c r="C32" s="49" t="inlineStr">
        <is>
          <t>敌人</t>
        </is>
      </c>
      <c r="D32" s="62" t="inlineStr">
        <is>
          <t>normal_summoner</t>
        </is>
      </c>
      <c r="E32" s="62" t="inlineStr">
        <is>
          <t>egt_gunsinger</t>
        </is>
      </c>
      <c r="F32" s="62" t="inlineStr">
        <is>
          <t>root</t>
        </is>
      </c>
      <c r="G32" s="49" t="inlineStr">
        <is>
          <t>ENM-SUMMON-HIVE01</t>
        </is>
      </c>
      <c r="H32" s="49" t="inlineStr">
        <is>
          <t>侧面朝右（可水平翻转）</t>
        </is>
      </c>
      <c r="I32" s="62" t="inlineStr">
        <is>
          <t>default / ranged</t>
        </is>
      </c>
      <c r="J32" s="80" t="inlineStr">
        <is>
          <t>远征03 战斗房（spawn_roster 逐房编成）</t>
        </is>
      </c>
      <c r="K32" s="49" t="inlineStr">
        <is>
          <t>程序占位</t>
        </is>
      </c>
      <c r="L32" s="62" t="inlineStr">
        <is>
          <t>P1</t>
        </is>
      </c>
      <c r="M32" s="62" t="inlineStr">
        <is>
          <t>v001</t>
        </is>
      </c>
      <c r="N32" s="49" t="inlineStr">
        <is>
          <t>体型1.30；hp150（进场实测）；伤害0；弹速8 m/s；原地不动且不攻击；给同伴加血+提速；玩家靠近6m或自己受伤则中断施法逃跑2.5s；外壳#A34DD1；全场最大且唯一紫色</t>
        </is>
      </c>
      <c r="O32" s="49" t="inlineStr"/>
      <c r="P32" s="62" t="inlineStr">
        <is>
          <t>docs/v0.1/reference/挺进地牢/第一层怪物数据表.md; docs/v0.1/design/怪物设计.md §T1/§T5</t>
        </is>
      </c>
      <c r="Q32" s="49" t="inlineStr">
        <is>
          <t>枪歌者; egt_gunsinger; 远征03; EGT第一层复刻</t>
        </is>
      </c>
      <c r="R32" s="49">
        <f>LOWER(TRIM(C32)&amp;"|"&amp;TRIM(D32)&amp;"|"&amp;TRIM(E32)&amp;"|"&amp;TRIM(F32)&amp;"|"&amp;TRIM(H32)&amp;"|"&amp;TRIM(I32))</f>
        <v/>
      </c>
      <c r="S32" s="49">
        <f>IF(COUNTIF($R$6:$R$53,R32)&gt;1,"重复","唯一")</f>
        <v/>
      </c>
      <c r="T32" s="49" t="inlineStr">
        <is>
          <t>—</t>
        </is>
      </c>
      <c r="U32" s="49" t="inlineStr">
        <is>
          <t>Codex</t>
        </is>
      </c>
      <c r="V32" s="79" t="inlineStr">
        <is>
          <t>2026-10-29</t>
        </is>
      </c>
      <c r="W32" s="49" t="inlineStr">
        <is>
          <t>复用 ENM-SUMMON-HIVE01 的表现资产（借皮占位）</t>
        </is>
      </c>
      <c r="X32" s="64" t="inlineStr">
        <is>
          <t>—</t>
        </is>
      </c>
      <c r="Y32" s="80" t="inlineStr">
        <is>
          <t>远征03《挺进地牢》第一层复刻怪（2026-10-29）。**本行是表现层占位**：复用 ENM-SUMMON-HIVE01 的模型/程序壳，尚无自有美术。替换正式美术时**不得改动**：逻辑ID、数值（hp/伤害/速度）、行为键（volley/death_split/death_burst/suicide_rush/support_buff）、体型倍率与染色值 —— 依据 docs/v0.1/design/怪物设计.md §T1~§T3。逐房编成见同文档 §T5（spawn_roster）。</t>
        </is>
      </c>
    </row>
    <row r="33" s="38">
      <c r="A33" s="90" t="inlineStr">
        <is>
          <t>ENM-RANGED-CARDINAL01</t>
        </is>
      </c>
      <c r="B33" s="91" t="inlineStr">
        <is>
          <t>红衣主教</t>
        </is>
      </c>
      <c r="C33" s="91" t="inlineStr">
        <is>
          <t>敌人</t>
        </is>
      </c>
      <c r="D33" s="90" t="inlineStr">
        <is>
          <t>normal_ranged</t>
        </is>
      </c>
      <c r="E33" s="90" t="inlineStr">
        <is>
          <t>egt_cardinal</t>
        </is>
      </c>
      <c r="F33" s="90" t="inlineStr">
        <is>
          <t>root_3d</t>
        </is>
      </c>
      <c r="G33" s="91" t="inlineStr">
        <is>
          <t>ENM-RANGED-SPORESHOOTER01</t>
        </is>
      </c>
      <c r="H33" s="91" t="inlineStr">
        <is>
          <t>Top3D / local -Z 正面</t>
        </is>
      </c>
      <c r="I33" s="90" t="inlineStr">
        <is>
          <t>default / ranged</t>
        </is>
      </c>
      <c r="J33" s="92" t="inlineStr">
        <is>
          <t>远征03 战斗房（spawn_roster 逐房编成）</t>
        </is>
      </c>
      <c r="K33" s="91" t="inlineStr">
        <is>
          <t>程序占位</t>
        </is>
      </c>
      <c r="L33" s="90" t="inlineStr">
        <is>
          <t>P1</t>
        </is>
      </c>
      <c r="M33" s="90" t="inlineStr">
        <is>
          <t>v001</t>
        </is>
      </c>
      <c r="N33" s="91" t="inlineStr">
        <is>
          <t>体型1.08；hp225（进场实测）；伤害17；弹速8 m/s；单发+每3次改5发追踪弹簇；染色#FF8A9E</t>
        </is>
      </c>
      <c r="O33" s="91" t="inlineStr">
        <is>
          <t>assets/art/enemies/normal_enemy_3d/ranged_caster/runtime/enm_ranged_sporeshooter01_root_top3d.tscn</t>
        </is>
      </c>
      <c r="P33" s="90" t="inlineStr">
        <is>
          <t>docs/v0.1/reference/挺进地牢/第一层怪物数据表.md; docs/v0.1/design/怪物设计.md §T1/§T5</t>
        </is>
      </c>
      <c r="Q33" s="91" t="inlineStr">
        <is>
          <t>红衣主教; egt_cardinal; 远征03; EGT第一层复刻</t>
        </is>
      </c>
      <c r="R33" s="91">
        <f>LOWER(TRIM(C33)&amp;"|"&amp;TRIM(D33)&amp;"|"&amp;TRIM(E33)&amp;"|"&amp;TRIM(F33)&amp;"|"&amp;TRIM(H33)&amp;"|"&amp;TRIM(I33))</f>
        <v/>
      </c>
      <c r="S33" s="91">
        <f>IF(COUNTIF($R$6:$R$53,R33)&gt;1,"重复","唯一")</f>
        <v/>
      </c>
      <c r="T33" s="91" t="inlineStr">
        <is>
          <t>—</t>
        </is>
      </c>
      <c r="U33" s="91" t="inlineStr">
        <is>
          <t>Codex</t>
        </is>
      </c>
      <c r="V33" s="93" t="inlineStr">
        <is>
          <t>2026-10-29</t>
        </is>
      </c>
      <c r="W33" s="91" t="inlineStr">
        <is>
          <t>复用 ENM-RANGED-SPORESHOOTER01 的表现资产（借皮占位）</t>
        </is>
      </c>
      <c r="X33" s="94" t="inlineStr">
        <is>
          <t>—</t>
        </is>
      </c>
      <c r="Y33" s="92" t="inlineStr">
        <is>
          <t>远征03《挺进地牢》第一层复刻怪（2026-10-29 第二批）。**本行是表现层占位**：复用 ENM-RANGED-SPORESHOOTER01 的模型/程序壳，尚无自有美术。替换正式美术时**不得改动**：逻辑ID、数值（hp/伤害/速度）、行为键（volley/volley_alt/blink）、体型倍率与染色值 —— 依据 docs/v0.1/design/怪物设计.md §T1~§T3。逐房编成见同文档 §T5；明确没做到原作的六处见 §T6。</t>
        </is>
      </c>
    </row>
    <row r="34" s="38">
      <c r="A34" s="90" t="inlineStr">
        <is>
          <t>ENM-RANGED-HOLLOWPOINT01</t>
        </is>
      </c>
      <c r="B34" s="91" t="inlineStr">
        <is>
          <t>空尖弹</t>
        </is>
      </c>
      <c r="C34" s="91" t="inlineStr">
        <is>
          <t>敌人</t>
        </is>
      </c>
      <c r="D34" s="90" t="inlineStr">
        <is>
          <t>normal_ranged</t>
        </is>
      </c>
      <c r="E34" s="90" t="inlineStr">
        <is>
          <t>egt_hollowpoint</t>
        </is>
      </c>
      <c r="F34" s="90" t="inlineStr">
        <is>
          <t>root_3d</t>
        </is>
      </c>
      <c r="G34" s="91" t="inlineStr">
        <is>
          <t>ENM-RANGED-SPORESHOOTER01</t>
        </is>
      </c>
      <c r="H34" s="91" t="inlineStr">
        <is>
          <t>Top3D / local -Z 正面</t>
        </is>
      </c>
      <c r="I34" s="90" t="inlineStr">
        <is>
          <t>default / ranged</t>
        </is>
      </c>
      <c r="J34" s="92" t="inlineStr">
        <is>
          <t>远征03 战斗房（spawn_roster 逐房编成）</t>
        </is>
      </c>
      <c r="K34" s="91" t="inlineStr">
        <is>
          <t>程序占位</t>
        </is>
      </c>
      <c r="L34" s="90" t="inlineStr">
        <is>
          <t>P1</t>
        </is>
      </c>
      <c r="M34" s="90" t="inlineStr">
        <is>
          <t>v001</t>
        </is>
      </c>
      <c r="N34" s="91" t="inlineStr">
        <is>
          <t>体型1.12；hp250（进场实测）；伤害17；弹速10 m/s；4连发高射速+每2.8s瞬移换位；染色#D69EFF</t>
        </is>
      </c>
      <c r="O34" s="91" t="inlineStr">
        <is>
          <t>assets/art/enemies/normal_enemy_3d/ranged_caster/runtime/enm_ranged_sporeshooter01_root_top3d.tscn</t>
        </is>
      </c>
      <c r="P34" s="90" t="inlineStr">
        <is>
          <t>docs/v0.1/reference/挺进地牢/第一层怪物数据表.md; docs/v0.1/design/怪物设计.md §T1/§T5</t>
        </is>
      </c>
      <c r="Q34" s="91" t="inlineStr">
        <is>
          <t>空尖弹; egt_hollowpoint; 远征03; EGT第一层复刻</t>
        </is>
      </c>
      <c r="R34" s="91">
        <f>LOWER(TRIM(C34)&amp;"|"&amp;TRIM(D34)&amp;"|"&amp;TRIM(E34)&amp;"|"&amp;TRIM(F34)&amp;"|"&amp;TRIM(H34)&amp;"|"&amp;TRIM(I34))</f>
        <v/>
      </c>
      <c r="S34" s="91">
        <f>IF(COUNTIF($R$6:$R$53,R34)&gt;1,"重复","唯一")</f>
        <v/>
      </c>
      <c r="T34" s="91" t="inlineStr">
        <is>
          <t>—</t>
        </is>
      </c>
      <c r="U34" s="91" t="inlineStr">
        <is>
          <t>Codex</t>
        </is>
      </c>
      <c r="V34" s="93" t="inlineStr">
        <is>
          <t>2026-10-29</t>
        </is>
      </c>
      <c r="W34" s="91" t="inlineStr">
        <is>
          <t>复用 ENM-RANGED-SPORESHOOTER01 的表现资产（借皮占位）</t>
        </is>
      </c>
      <c r="X34" s="94" t="inlineStr">
        <is>
          <t>—</t>
        </is>
      </c>
      <c r="Y34" s="92" t="inlineStr">
        <is>
          <t>远征03《挺进地牢》第一层复刻怪（2026-10-29 第二批）。**本行是表现层占位**：复用 ENM-RANGED-SPORESHOOTER01 的模型/程序壳，尚无自有美术。替换正式美术时**不得改动**：逻辑ID、数值（hp/伤害/速度）、行为键（volley/blink/hover）、体型倍率与染色值 —— 依据 docs/v0.1/design/怪物设计.md §T1~§T3。逐房编成见同文档 §T5；明确没做到原作的六处见 §T6。</t>
        </is>
      </c>
    </row>
    <row r="35" s="38">
      <c r="A35" s="90" t="inlineStr">
        <is>
          <t>ENM-RANGED-VETSHOTGUN01</t>
        </is>
      </c>
      <c r="B35" s="91" t="inlineStr">
        <is>
          <t>老兵霰弹枪小子</t>
        </is>
      </c>
      <c r="C35" s="91" t="inlineStr">
        <is>
          <t>敌人</t>
        </is>
      </c>
      <c r="D35" s="90" t="inlineStr">
        <is>
          <t>normal_ranged</t>
        </is>
      </c>
      <c r="E35" s="90" t="inlineStr">
        <is>
          <t>egt_veteran_shotgun</t>
        </is>
      </c>
      <c r="F35" s="90" t="inlineStr">
        <is>
          <t>root_3d</t>
        </is>
      </c>
      <c r="G35" s="91" t="inlineStr">
        <is>
          <t>ENM-RANGED-SPORESHOOTER01</t>
        </is>
      </c>
      <c r="H35" s="91" t="inlineStr">
        <is>
          <t>Top3D / local -Z 正面</t>
        </is>
      </c>
      <c r="I35" s="90" t="inlineStr">
        <is>
          <t>default / ranged</t>
        </is>
      </c>
      <c r="J35" s="92" t="inlineStr">
        <is>
          <t>远征03 战斗房（spawn_roster 逐房编成）</t>
        </is>
      </c>
      <c r="K35" s="91" t="inlineStr">
        <is>
          <t>程序占位</t>
        </is>
      </c>
      <c r="L35" s="90" t="inlineStr">
        <is>
          <t>P1</t>
        </is>
      </c>
      <c r="M35" s="90" t="inlineStr">
        <is>
          <t>v001</t>
        </is>
      </c>
      <c r="N35" s="91" t="inlineStr">
        <is>
          <t>体型1.14；hp338（进场实测）；伤害17；弹速10 m/s；预判1.00；V型5发（100%预判）；死亡必定全向喷12发；染色#FFD65C</t>
        </is>
      </c>
      <c r="O35" s="91" t="inlineStr">
        <is>
          <t>assets/art/enemies/normal_enemy_3d/ranged_caster/runtime/enm_ranged_sporeshooter01_root_top3d.tscn</t>
        </is>
      </c>
      <c r="P35" s="90" t="inlineStr">
        <is>
          <t>docs/v0.1/reference/挺进地牢/第一层怪物数据表.md; docs/v0.1/design/怪物设计.md §T1/§T5</t>
        </is>
      </c>
      <c r="Q35" s="91" t="inlineStr">
        <is>
          <t>老兵霰弹枪小子; egt_veteran_shotgun; 远征03; EGT第一层复刻</t>
        </is>
      </c>
      <c r="R35" s="91">
        <f>LOWER(TRIM(C35)&amp;"|"&amp;TRIM(D35)&amp;"|"&amp;TRIM(E35)&amp;"|"&amp;TRIM(F35)&amp;"|"&amp;TRIM(H35)&amp;"|"&amp;TRIM(I35))</f>
        <v/>
      </c>
      <c r="S35" s="91">
        <f>IF(COUNTIF($R$6:$R$53,R35)&gt;1,"重复","唯一")</f>
        <v/>
      </c>
      <c r="T35" s="91" t="inlineStr">
        <is>
          <t>—</t>
        </is>
      </c>
      <c r="U35" s="91" t="inlineStr">
        <is>
          <t>Codex</t>
        </is>
      </c>
      <c r="V35" s="93" t="inlineStr">
        <is>
          <t>2026-10-29</t>
        </is>
      </c>
      <c r="W35" s="91" t="inlineStr">
        <is>
          <t>复用 ENM-RANGED-SPORESHOOTER01 的表现资产（借皮占位）</t>
        </is>
      </c>
      <c r="X35" s="94" t="inlineStr">
        <is>
          <t>—</t>
        </is>
      </c>
      <c r="Y35" s="92" t="inlineStr">
        <is>
          <t>远征03《挺进地牢》第一层复刻怪（2026-10-29 第二批）。**本行是表现层占位**：复用 ENM-RANGED-SPORESHOOTER01 的模型/程序壳，尚无自有美术。替换正式美术时**不得改动**：逻辑ID、数值（hp/伤害/速度）、行为键（volley/death_burst）、体型倍率与染色值 —— 依据 docs/v0.1/design/怪物设计.md §T1~§T3。逐房编成见同文档 §T5；明确没做到原作的六处见 §T6。</t>
        </is>
      </c>
    </row>
    <row r="36" s="38">
      <c r="A36" s="90" t="inlineStr">
        <is>
          <t>ENM-BOMBER-KINGBULLAT01</t>
        </is>
      </c>
      <c r="B36" s="91" t="inlineStr">
        <is>
          <t>子弹榴弹王</t>
        </is>
      </c>
      <c r="C36" s="91" t="inlineStr">
        <is>
          <t>敌人</t>
        </is>
      </c>
      <c r="D36" s="90" t="inlineStr">
        <is>
          <t>normal_bomber</t>
        </is>
      </c>
      <c r="E36" s="90" t="inlineStr">
        <is>
          <t>egt_king_bullat</t>
        </is>
      </c>
      <c r="F36" s="90" t="inlineStr">
        <is>
          <t>root</t>
        </is>
      </c>
      <c r="G36" s="91" t="inlineStr">
        <is>
          <t>ENM-BOMBER-FRUIT01</t>
        </is>
      </c>
      <c r="H36" s="91" t="inlineStr">
        <is>
          <t>侧面朝右（可水平翻转）</t>
        </is>
      </c>
      <c r="I36" s="90" t="inlineStr">
        <is>
          <t>default / ranged</t>
        </is>
      </c>
      <c r="J36" s="92" t="inlineStr">
        <is>
          <t>远征03 战斗房（spawn_roster 逐房编成）</t>
        </is>
      </c>
      <c r="K36" s="91" t="inlineStr">
        <is>
          <t>程序占位</t>
        </is>
      </c>
      <c r="L36" s="90" t="inlineStr">
        <is>
          <t>P1</t>
        </is>
      </c>
      <c r="M36" s="90" t="inlineStr">
        <is>
          <t>v001</t>
        </is>
      </c>
      <c r="N36" s="91" t="inlineStr">
        <is>
          <t>体型1.12；hp260（进场实测）；伤害17；弹速6 m/s；原地漂浮不追人；全向8发弹跳弹(反弹3次)；死亡产2子弹榴弹+2霰弹榴弹；外壳#9E6BC7</t>
        </is>
      </c>
      <c r="O36" s="91" t="n"/>
      <c r="P36" s="90" t="inlineStr">
        <is>
          <t>docs/v0.1/reference/挺进地牢/第一层怪物数据表.md; docs/v0.1/design/怪物设计.md §T1/§T5</t>
        </is>
      </c>
      <c r="Q36" s="91" t="inlineStr">
        <is>
          <t>子弹榴弹王; egt_king_bullat; 远征03; EGT第一层复刻</t>
        </is>
      </c>
      <c r="R36" s="91">
        <f>LOWER(TRIM(C36)&amp;"|"&amp;TRIM(D36)&amp;"|"&amp;TRIM(E36)&amp;"|"&amp;TRIM(F36)&amp;"|"&amp;TRIM(H36)&amp;"|"&amp;TRIM(I36))</f>
        <v/>
      </c>
      <c r="S36" s="91">
        <f>IF(COUNTIF($R$6:$R$53,R36)&gt;1,"重复","唯一")</f>
        <v/>
      </c>
      <c r="T36" s="91" t="inlineStr">
        <is>
          <t>—</t>
        </is>
      </c>
      <c r="U36" s="91" t="inlineStr">
        <is>
          <t>Codex</t>
        </is>
      </c>
      <c r="V36" s="93" t="inlineStr">
        <is>
          <t>2026-10-29</t>
        </is>
      </c>
      <c r="W36" s="91" t="inlineStr">
        <is>
          <t>复用 ENM-BOMBER-FRUIT01 的表现资产（借皮占位）</t>
        </is>
      </c>
      <c r="X36" s="94" t="inlineStr">
        <is>
          <t>—</t>
        </is>
      </c>
      <c r="Y36" s="92" t="inlineStr">
        <is>
          <t>远征03《挺进地牢》第一层复刻怪（2026-10-29 第二批）。**本行是表现层占位**：复用 ENM-BOMBER-FRUIT01 的模型/程序壳，尚无自有美术。替换正式美术时**不得改动**：逻辑ID、数值（hp/伤害/速度）、行为键（volley/death_split(children)）、体型倍率与染色值 —— 依据 docs/v0.1/design/怪物设计.md §T1~§T3。逐房编成见同文档 §T5；明确没做到原作的六处见 §T6。</t>
        </is>
      </c>
    </row>
    <row r="37" s="38">
      <c r="A37" s="90" t="inlineStr">
        <is>
          <t>ENM-MELEE-CHANCEBULON01</t>
        </is>
      </c>
      <c r="B37" s="91" t="inlineStr">
        <is>
          <t>骰子布洛布</t>
        </is>
      </c>
      <c r="C37" s="91" t="inlineStr">
        <is>
          <t>敌人</t>
        </is>
      </c>
      <c r="D37" s="90" t="inlineStr">
        <is>
          <t>normal_melee</t>
        </is>
      </c>
      <c r="E37" s="90" t="inlineStr">
        <is>
          <t>egt_chancebulon</t>
        </is>
      </c>
      <c r="F37" s="90" t="inlineStr">
        <is>
          <t>root_3d</t>
        </is>
      </c>
      <c r="G37" s="91" t="inlineStr">
        <is>
          <t>ENM-MELEE-FUNGBOAR01</t>
        </is>
      </c>
      <c r="H37" s="91" t="inlineStr">
        <is>
          <t>Top3D / local -Z 正面</t>
        </is>
      </c>
      <c r="I37" s="90" t="inlineStr">
        <is>
          <t>default / chase</t>
        </is>
      </c>
      <c r="J37" s="92" t="inlineStr">
        <is>
          <t>远征03 战斗房（spawn_roster 逐房编成）</t>
        </is>
      </c>
      <c r="K37" s="91" t="inlineStr">
        <is>
          <t>程序占位</t>
        </is>
      </c>
      <c r="L37" s="90" t="inlineStr">
        <is>
          <t>P1</t>
        </is>
      </c>
      <c r="M37" s="90" t="inlineStr">
        <is>
          <t>v001</t>
        </is>
      </c>
      <c r="N37" s="91" t="inlineStr">
        <is>
          <t>体型1.10；hp500（进场实测）；伤害17；弹速8 m/s；随机借用同族招式；20%概率不攻击直接死；染色#FFE094</t>
        </is>
      </c>
      <c r="O37" s="91" t="inlineStr">
        <is>
          <t>assets/art/enemies/normal_enemy_3d/melee_chaser/runtime/enm_melee_fungboar01_root_top3d.tscn</t>
        </is>
      </c>
      <c r="P37" s="90" t="inlineStr">
        <is>
          <t>docs/v0.1/reference/挺进地牢/第一层怪物数据表.md; docs/v0.1/design/怪物设计.md §T1/§T5</t>
        </is>
      </c>
      <c r="Q37" s="91" t="inlineStr">
        <is>
          <t>骰子布洛布; egt_chancebulon; 远征03; EGT第一层复刻</t>
        </is>
      </c>
      <c r="R37" s="91">
        <f>LOWER(TRIM(C37)&amp;"|"&amp;TRIM(D37)&amp;"|"&amp;TRIM(E37)&amp;"|"&amp;TRIM(F37)&amp;"|"&amp;TRIM(H37)&amp;"|"&amp;TRIM(I37))</f>
        <v/>
      </c>
      <c r="S37" s="91">
        <f>IF(COUNTIF($R$6:$R$53,R37)&gt;1,"重复","唯一")</f>
        <v/>
      </c>
      <c r="T37" s="91" t="inlineStr">
        <is>
          <t>—</t>
        </is>
      </c>
      <c r="U37" s="91" t="inlineStr">
        <is>
          <t>Codex</t>
        </is>
      </c>
      <c r="V37" s="93" t="inlineStr">
        <is>
          <t>2026-10-29</t>
        </is>
      </c>
      <c r="W37" s="91" t="inlineStr">
        <is>
          <t>复用 ENM-MELEE-FUNGBOAR01 的表现资产（借皮占位）</t>
        </is>
      </c>
      <c r="X37" s="94" t="inlineStr">
        <is>
          <t>—</t>
        </is>
      </c>
      <c r="Y37" s="92" t="inlineStr">
        <is>
          <t>远征03《挺进地牢》第一层复刻怪（2026-10-29 第二批）。**本行是表现层占位**：复用 ENM-MELEE-FUNGBOAR01 的模型/程序壳，尚无自有美术。替换正式美术时**不得改动**：逻辑ID、数值（hp/伤害/速度）、行为键（chance_moves）、体型倍率与染色值 —— 依据 docs/v0.1/design/怪物设计.md §T1~§T3。逐房编成见同文档 §T5；明确没做到原作的六处见 §T6。</t>
        </is>
      </c>
    </row>
    <row r="38" s="38">
      <c r="A38" s="90" t="inlineStr">
        <is>
          <t>ENM-SUMMON-BOOKLLET01</t>
        </is>
      </c>
      <c r="B38" s="91" t="inlineStr">
        <is>
          <t>书怪</t>
        </is>
      </c>
      <c r="C38" s="91" t="inlineStr">
        <is>
          <t>敌人</t>
        </is>
      </c>
      <c r="D38" s="90" t="inlineStr">
        <is>
          <t>normal_summoner</t>
        </is>
      </c>
      <c r="E38" s="90" t="inlineStr">
        <is>
          <t>egt_bookllet</t>
        </is>
      </c>
      <c r="F38" s="90" t="inlineStr">
        <is>
          <t>root</t>
        </is>
      </c>
      <c r="G38" s="91" t="inlineStr">
        <is>
          <t>ENM-SUMMON-HIVE01</t>
        </is>
      </c>
      <c r="H38" s="91" t="inlineStr">
        <is>
          <t>侧面朝右（可水平翻转）</t>
        </is>
      </c>
      <c r="I38" s="90" t="inlineStr">
        <is>
          <t>default / ranged</t>
        </is>
      </c>
      <c r="J38" s="92" t="inlineStr">
        <is>
          <t>远征03 战斗房（spawn_roster 逐房编成）</t>
        </is>
      </c>
      <c r="K38" s="91" t="inlineStr">
        <is>
          <t>程序占位</t>
        </is>
      </c>
      <c r="L38" s="90" t="inlineStr">
        <is>
          <t>P1</t>
        </is>
      </c>
      <c r="M38" s="90" t="inlineStr">
        <is>
          <t>v001</t>
        </is>
      </c>
      <c r="N38" s="91" t="inlineStr">
        <is>
          <t>体型1.00；hp250（进场实测）；伤害17；弹速8 m/s；字母弹R(10笔逐笔画出)；外壳#E6E0CC</t>
        </is>
      </c>
      <c r="O38" s="91" t="n"/>
      <c r="P38" s="90" t="inlineStr">
        <is>
          <t>docs/v0.1/reference/挺进地牢/第一层怪物数据表.md; docs/v0.1/design/怪物设计.md §T1/§T5</t>
        </is>
      </c>
      <c r="Q38" s="91" t="inlineStr">
        <is>
          <t>书怪; egt_bookllet; 远征03; EGT第一层复刻</t>
        </is>
      </c>
      <c r="R38" s="91">
        <f>LOWER(TRIM(C38)&amp;"|"&amp;TRIM(D38)&amp;"|"&amp;TRIM(E38)&amp;"|"&amp;TRIM(F38)&amp;"|"&amp;TRIM(H38)&amp;"|"&amp;TRIM(I38))</f>
        <v/>
      </c>
      <c r="S38" s="91">
        <f>IF(COUNTIF($R$6:$R$53,R38)&gt;1,"重复","唯一")</f>
        <v/>
      </c>
      <c r="T38" s="91" t="inlineStr">
        <is>
          <t>—</t>
        </is>
      </c>
      <c r="U38" s="91" t="inlineStr">
        <is>
          <t>Codex</t>
        </is>
      </c>
      <c r="V38" s="93" t="inlineStr">
        <is>
          <t>2026-10-29</t>
        </is>
      </c>
      <c r="W38" s="91" t="inlineStr">
        <is>
          <t>复用 ENM-SUMMON-HIVE01 的表现资产（借皮占位）</t>
        </is>
      </c>
      <c r="X38" s="94" t="inlineStr">
        <is>
          <t>—</t>
        </is>
      </c>
      <c r="Y38" s="92" t="inlineStr">
        <is>
          <t>远征03《挺进地牢》第一层复刻怪（2026-10-29 第二批）。**本行是表现层占位**：复用 ENM-SUMMON-HIVE01 的模型/程序壳，尚无自有美术。替换正式美术时**不得改动**：逻辑ID、数值（hp/伤害/速度）、行为键（volley(letter)/hover）、体型倍率与染色值 —— 依据 docs/v0.1/design/怪物设计.md §T1~§T3。逐房编成见同文档 §T5；明确没做到原作的六处见 §T6。</t>
        </is>
      </c>
    </row>
    <row r="39" s="38">
      <c r="A39" s="90" t="inlineStr">
        <is>
          <t>ENM-SUMMON-BLUEBOOK01</t>
        </is>
      </c>
      <c r="B39" s="91" t="inlineStr">
        <is>
          <t>蓝书怪</t>
        </is>
      </c>
      <c r="C39" s="91" t="inlineStr">
        <is>
          <t>敌人</t>
        </is>
      </c>
      <c r="D39" s="90" t="inlineStr">
        <is>
          <t>normal_summoner</t>
        </is>
      </c>
      <c r="E39" s="90" t="inlineStr">
        <is>
          <t>egt_blue_bookllet</t>
        </is>
      </c>
      <c r="F39" s="90" t="inlineStr">
        <is>
          <t>root</t>
        </is>
      </c>
      <c r="G39" s="91" t="inlineStr">
        <is>
          <t>ENM-SUMMON-HIVE01</t>
        </is>
      </c>
      <c r="H39" s="91" t="inlineStr">
        <is>
          <t>侧面朝右（可水平翻转）</t>
        </is>
      </c>
      <c r="I39" s="90" t="inlineStr">
        <is>
          <t>default / ranged</t>
        </is>
      </c>
      <c r="J39" s="92" t="inlineStr">
        <is>
          <t>远征03 战斗房（spawn_roster 逐房编成）</t>
        </is>
      </c>
      <c r="K39" s="91" t="inlineStr">
        <is>
          <t>程序占位</t>
        </is>
      </c>
      <c r="L39" s="90" t="inlineStr">
        <is>
          <t>P1</t>
        </is>
      </c>
      <c r="M39" s="90" t="inlineStr">
        <is>
          <t>v001</t>
        </is>
      </c>
      <c r="N39" s="91" t="inlineStr">
        <is>
          <t>体型1.06；hp250（进场实测）；伤害17；弹速8 m/s；字母N+来回脉动双环(8发×2圈)；外壳#70A8FA</t>
        </is>
      </c>
      <c r="O39" s="91" t="n"/>
      <c r="P39" s="90" t="inlineStr">
        <is>
          <t>docs/v0.1/reference/挺进地牢/第一层怪物数据表.md; docs/v0.1/design/怪物设计.md §T1/§T5</t>
        </is>
      </c>
      <c r="Q39" s="91" t="inlineStr">
        <is>
          <t>蓝书怪; egt_blue_bookllet; 远征03; EGT第一层复刻</t>
        </is>
      </c>
      <c r="R39" s="91">
        <f>LOWER(TRIM(C39)&amp;"|"&amp;TRIM(D39)&amp;"|"&amp;TRIM(E39)&amp;"|"&amp;TRIM(F39)&amp;"|"&amp;TRIM(H39)&amp;"|"&amp;TRIM(I39))</f>
        <v/>
      </c>
      <c r="S39" s="91">
        <f>IF(COUNTIF($R$6:$R$53,R39)&gt;1,"重复","唯一")</f>
        <v/>
      </c>
      <c r="T39" s="91" t="inlineStr">
        <is>
          <t>—</t>
        </is>
      </c>
      <c r="U39" s="91" t="inlineStr">
        <is>
          <t>Codex</t>
        </is>
      </c>
      <c r="V39" s="93" t="inlineStr">
        <is>
          <t>2026-10-29</t>
        </is>
      </c>
      <c r="W39" s="91" t="inlineStr">
        <is>
          <t>复用 ENM-SUMMON-HIVE01 的表现资产（借皮占位）</t>
        </is>
      </c>
      <c r="X39" s="94" t="inlineStr">
        <is>
          <t>—</t>
        </is>
      </c>
      <c r="Y39" s="92" t="inlineStr">
        <is>
          <t>远征03《挺进地牢》第一层复刻怪（2026-10-29 第二批）。**本行是表现层占位**：复用 ENM-SUMMON-HIVE01 的模型/程序壳，尚无自有美术。替换正式美术时**不得改动**：逻辑ID、数值（hp/伤害/速度）、行为键（volley(ring+pulse)/volley_alt(letter)/hover）、体型倍率与染色值 —— 依据 docs/v0.1/design/怪物设计.md §T1~§T3。逐房编成见同文档 §T5；明确没做到原作的六处见 §T6。</t>
        </is>
      </c>
    </row>
    <row r="40" s="38">
      <c r="A40" s="90" t="inlineStr">
        <is>
          <t>ENM-SUMMON-GREENBOOK01</t>
        </is>
      </c>
      <c r="B40" s="91" t="inlineStr">
        <is>
          <t>绿书怪</t>
        </is>
      </c>
      <c r="C40" s="91" t="inlineStr">
        <is>
          <t>敌人</t>
        </is>
      </c>
      <c r="D40" s="90" t="inlineStr">
        <is>
          <t>normal_summoner</t>
        </is>
      </c>
      <c r="E40" s="90" t="inlineStr">
        <is>
          <t>egt_green_bookllet</t>
        </is>
      </c>
      <c r="F40" s="90" t="inlineStr">
        <is>
          <t>root</t>
        </is>
      </c>
      <c r="G40" s="91" t="inlineStr">
        <is>
          <t>ENM-SUMMON-HIVE01</t>
        </is>
      </c>
      <c r="H40" s="91" t="inlineStr">
        <is>
          <t>侧面朝右（可水平翻转）</t>
        </is>
      </c>
      <c r="I40" s="90" t="inlineStr">
        <is>
          <t>default / ranged</t>
        </is>
      </c>
      <c r="J40" s="92" t="inlineStr">
        <is>
          <t>远征03 战斗房（spawn_roster 逐房编成）</t>
        </is>
      </c>
      <c r="K40" s="91" t="inlineStr">
        <is>
          <t>程序占位</t>
        </is>
      </c>
      <c r="L40" s="90" t="inlineStr">
        <is>
          <t>P1</t>
        </is>
      </c>
      <c r="M40" s="90" t="inlineStr">
        <is>
          <t>v001</t>
        </is>
      </c>
      <c r="N40" s="91" t="inlineStr">
        <is>
          <t>体型1.12；hp250（进场实测）；伤害17；弹速8 m/s；大型四叶草形弹(4瓣×4发)；外壳#85E07A</t>
        </is>
      </c>
      <c r="O40" s="91" t="n"/>
      <c r="P40" s="90" t="inlineStr">
        <is>
          <t>docs/v0.1/reference/挺进地牢/第一层怪物数据表.md; docs/v0.1/design/怪物设计.md §T1/§T5</t>
        </is>
      </c>
      <c r="Q40" s="91" t="inlineStr">
        <is>
          <t>绿书怪; egt_green_bookllet; 远征03; EGT第一层复刻</t>
        </is>
      </c>
      <c r="R40" s="91">
        <f>LOWER(TRIM(C40)&amp;"|"&amp;TRIM(D40)&amp;"|"&amp;TRIM(E40)&amp;"|"&amp;TRIM(F40)&amp;"|"&amp;TRIM(H40)&amp;"|"&amp;TRIM(I40))</f>
        <v/>
      </c>
      <c r="S40" s="91">
        <f>IF(COUNTIF($R$6:$R$53,R40)&gt;1,"重复","唯一")</f>
        <v/>
      </c>
      <c r="T40" s="91" t="inlineStr">
        <is>
          <t>—</t>
        </is>
      </c>
      <c r="U40" s="91" t="inlineStr">
        <is>
          <t>Codex</t>
        </is>
      </c>
      <c r="V40" s="93" t="inlineStr">
        <is>
          <t>2026-10-29</t>
        </is>
      </c>
      <c r="W40" s="91" t="inlineStr">
        <is>
          <t>复用 ENM-SUMMON-HIVE01 的表现资产（借皮占位）</t>
        </is>
      </c>
      <c r="X40" s="94" t="inlineStr">
        <is>
          <t>—</t>
        </is>
      </c>
      <c r="Y40" s="92" t="inlineStr">
        <is>
          <t>远征03《挺进地牢》第一层复刻怪（2026-10-29 第二批）。**本行是表现层占位**：复用 ENM-SUMMON-HIVE01 的模型/程序壳，尚无自有美术。替换正式美术时**不得改动**：逻辑ID、数值（hp/伤害/速度）、行为键（volley(clover)/hover）、体型倍率与染色值 —— 依据 docs/v0.1/design/怪物设计.md §T1~§T3。逐房编成见同文档 §T5；明确没做到原作的六处见 §T6。</t>
        </is>
      </c>
    </row>
    <row r="41" s="38">
      <c r="A41" s="90" t="inlineStr">
        <is>
          <t>ENM-SUMMON-GUNJURER01</t>
        </is>
      </c>
      <c r="B41" s="91" t="inlineStr">
        <is>
          <t>学徒枪法师</t>
        </is>
      </c>
      <c r="C41" s="91" t="inlineStr">
        <is>
          <t>敌人</t>
        </is>
      </c>
      <c r="D41" s="90" t="inlineStr">
        <is>
          <t>normal_summoner</t>
        </is>
      </c>
      <c r="E41" s="90" t="inlineStr">
        <is>
          <t>egt_gunjurer</t>
        </is>
      </c>
      <c r="F41" s="90" t="inlineStr">
        <is>
          <t>root</t>
        </is>
      </c>
      <c r="G41" s="91" t="inlineStr">
        <is>
          <t>ENM-SUMMON-HIVE01</t>
        </is>
      </c>
      <c r="H41" s="91" t="inlineStr">
        <is>
          <t>侧面朝右（可水平翻转）</t>
        </is>
      </c>
      <c r="I41" s="90" t="inlineStr">
        <is>
          <t>default / ranged</t>
        </is>
      </c>
      <c r="J41" s="92" t="inlineStr">
        <is>
          <t>远征03 战斗房（spawn_roster 逐房编成）</t>
        </is>
      </c>
      <c r="K41" s="91" t="inlineStr">
        <is>
          <t>程序占位</t>
        </is>
      </c>
      <c r="L41" s="90" t="inlineStr">
        <is>
          <t>P1</t>
        </is>
      </c>
      <c r="M41" s="90" t="inlineStr">
        <is>
          <t>v001</t>
        </is>
      </c>
      <c r="N41" s="91" t="inlineStr">
        <is>
          <t>体型1.20；hp188（进场实测）；伤害17；弹速8 m/s；螺旋9发；出手后瞬移换位；外壳#B885FF</t>
        </is>
      </c>
      <c r="O41" s="91" t="n"/>
      <c r="P41" s="90" t="inlineStr">
        <is>
          <t>docs/v0.1/reference/挺进地牢/第一层怪物数据表.md; docs/v0.1/design/怪物设计.md §T1/§T5</t>
        </is>
      </c>
      <c r="Q41" s="91" t="inlineStr">
        <is>
          <t>学徒枪法师; egt_gunjurer; 远征03; EGT第一层复刻</t>
        </is>
      </c>
      <c r="R41" s="91">
        <f>LOWER(TRIM(C41)&amp;"|"&amp;TRIM(D41)&amp;"|"&amp;TRIM(E41)&amp;"|"&amp;TRIM(F41)&amp;"|"&amp;TRIM(H41)&amp;"|"&amp;TRIM(I41))</f>
        <v/>
      </c>
      <c r="S41" s="91">
        <f>IF(COUNTIF($R$6:$R$53,R41)&gt;1,"重复","唯一")</f>
        <v/>
      </c>
      <c r="T41" s="91" t="inlineStr">
        <is>
          <t>—</t>
        </is>
      </c>
      <c r="U41" s="91" t="inlineStr">
        <is>
          <t>Codex</t>
        </is>
      </c>
      <c r="V41" s="93" t="inlineStr">
        <is>
          <t>2026-10-29</t>
        </is>
      </c>
      <c r="W41" s="91" t="inlineStr">
        <is>
          <t>复用 ENM-SUMMON-HIVE01 的表现资产（借皮占位）</t>
        </is>
      </c>
      <c r="X41" s="94" t="inlineStr">
        <is>
          <t>—</t>
        </is>
      </c>
      <c r="Y41" s="92" t="inlineStr">
        <is>
          <t>远征03《挺进地牢》第一层复刻怪（2026-10-29 第二批）。**本行是表现层占位**：复用 ENM-SUMMON-HIVE01 的模型/程序壳，尚无自有美术。替换正式美术时**不得改动**：逻辑ID、数值（hp/伤害/速度）、行为键（volley(spiral)/blink(on_attack)/hover）、体型倍率与染色值 —— 依据 docs/v0.1/design/怪物设计.md §T1~§T3。逐房编成见同文档 §T5；明确没做到原作的六处见 §T6。</t>
        </is>
      </c>
    </row>
    <row r="42" s="38">
      <c r="A42" s="90" t="inlineStr">
        <is>
          <t>ENM-SUMMON-GIGI01</t>
        </is>
      </c>
      <c r="B42" s="91" t="inlineStr">
        <is>
          <t>吉吉</t>
        </is>
      </c>
      <c r="C42" s="91" t="inlineStr">
        <is>
          <t>敌人</t>
        </is>
      </c>
      <c r="D42" s="90" t="inlineStr">
        <is>
          <t>normal_summoner</t>
        </is>
      </c>
      <c r="E42" s="90" t="inlineStr">
        <is>
          <t>egt_gigi</t>
        </is>
      </c>
      <c r="F42" s="90" t="inlineStr">
        <is>
          <t>root</t>
        </is>
      </c>
      <c r="G42" s="91" t="inlineStr">
        <is>
          <t>ENM-SUMMON-HIVE01</t>
        </is>
      </c>
      <c r="H42" s="91" t="inlineStr">
        <is>
          <t>侧面朝右（可水平翻转）</t>
        </is>
      </c>
      <c r="I42" s="90" t="inlineStr">
        <is>
          <t>default / ranged</t>
        </is>
      </c>
      <c r="J42" s="92" t="inlineStr">
        <is>
          <t>远征03 战斗房（spawn_roster 逐房编成）</t>
        </is>
      </c>
      <c r="K42" s="91" t="inlineStr">
        <is>
          <t>程序占位</t>
        </is>
      </c>
      <c r="L42" s="90" t="inlineStr">
        <is>
          <t>P1</t>
        </is>
      </c>
      <c r="M42" s="90" t="inlineStr">
        <is>
          <t>v001</t>
        </is>
      </c>
      <c r="N42" s="91" t="inlineStr">
        <is>
          <t>体型1.10；hp120（进场实测）；伤害17；弹速4.2 m/s；吐蛋→落点炸8发追踪涌动弹；外壳#F5D16B</t>
        </is>
      </c>
      <c r="O42" s="91" t="n"/>
      <c r="P42" s="90" t="inlineStr">
        <is>
          <t>docs/v0.1/reference/挺进地牢/第一层怪物数据表.md; docs/v0.1/design/怪物设计.md §T1/§T5</t>
        </is>
      </c>
      <c r="Q42" s="91" t="inlineStr">
        <is>
          <t>吉吉; egt_gigi; 远征03; EGT第一层复刻</t>
        </is>
      </c>
      <c r="R42" s="91">
        <f>LOWER(TRIM(C42)&amp;"|"&amp;TRIM(D42)&amp;"|"&amp;TRIM(E42)&amp;"|"&amp;TRIM(F42)&amp;"|"&amp;TRIM(H42)&amp;"|"&amp;TRIM(I42))</f>
        <v/>
      </c>
      <c r="S42" s="91">
        <f>IF(COUNTIF($R$6:$R$53,R42)&gt;1,"重复","唯一")</f>
        <v/>
      </c>
      <c r="T42" s="91" t="inlineStr">
        <is>
          <t>—</t>
        </is>
      </c>
      <c r="U42" s="91" t="inlineStr">
        <is>
          <t>Codex</t>
        </is>
      </c>
      <c r="V42" s="93" t="inlineStr">
        <is>
          <t>2026-10-29</t>
        </is>
      </c>
      <c r="W42" s="91" t="inlineStr">
        <is>
          <t>复用 ENM-SUMMON-HIVE01 的表现资产（借皮占位）</t>
        </is>
      </c>
      <c r="X42" s="94" t="inlineStr">
        <is>
          <t>—</t>
        </is>
      </c>
      <c r="Y42" s="92" t="inlineStr">
        <is>
          <t>远征03《挺进地牢》第一层复刻怪（2026-10-29 第二批）。**本行是表现层占位**：复用 ENM-SUMMON-HIVE01 的模型/程序壳，尚无自有美术。替换正式美术时**不得改动**：逻辑ID、数值（hp/伤害/速度）、行为键（volley/egg/hover）、体型倍率与染色值 —— 依据 docs/v0.1/design/怪物设计.md §T1~§T3。逐房编成见同文档 §T5；明确没做到原作的六处见 §T6。</t>
        </is>
      </c>
    </row>
    <row r="43" s="38">
      <c r="A43" s="90" t="inlineStr">
        <is>
          <t>ENM-BOMBER-SHOTGAT01</t>
        </is>
      </c>
      <c r="B43" s="91" t="inlineStr">
        <is>
          <t>霰弹榴弹</t>
        </is>
      </c>
      <c r="C43" s="91" t="inlineStr">
        <is>
          <t>敌人</t>
        </is>
      </c>
      <c r="D43" s="90" t="inlineStr">
        <is>
          <t>normal_bomber</t>
        </is>
      </c>
      <c r="E43" s="90" t="inlineStr">
        <is>
          <t>egt_shotgat</t>
        </is>
      </c>
      <c r="F43" s="90" t="inlineStr">
        <is>
          <t>root</t>
        </is>
      </c>
      <c r="G43" s="91" t="inlineStr">
        <is>
          <t>ENM-BOMBER-FRUIT01</t>
        </is>
      </c>
      <c r="H43" s="91" t="inlineStr">
        <is>
          <t>侧面朝右（可水平翻转）</t>
        </is>
      </c>
      <c r="I43" s="90" t="inlineStr">
        <is>
          <t>default / ranged</t>
        </is>
      </c>
      <c r="J43" s="92" t="inlineStr">
        <is>
          <t>远征03 战斗房（spawn_roster 逐房编成）</t>
        </is>
      </c>
      <c r="K43" s="91" t="inlineStr">
        <is>
          <t>程序占位</t>
        </is>
      </c>
      <c r="L43" s="90" t="inlineStr">
        <is>
          <t>P1</t>
        </is>
      </c>
      <c r="M43" s="90" t="inlineStr">
        <is>
          <t>v001</t>
        </is>
      </c>
      <c r="N43" s="91" t="inlineStr">
        <is>
          <t>体型0.62；hp20（进场实测）；伤害17；弹速8 m/s；冲撞即自身死亡+撞到吐V型2发；外壳#6BC79E</t>
        </is>
      </c>
      <c r="O43" s="91" t="n"/>
      <c r="P43" s="90" t="inlineStr">
        <is>
          <t>docs/v0.1/reference/挺进地牢/第一层怪物数据表.md; docs/v0.1/design/怪物设计.md §T1/§T5</t>
        </is>
      </c>
      <c r="Q43" s="91" t="inlineStr">
        <is>
          <t>霰弹榴弹; egt_shotgat; 远征03; EGT第一层复刻</t>
        </is>
      </c>
      <c r="R43" s="91">
        <f>LOWER(TRIM(C43)&amp;"|"&amp;TRIM(D43)&amp;"|"&amp;TRIM(E43)&amp;"|"&amp;TRIM(F43)&amp;"|"&amp;TRIM(H43)&amp;"|"&amp;TRIM(I43))</f>
        <v/>
      </c>
      <c r="S43" s="91">
        <f>IF(COUNTIF($R$6:$R$53,R43)&gt;1,"重复","唯一")</f>
        <v/>
      </c>
      <c r="T43" s="91" t="inlineStr">
        <is>
          <t>—</t>
        </is>
      </c>
      <c r="U43" s="91" t="inlineStr">
        <is>
          <t>Codex</t>
        </is>
      </c>
      <c r="V43" s="93" t="inlineStr">
        <is>
          <t>2026-10-29</t>
        </is>
      </c>
      <c r="W43" s="91" t="inlineStr">
        <is>
          <t>复用 ENM-BOMBER-FRUIT01 的表现资产（借皮占位）</t>
        </is>
      </c>
      <c r="X43" s="94" t="inlineStr">
        <is>
          <t>—</t>
        </is>
      </c>
      <c r="Y43" s="92" t="inlineStr">
        <is>
          <t>远征03《挺进地牢》第一层复刻怪（2026-10-29 第二批）。**本行是表现层占位**：复用 ENM-BOMBER-FRUIT01 的模型/程序壳，尚无自有美术。替换正式美术时**不得改动**：逻辑ID、数值（hp/伤害/速度）、行为键（suicide_rush(on_hit v)）、体型倍率与染色值 —— 依据 docs/v0.1/design/怪物设计.md §T1~§T3。逐房编成见同文档 §T5；明确没做到原作的六处见 §T6。</t>
        </is>
      </c>
    </row>
    <row r="44" s="38">
      <c r="A44" s="90" t="inlineStr">
        <is>
          <t>ENM-BOMBER-GRENAT01</t>
        </is>
      </c>
      <c r="B44" s="91" t="inlineStr">
        <is>
          <t>榴弹子</t>
        </is>
      </c>
      <c r="C44" s="91" t="inlineStr">
        <is>
          <t>敌人</t>
        </is>
      </c>
      <c r="D44" s="90" t="inlineStr">
        <is>
          <t>normal_bomber</t>
        </is>
      </c>
      <c r="E44" s="90" t="inlineStr">
        <is>
          <t>egt_grenat</t>
        </is>
      </c>
      <c r="F44" s="90" t="inlineStr">
        <is>
          <t>root</t>
        </is>
      </c>
      <c r="G44" s="91" t="inlineStr">
        <is>
          <t>ENM-BOMBER-FRUIT01</t>
        </is>
      </c>
      <c r="H44" s="91" t="inlineStr">
        <is>
          <t>侧面朝右（可水平翻转）</t>
        </is>
      </c>
      <c r="I44" s="90" t="inlineStr">
        <is>
          <t>default / ranged</t>
        </is>
      </c>
      <c r="J44" s="92" t="inlineStr">
        <is>
          <t>远征03 战斗房（spawn_roster 逐房编成）</t>
        </is>
      </c>
      <c r="K44" s="91" t="inlineStr">
        <is>
          <t>程序占位</t>
        </is>
      </c>
      <c r="L44" s="90" t="inlineStr">
        <is>
          <t>P1</t>
        </is>
      </c>
      <c r="M44" s="90" t="inlineStr">
        <is>
          <t>v001</t>
        </is>
      </c>
      <c r="N44" s="91" t="inlineStr">
        <is>
          <t>体型0.70；hp30（进场实测）；伤害17；弹速8 m/s；冲撞即自身死亡+撞到吐1发爆炸弹；外壳#E6571F</t>
        </is>
      </c>
      <c r="O44" s="91" t="n"/>
      <c r="P44" s="90" t="inlineStr">
        <is>
          <t>docs/v0.1/reference/挺进地牢/第一层怪物数据表.md; docs/v0.1/design/怪物设计.md §T1/§T5</t>
        </is>
      </c>
      <c r="Q44" s="91" t="inlineStr">
        <is>
          <t>榴弹子; egt_grenat; 远征03; EGT第一层复刻</t>
        </is>
      </c>
      <c r="R44" s="91">
        <f>LOWER(TRIM(C44)&amp;"|"&amp;TRIM(D44)&amp;"|"&amp;TRIM(E44)&amp;"|"&amp;TRIM(F44)&amp;"|"&amp;TRIM(H44)&amp;"|"&amp;TRIM(I44))</f>
        <v/>
      </c>
      <c r="S44" s="91">
        <f>IF(COUNTIF($R$6:$R$53,R44)&gt;1,"重复","唯一")</f>
        <v/>
      </c>
      <c r="T44" s="91" t="inlineStr">
        <is>
          <t>—</t>
        </is>
      </c>
      <c r="U44" s="91" t="inlineStr">
        <is>
          <t>Codex</t>
        </is>
      </c>
      <c r="V44" s="93" t="inlineStr">
        <is>
          <t>2026-10-29</t>
        </is>
      </c>
      <c r="W44" s="91" t="inlineStr">
        <is>
          <t>复用 ENM-BOMBER-FRUIT01 的表现资产（借皮占位）</t>
        </is>
      </c>
      <c r="X44" s="94" t="inlineStr">
        <is>
          <t>—</t>
        </is>
      </c>
      <c r="Y44" s="92" t="inlineStr">
        <is>
          <t>远征03《挺进地牢》第一层复刻怪（2026-10-29 第二批）。**本行是表现层占位**：复用 ENM-BOMBER-FRUIT01 的模型/程序壳，尚无自有美术。替换正式美术时**不得改动**：逻辑ID、数值（hp/伤害/速度）、行为键（suicide_rush(on_hit explosive)）、体型倍率与染色值 —— 依据 docs/v0.1/design/怪物设计.md §T1~§T3。逐房编成见同文档 §T5；明确没做到原作的六处见 §T6。</t>
        </is>
      </c>
    </row>
    <row r="45" s="38">
      <c r="A45" s="90" t="inlineStr">
        <is>
          <t>ENM-BOMBER-SPIRAT01</t>
        </is>
      </c>
      <c r="B45" s="91" t="inlineStr">
        <is>
          <t>螺旋转弹</t>
        </is>
      </c>
      <c r="C45" s="91" t="inlineStr">
        <is>
          <t>敌人</t>
        </is>
      </c>
      <c r="D45" s="90" t="inlineStr">
        <is>
          <t>normal_bomber</t>
        </is>
      </c>
      <c r="E45" s="90" t="inlineStr">
        <is>
          <t>egt_spirat</t>
        </is>
      </c>
      <c r="F45" s="90" t="inlineStr">
        <is>
          <t>root</t>
        </is>
      </c>
      <c r="G45" s="91" t="inlineStr">
        <is>
          <t>ENM-BOMBER-FRUIT01</t>
        </is>
      </c>
      <c r="H45" s="91" t="inlineStr">
        <is>
          <t>侧面朝右（可水平翻转）</t>
        </is>
      </c>
      <c r="I45" s="90" t="inlineStr">
        <is>
          <t>default / ranged</t>
        </is>
      </c>
      <c r="J45" s="92" t="inlineStr">
        <is>
          <t>远征03 战斗房（spawn_roster 逐房编成）</t>
        </is>
      </c>
      <c r="K45" s="91" t="inlineStr">
        <is>
          <t>程序占位</t>
        </is>
      </c>
      <c r="L45" s="90" t="inlineStr">
        <is>
          <t>P1</t>
        </is>
      </c>
      <c r="M45" s="90" t="inlineStr">
        <is>
          <t>v001</t>
        </is>
      </c>
      <c r="N45" s="91" t="inlineStr">
        <is>
          <t>体型0.78；hp50（进场实测）；伤害17；弹速8 m/s；预判0.75；冲撞即死+中途重定位3次+75%预判，撞墙才停；外壳#5CDBDB</t>
        </is>
      </c>
      <c r="O45" s="91" t="n"/>
      <c r="P45" s="90" t="inlineStr">
        <is>
          <t>docs/v0.1/reference/挺进地牢/第一层怪物数据表.md; docs/v0.1/design/怪物设计.md §T1/§T5</t>
        </is>
      </c>
      <c r="Q45" s="91" t="inlineStr">
        <is>
          <t>螺旋转弹; egt_spirat; 远征03; EGT第一层复刻</t>
        </is>
      </c>
      <c r="R45" s="91">
        <f>LOWER(TRIM(C45)&amp;"|"&amp;TRIM(D45)&amp;"|"&amp;TRIM(E45)&amp;"|"&amp;TRIM(F45)&amp;"|"&amp;TRIM(H45)&amp;"|"&amp;TRIM(I45))</f>
        <v/>
      </c>
      <c r="S45" s="91">
        <f>IF(COUNTIF($R$6:$R$53,R45)&gt;1,"重复","唯一")</f>
        <v/>
      </c>
      <c r="T45" s="91" t="inlineStr">
        <is>
          <t>—</t>
        </is>
      </c>
      <c r="U45" s="91" t="inlineStr">
        <is>
          <t>Codex</t>
        </is>
      </c>
      <c r="V45" s="93" t="inlineStr">
        <is>
          <t>2026-10-29</t>
        </is>
      </c>
      <c r="W45" s="91" t="inlineStr">
        <is>
          <t>复用 ENM-BOMBER-FRUIT01 的表现资产（借皮占位）</t>
        </is>
      </c>
      <c r="X45" s="94" t="inlineStr">
        <is>
          <t>—</t>
        </is>
      </c>
      <c r="Y45" s="92" t="inlineStr">
        <is>
          <t>远征03《挺进地牢》第一层复刻怪（2026-10-29 第二批）。**本行是表现层占位**：复用 ENM-BOMBER-FRUIT01 的模型/程序壳，尚无自有美术。替换正式美术时**不得改动**：逻辑ID、数值（hp/伤害/速度）、行为键（suicide_rush(repositions+predict)）、体型倍率与染色值 —— 依据 docs/v0.1/design/怪物设计.md §T1~§T3。逐房编成见同文档 §T5；明确没做到原作的六处见 §T6。</t>
        </is>
      </c>
    </row>
    <row r="46" s="38">
      <c r="A46" s="90" t="inlineStr">
        <is>
          <t>ENM-MELEE-KEYBULLET01</t>
        </is>
      </c>
      <c r="B46" s="91" t="inlineStr">
        <is>
          <t>钥匙小子</t>
        </is>
      </c>
      <c r="C46" s="91" t="inlineStr">
        <is>
          <t>敌人</t>
        </is>
      </c>
      <c r="D46" s="90" t="inlineStr">
        <is>
          <t>normal_melee</t>
        </is>
      </c>
      <c r="E46" s="90" t="inlineStr">
        <is>
          <t>egt_keybullet_kin</t>
        </is>
      </c>
      <c r="F46" s="90" t="inlineStr">
        <is>
          <t>root_3d</t>
        </is>
      </c>
      <c r="G46" s="91" t="inlineStr">
        <is>
          <t>ENM-MELEE-FUNGBOAR01</t>
        </is>
      </c>
      <c r="H46" s="91" t="inlineStr">
        <is>
          <t>Top3D / local -Z 正面</t>
        </is>
      </c>
      <c r="I46" s="90" t="inlineStr">
        <is>
          <t>default / chase</t>
        </is>
      </c>
      <c r="J46" s="92" t="inlineStr">
        <is>
          <t>远征03 战斗房（spawn_roster 逐房编成）</t>
        </is>
      </c>
      <c r="K46" s="91" t="inlineStr">
        <is>
          <t>程序占位</t>
        </is>
      </c>
      <c r="L46" s="90" t="inlineStr">
        <is>
          <t>P1</t>
        </is>
      </c>
      <c r="M46" s="90" t="inlineStr">
        <is>
          <t>v001</t>
        </is>
      </c>
      <c r="N46" s="91" t="inlineStr">
        <is>
          <t>体型0.86；hp150（进场实测）；伤害17；弹速8 m/s；只逃跑，11s内没打死就传送消失；染色#FFF075</t>
        </is>
      </c>
      <c r="O46" s="91" t="inlineStr">
        <is>
          <t>assets/art/enemies/normal_enemy_3d/melee_chaser/runtime/enm_melee_fungboar01_root_top3d.tscn</t>
        </is>
      </c>
      <c r="P46" s="90" t="inlineStr">
        <is>
          <t>docs/v0.1/reference/挺进地牢/第一层怪物数据表.md; docs/v0.1/design/怪物设计.md §T1/§T5</t>
        </is>
      </c>
      <c r="Q46" s="91" t="inlineStr">
        <is>
          <t>钥匙小子; egt_keybullet_kin; 远征03; EGT第一层复刻</t>
        </is>
      </c>
      <c r="R46" s="91">
        <f>LOWER(TRIM(C46)&amp;"|"&amp;TRIM(D46)&amp;"|"&amp;TRIM(E46)&amp;"|"&amp;TRIM(F46)&amp;"|"&amp;TRIM(H46)&amp;"|"&amp;TRIM(I46))</f>
        <v/>
      </c>
      <c r="S46" s="91">
        <f>IF(COUNTIF($R$6:$R$53,R46)&gt;1,"重复","唯一")</f>
        <v/>
      </c>
      <c r="T46" s="91" t="inlineStr">
        <is>
          <t>—</t>
        </is>
      </c>
      <c r="U46" s="91" t="inlineStr">
        <is>
          <t>Codex</t>
        </is>
      </c>
      <c r="V46" s="93" t="inlineStr">
        <is>
          <t>2026-10-29</t>
        </is>
      </c>
      <c r="W46" s="91" t="inlineStr">
        <is>
          <t>复用 ENM-MELEE-FUNGBOAR01 的表现资产（借皮占位）</t>
        </is>
      </c>
      <c r="X46" s="94" t="inlineStr">
        <is>
          <t>—</t>
        </is>
      </c>
      <c r="Y46" s="92" t="inlineStr">
        <is>
          <t>远征03《挺进地牢》第一层复刻怪（2026-10-29 第二批）。**本行是表现层占位**：复用 ENM-MELEE-FUNGBOAR01 的模型/程序壳，尚无自有美术。替换正式美术时**不得改动**：逻辑ID、数值（hp/伤害/速度）、行为键（flee(不掉钥匙，见 §T6)）、体型倍率与染色值 —— 依据 docs/v0.1/design/怪物设计.md §T1~§T3。逐房编成见同文档 §T5；明确没做到原作的六处见 §T6。</t>
        </is>
      </c>
    </row>
    <row r="47" s="38">
      <c r="A47" s="90" t="inlineStr">
        <is>
          <t>ENM-MELEE-CHANCEKIN01</t>
        </is>
      </c>
      <c r="B47" s="91" t="inlineStr">
        <is>
          <t>运气小子</t>
        </is>
      </c>
      <c r="C47" s="91" t="inlineStr">
        <is>
          <t>敌人</t>
        </is>
      </c>
      <c r="D47" s="90" t="inlineStr">
        <is>
          <t>normal_melee</t>
        </is>
      </c>
      <c r="E47" s="90" t="inlineStr">
        <is>
          <t>egt_chance_kin</t>
        </is>
      </c>
      <c r="F47" s="90" t="inlineStr">
        <is>
          <t>root_3d</t>
        </is>
      </c>
      <c r="G47" s="91" t="inlineStr">
        <is>
          <t>ENM-MELEE-FUNGBOAR01</t>
        </is>
      </c>
      <c r="H47" s="91" t="inlineStr">
        <is>
          <t>Top3D / local -Z 正面</t>
        </is>
      </c>
      <c r="I47" s="90" t="inlineStr">
        <is>
          <t>default / chase</t>
        </is>
      </c>
      <c r="J47" s="92" t="inlineStr">
        <is>
          <t>远征03 战斗房（spawn_roster 逐房编成）</t>
        </is>
      </c>
      <c r="K47" s="91" t="inlineStr">
        <is>
          <t>程序占位</t>
        </is>
      </c>
      <c r="L47" s="90" t="inlineStr">
        <is>
          <t>P1</t>
        </is>
      </c>
      <c r="M47" s="90" t="inlineStr">
        <is>
          <t>v001</t>
        </is>
      </c>
      <c r="N47" s="91" t="inlineStr">
        <is>
          <t>体型0.90；hp150（进场实测）；伤害17；弹速8 m/s；只逃跑，11s超时传送消失；染色#9EF5F5</t>
        </is>
      </c>
      <c r="O47" s="91" t="inlineStr">
        <is>
          <t>assets/art/enemies/normal_enemy_3d/melee_chaser/runtime/enm_melee_fungboar01_root_top3d.tscn</t>
        </is>
      </c>
      <c r="P47" s="90" t="inlineStr">
        <is>
          <t>docs/v0.1/reference/挺进地牢/第一层怪物数据表.md; docs/v0.1/design/怪物设计.md §T1/§T5</t>
        </is>
      </c>
      <c r="Q47" s="91" t="inlineStr">
        <is>
          <t>运气小子; egt_chance_kin; 远征03; EGT第一层复刻</t>
        </is>
      </c>
      <c r="R47" s="91">
        <f>LOWER(TRIM(C47)&amp;"|"&amp;TRIM(D47)&amp;"|"&amp;TRIM(E47)&amp;"|"&amp;TRIM(F47)&amp;"|"&amp;TRIM(H47)&amp;"|"&amp;TRIM(I47))</f>
        <v/>
      </c>
      <c r="S47" s="91">
        <f>IF(COUNTIF($R$6:$R$53,R47)&gt;1,"重复","唯一")</f>
        <v/>
      </c>
      <c r="T47" s="91" t="inlineStr">
        <is>
          <t>—</t>
        </is>
      </c>
      <c r="U47" s="91" t="inlineStr">
        <is>
          <t>Codex</t>
        </is>
      </c>
      <c r="V47" s="93" t="inlineStr">
        <is>
          <t>2026-10-29</t>
        </is>
      </c>
      <c r="W47" s="91" t="inlineStr">
        <is>
          <t>复用 ENM-MELEE-FUNGBOAR01 的表现资产（借皮占位）</t>
        </is>
      </c>
      <c r="X47" s="94" t="inlineStr">
        <is>
          <t>—</t>
        </is>
      </c>
      <c r="Y47" s="92" t="inlineStr">
        <is>
          <t>远征03《挺进地牢》第一层复刻怪（2026-10-29 第二批）。**本行是表现层占位**：复用 ENM-MELEE-FUNGBOAR01 的模型/程序壳，尚无自有美术。替换正式美术时**不得改动**：逻辑ID、数值（hp/伤害/速度）、行为键（flee(不掉拾取，见 §T6)）、体型倍率与染色值 —— 依据 docs/v0.1/design/怪物设计.md §T1~§T3。逐房编成见同文档 §T5；明确没做到原作的六处见 §T6。</t>
        </is>
      </c>
    </row>
    <row r="48" s="38">
      <c r="A48" s="90" t="inlineStr">
        <is>
          <t>ENM-RANGED-CONFIRMED01</t>
        </is>
      </c>
      <c r="B48" s="91" t="inlineStr">
        <is>
          <t>已确认者</t>
        </is>
      </c>
      <c r="C48" s="91" t="inlineStr">
        <is>
          <t>敌人</t>
        </is>
      </c>
      <c r="D48" s="90" t="inlineStr">
        <is>
          <t>normal_ranged</t>
        </is>
      </c>
      <c r="E48" s="90" t="inlineStr">
        <is>
          <t>egt_confirmed</t>
        </is>
      </c>
      <c r="F48" s="90" t="inlineStr">
        <is>
          <t>root_3d</t>
        </is>
      </c>
      <c r="G48" s="91" t="inlineStr">
        <is>
          <t>ENM-RANGED-SPORESHOOTER01</t>
        </is>
      </c>
      <c r="H48" s="91" t="inlineStr">
        <is>
          <t>Top3D / local -Z 正面</t>
        </is>
      </c>
      <c r="I48" s="90" t="inlineStr">
        <is>
          <t>default / ranged</t>
        </is>
      </c>
      <c r="J48" s="92" t="inlineStr">
        <is>
          <t>远征03 战斗房（spawn_roster 逐房编成）</t>
        </is>
      </c>
      <c r="K48" s="91" t="inlineStr">
        <is>
          <t>程序占位</t>
        </is>
      </c>
      <c r="L48" s="90" t="inlineStr">
        <is>
          <t>P1</t>
        </is>
      </c>
      <c r="M48" s="90" t="inlineStr">
        <is>
          <t>v001</t>
        </is>
      </c>
      <c r="N48" s="91" t="inlineStr">
        <is>
          <t>体型1.05；hp450（进场实测）；伤害17；弹速8 m/s；停下时射4条蛇形追踪弹；染色#CC99F0</t>
        </is>
      </c>
      <c r="O48" s="91" t="inlineStr">
        <is>
          <t>assets/art/enemies/normal_enemy_3d/ranged_caster/runtime/enm_ranged_sporeshooter01_root_top3d.tscn</t>
        </is>
      </c>
      <c r="P48" s="90" t="inlineStr">
        <is>
          <t>docs/v0.1/reference/挺进地牢/第一层怪物数据表.md; docs/v0.1/design/怪物设计.md §T1/§T5</t>
        </is>
      </c>
      <c r="Q48" s="91" t="inlineStr">
        <is>
          <t>已确认者; egt_confirmed; 远征03; EGT第一层复刻</t>
        </is>
      </c>
      <c r="R48" s="91">
        <f>LOWER(TRIM(C48)&amp;"|"&amp;TRIM(D48)&amp;"|"&amp;TRIM(E48)&amp;"|"&amp;TRIM(F48)&amp;"|"&amp;TRIM(H48)&amp;"|"&amp;TRIM(I48))</f>
        <v/>
      </c>
      <c r="S48" s="91">
        <f>IF(COUNTIF($R$6:$R$53,R48)&gt;1,"重复","唯一")</f>
        <v/>
      </c>
      <c r="T48" s="91" t="inlineStr">
        <is>
          <t>—</t>
        </is>
      </c>
      <c r="U48" s="91" t="inlineStr">
        <is>
          <t>Codex</t>
        </is>
      </c>
      <c r="V48" s="93" t="inlineStr">
        <is>
          <t>2026-10-29</t>
        </is>
      </c>
      <c r="W48" s="91" t="inlineStr">
        <is>
          <t>复用 ENM-RANGED-SPORESHOOTER01 的表现资产（借皮占位）</t>
        </is>
      </c>
      <c r="X48" s="94" t="inlineStr">
        <is>
          <t>—</t>
        </is>
      </c>
      <c r="Y48" s="92" t="inlineStr">
        <is>
          <t>远征03《挺进地牢》第一层复刻怪（2026-10-29 第二批）。**本行是表现层占位**：复用 ENM-RANGED-SPORESHOOTER01 的模型/程序壳，尚无自有美术。替换正式美术时**不得改动**：逻辑ID、数值（hp/伤害/速度）、行为键（volley(serpentine+homing)）、体型倍率与染色值 —— 依据 docs/v0.1/design/怪物设计.md §T1~§T3。逐房编成见同文档 §T5；明确没做到原作的六处见 §T6。</t>
        </is>
      </c>
    </row>
    <row r="49" s="38">
      <c r="A49" s="90" t="inlineStr">
        <is>
          <t>ENM-NORMAL-MIMIC01</t>
        </is>
      </c>
      <c r="B49" s="91" t="inlineStr">
        <is>
          <t>拟态怪</t>
        </is>
      </c>
      <c r="C49" s="91" t="inlineStr">
        <is>
          <t>敌人</t>
        </is>
      </c>
      <c r="D49" s="90" t="inlineStr">
        <is>
          <t>normal</t>
        </is>
      </c>
      <c r="E49" s="90" t="inlineStr">
        <is>
          <t>egt_mimic</t>
        </is>
      </c>
      <c r="F49" s="90" t="inlineStr">
        <is>
          <t>root_3d</t>
        </is>
      </c>
      <c r="G49" s="91" t="inlineStr">
        <is>
          <t>ENM-NORMAL-FAT-ZOMBIE03</t>
        </is>
      </c>
      <c r="H49" s="91" t="inlineStr">
        <is>
          <t>Top3D / local -Z 正面</t>
        </is>
      </c>
      <c r="I49" s="90" t="inlineStr">
        <is>
          <t>default / ranged</t>
        </is>
      </c>
      <c r="J49" s="92" t="inlineStr">
        <is>
          <t>远征03 战斗房（spawn_roster 逐房编成）</t>
        </is>
      </c>
      <c r="K49" s="91" t="inlineStr">
        <is>
          <t>程序占位</t>
        </is>
      </c>
      <c r="L49" s="90" t="inlineStr">
        <is>
          <t>P1</t>
        </is>
      </c>
      <c r="M49" s="90" t="inlineStr">
        <is>
          <t>v001</t>
        </is>
      </c>
      <c r="N49" s="91" t="inlineStr">
        <is>
          <t>体型1.15；hp1000（进场实测）；伤害17；弹速8 m/s；静止伪装成箱，靠近3.4m或被打才现形；现形后打环弹；染色#FFBD66</t>
        </is>
      </c>
      <c r="O49" s="91" t="inlineStr">
        <is>
          <t>assets/art/enemies/normal_enemy_3d/fat_zombie03/runtime/enm_normal_fat_zombie03_root_top3d.tscn</t>
        </is>
      </c>
      <c r="P49" s="90" t="inlineStr">
        <is>
          <t>docs/v0.1/reference/挺进地牢/第一层怪物数据表.md; docs/v0.1/design/怪物设计.md §T1/§T5</t>
        </is>
      </c>
      <c r="Q49" s="91" t="inlineStr">
        <is>
          <t>拟态怪; egt_mimic; 远征03; EGT第一层复刻</t>
        </is>
      </c>
      <c r="R49" s="91">
        <f>LOWER(TRIM(C49)&amp;"|"&amp;TRIM(D49)&amp;"|"&amp;TRIM(E49)&amp;"|"&amp;TRIM(F49)&amp;"|"&amp;TRIM(H49)&amp;"|"&amp;TRIM(I49))</f>
        <v/>
      </c>
      <c r="S49" s="91">
        <f>IF(COUNTIF($R$6:$R$53,R49)&gt;1,"重复","唯一")</f>
        <v/>
      </c>
      <c r="T49" s="91" t="inlineStr">
        <is>
          <t>—</t>
        </is>
      </c>
      <c r="U49" s="91" t="inlineStr">
        <is>
          <t>Codex</t>
        </is>
      </c>
      <c r="V49" s="93" t="inlineStr">
        <is>
          <t>2026-10-29</t>
        </is>
      </c>
      <c r="W49" s="91" t="inlineStr">
        <is>
          <t>复用 ENM-NORMAL-FAT-ZOMBIE03 的表现资产（借皮占位）</t>
        </is>
      </c>
      <c r="X49" s="94" t="inlineStr">
        <is>
          <t>—</t>
        </is>
      </c>
      <c r="Y49" s="92" t="inlineStr">
        <is>
          <t>远征03《挺进地牢》第一层复刻怪（2026-10-29 第二批）。**本行是表现层占位**：复用 ENM-NORMAL-FAT-ZOMBIE03 的模型/程序壳，尚无自有美术。替换正式美术时**不得改动**：逻辑ID、数值（hp/伤害/速度）、行为键（disguise/volley(ring)/volley_alt）、体型倍率与染色值 —— 依据 docs/v0.1/design/怪物设计.md §T1~§T3。逐房编成见同文档 §T5；明确没做到原作的六处见 §T6。</t>
        </is>
      </c>
    </row>
    <row r="50" s="38">
      <c r="A50" s="90" t="inlineStr">
        <is>
          <t>ENM-RANGED-GUNFAIRY01</t>
        </is>
      </c>
      <c r="B50" s="91" t="inlineStr">
        <is>
          <t>枪精灵</t>
        </is>
      </c>
      <c r="C50" s="91" t="inlineStr">
        <is>
          <t>敌人</t>
        </is>
      </c>
      <c r="D50" s="90" t="inlineStr">
        <is>
          <t>normal_ranged</t>
        </is>
      </c>
      <c r="E50" s="90" t="inlineStr">
        <is>
          <t>egt_gun_fairy</t>
        </is>
      </c>
      <c r="F50" s="90" t="inlineStr">
        <is>
          <t>root_3d</t>
        </is>
      </c>
      <c r="G50" s="91" t="inlineStr">
        <is>
          <t>ENM-RANGED-SPORESHOOTER01</t>
        </is>
      </c>
      <c r="H50" s="91" t="inlineStr">
        <is>
          <t>Top3D / local -Z 正面</t>
        </is>
      </c>
      <c r="I50" s="90" t="inlineStr">
        <is>
          <t>default / ranged</t>
        </is>
      </c>
      <c r="J50" s="92" t="inlineStr">
        <is>
          <t>远征03 战斗房（spawn_roster 逐房编成）</t>
        </is>
      </c>
      <c r="K50" s="91" t="inlineStr">
        <is>
          <t>程序占位</t>
        </is>
      </c>
      <c r="L50" s="90" t="inlineStr">
        <is>
          <t>P1</t>
        </is>
      </c>
      <c r="M50" s="90" t="inlineStr">
        <is>
          <t>v001</t>
        </is>
      </c>
      <c r="N50" s="91" t="inlineStr">
        <is>
          <t>体型0.78；hp150（进场实测）；伤害17；弹速8 m/s；房间内游荡(不贴脸)+3连发高射速；染色#FFF5B8</t>
        </is>
      </c>
      <c r="O50" s="91" t="inlineStr">
        <is>
          <t>assets/art/enemies/normal_enemy_3d/ranged_caster/runtime/enm_ranged_sporeshooter01_root_top3d.tscn</t>
        </is>
      </c>
      <c r="P50" s="90" t="inlineStr">
        <is>
          <t>docs/v0.1/reference/挺进地牢/第一层怪物数据表.md; docs/v0.1/design/怪物设计.md §T1/§T5</t>
        </is>
      </c>
      <c r="Q50" s="91" t="inlineStr">
        <is>
          <t>枪精灵; egt_gun_fairy; 远征03; EGT第一层复刻</t>
        </is>
      </c>
      <c r="R50" s="91">
        <f>LOWER(TRIM(C50)&amp;"|"&amp;TRIM(D50)&amp;"|"&amp;TRIM(E50)&amp;"|"&amp;TRIM(F50)&amp;"|"&amp;TRIM(H50)&amp;"|"&amp;TRIM(I50))</f>
        <v/>
      </c>
      <c r="S50" s="91">
        <f>IF(COUNTIF($R$6:$R$53,R50)&gt;1,"重复","唯一")</f>
        <v/>
      </c>
      <c r="T50" s="91" t="inlineStr">
        <is>
          <t>—</t>
        </is>
      </c>
      <c r="U50" s="91" t="inlineStr">
        <is>
          <t>Codex</t>
        </is>
      </c>
      <c r="V50" s="93" t="inlineStr">
        <is>
          <t>2026-10-29</t>
        </is>
      </c>
      <c r="W50" s="91" t="inlineStr">
        <is>
          <t>复用 ENM-RANGED-SPORESHOOTER01 的表现资产（借皮占位）</t>
        </is>
      </c>
      <c r="X50" s="94" t="inlineStr">
        <is>
          <t>—</t>
        </is>
      </c>
      <c r="Y50" s="92" t="inlineStr">
        <is>
          <t>远征03《挺进地牢》第一层复刻怪（2026-10-29 第二批）。**本行是表现层占位**：复用 ENM-RANGED-SPORESHOOTER01 的模型/程序壳，尚无自有美术。替换正式美术时**不得改动**：逻辑ID、数值（hp/伤害/速度）、行为键（wander/volley/hover）、体型倍率与染色值 —— 依据 docs/v0.1/design/怪物设计.md §T1~§T3。逐房编成见同文档 §T5；明确没做到原作的六处见 §T6。</t>
        </is>
      </c>
    </row>
    <row r="51" s="38">
      <c r="A51" s="90" t="inlineStr">
        <is>
          <t>ENM-SUMMON-GRIPMASTER01</t>
        </is>
      </c>
      <c r="B51" s="91" t="inlineStr">
        <is>
          <t>抓握大师</t>
        </is>
      </c>
      <c r="C51" s="91" t="inlineStr">
        <is>
          <t>敌人</t>
        </is>
      </c>
      <c r="D51" s="90" t="inlineStr">
        <is>
          <t>normal_summoner</t>
        </is>
      </c>
      <c r="E51" s="90" t="inlineStr">
        <is>
          <t>egt_gripmaster</t>
        </is>
      </c>
      <c r="F51" s="90" t="inlineStr">
        <is>
          <t>root</t>
        </is>
      </c>
      <c r="G51" s="91" t="inlineStr">
        <is>
          <t>ENM-SUMMON-HIVE01</t>
        </is>
      </c>
      <c r="H51" s="91" t="inlineStr">
        <is>
          <t>侧面朝右（可水平翻转）</t>
        </is>
      </c>
      <c r="I51" s="90" t="inlineStr">
        <is>
          <t>default / ranged</t>
        </is>
      </c>
      <c r="J51" s="92" t="inlineStr">
        <is>
          <t>远征03 战斗房（spawn_roster 逐房编成）</t>
        </is>
      </c>
      <c r="K51" s="91" t="inlineStr">
        <is>
          <t>程序占位</t>
        </is>
      </c>
      <c r="L51" s="90" t="inlineStr">
        <is>
          <t>P1</t>
        </is>
      </c>
      <c r="M51" s="90" t="inlineStr">
        <is>
          <t>v001</t>
        </is>
      </c>
      <c r="N51" s="91" t="inlineStr">
        <is>
          <t>体型0.98；hp300（进场实测）；伤害0；弹速8 m/s；悬停→闪蓝→下压抓人(0伤害只改位置)；场上还有别人时无敌；外壳#8A7AEB</t>
        </is>
      </c>
      <c r="O51" s="91" t="n"/>
      <c r="P51" s="90" t="inlineStr">
        <is>
          <t>docs/v0.1/reference/挺进地牢/第一层怪物数据表.md; docs/v0.1/design/怪物设计.md §T1/§T5</t>
        </is>
      </c>
      <c r="Q51" s="91" t="inlineStr">
        <is>
          <t>抓握大师; egt_gripmaster; 远征03; EGT第一层复刻</t>
        </is>
      </c>
      <c r="R51" s="91">
        <f>LOWER(TRIM(C51)&amp;"|"&amp;TRIM(D51)&amp;"|"&amp;TRIM(E51)&amp;"|"&amp;TRIM(F51)&amp;"|"&amp;TRIM(H51)&amp;"|"&amp;TRIM(I51))</f>
        <v/>
      </c>
      <c r="S51" s="91">
        <f>IF(COUNTIF($R$6:$R$53,R51)&gt;1,"重复","唯一")</f>
        <v/>
      </c>
      <c r="T51" s="91" t="inlineStr">
        <is>
          <t>—</t>
        </is>
      </c>
      <c r="U51" s="91" t="inlineStr">
        <is>
          <t>Codex</t>
        </is>
      </c>
      <c r="V51" s="93" t="inlineStr">
        <is>
          <t>2026-10-29</t>
        </is>
      </c>
      <c r="W51" s="91" t="inlineStr">
        <is>
          <t>复用 ENM-SUMMON-HIVE01 的表现资产（借皮占位）</t>
        </is>
      </c>
      <c r="X51" s="94" t="inlineStr">
        <is>
          <t>—</t>
        </is>
      </c>
      <c r="Y51" s="92" t="inlineStr">
        <is>
          <t>远征03《挺进地牢》第一层复刻怪（2026-10-29 第二批）。**本行是表现层占位**：复用 ENM-SUMMON-HIVE01 的模型/程序壳，尚无自有美术。替换正式美术时**不得改动**：逻辑ID、数值（hp/伤害/速度）、行为键（grab/invulnerable(见 §T6)）、体型倍率与染色值 —— 依据 docs/v0.1/design/怪物设计.md §T1~§T3。逐房编成见同文档 §T5；明确没做到原作的六处见 §T6。</t>
        </is>
      </c>
    </row>
    <row r="52" s="38">
      <c r="A52" s="90" t="inlineStr">
        <is>
          <t>ENM-NORMAL-GUNNUT01</t>
        </is>
      </c>
      <c r="B52" s="91" t="inlineStr">
        <is>
          <t>枪坚果</t>
        </is>
      </c>
      <c r="C52" s="91" t="inlineStr">
        <is>
          <t>敌人</t>
        </is>
      </c>
      <c r="D52" s="90" t="inlineStr">
        <is>
          <t>normal</t>
        </is>
      </c>
      <c r="E52" s="90" t="inlineStr">
        <is>
          <t>egt_gun_nut</t>
        </is>
      </c>
      <c r="F52" s="90" t="inlineStr">
        <is>
          <t>root_3d</t>
        </is>
      </c>
      <c r="G52" s="91" t="inlineStr">
        <is>
          <t>ENM-NORMAL-FAT-ZOMBIE03</t>
        </is>
      </c>
      <c r="H52" s="91" t="inlineStr">
        <is>
          <t>Top3D / local -Z 正面</t>
        </is>
      </c>
      <c r="I52" s="90" t="inlineStr">
        <is>
          <t>default / ranged</t>
        </is>
      </c>
      <c r="J52" s="92" t="inlineStr">
        <is>
          <t>远征03 战斗房（spawn_roster 逐房编成）</t>
        </is>
      </c>
      <c r="K52" s="91" t="inlineStr">
        <is>
          <t>程序占位</t>
        </is>
      </c>
      <c r="L52" s="90" t="inlineStr">
        <is>
          <t>P1</t>
        </is>
      </c>
      <c r="M52" s="90" t="inlineStr">
        <is>
          <t>v001</t>
        </is>
      </c>
      <c r="N52" s="91" t="inlineStr">
        <is>
          <t>体型1.20；hp1000（进场实测）；伤害17；弹速8 m/s；90°扇形7发+4组箭头弹群，只瞄8个罗盘方向；染色#FFD6A3</t>
        </is>
      </c>
      <c r="O52" s="91" t="inlineStr">
        <is>
          <t>assets/art/enemies/normal_enemy_3d/fat_zombie03/runtime/enm_normal_fat_zombie03_root_top3d.tscn</t>
        </is>
      </c>
      <c r="P52" s="90" t="inlineStr">
        <is>
          <t>docs/v0.1/reference/挺进地牢/第一层怪物数据表.md; docs/v0.1/design/怪物设计.md §T1/§T5</t>
        </is>
      </c>
      <c r="Q52" s="91" t="inlineStr">
        <is>
          <t>枪坚果; egt_gun_nut; 远征03; EGT第一层复刻</t>
        </is>
      </c>
      <c r="R52" s="91">
        <f>LOWER(TRIM(C52)&amp;"|"&amp;TRIM(D52)&amp;"|"&amp;TRIM(E52)&amp;"|"&amp;TRIM(F52)&amp;"|"&amp;TRIM(H52)&amp;"|"&amp;TRIM(I52))</f>
        <v/>
      </c>
      <c r="S52" s="91">
        <f>IF(COUNTIF($R$6:$R$53,R52)&gt;1,"重复","唯一")</f>
        <v/>
      </c>
      <c r="T52" s="91" t="inlineStr">
        <is>
          <t>—</t>
        </is>
      </c>
      <c r="U52" s="91" t="inlineStr">
        <is>
          <t>Codex</t>
        </is>
      </c>
      <c r="V52" s="93" t="inlineStr">
        <is>
          <t>2026-10-29</t>
        </is>
      </c>
      <c r="W52" s="91" t="inlineStr">
        <is>
          <t>复用 ENM-NORMAL-FAT-ZOMBIE03 的表现资产（借皮占位）</t>
        </is>
      </c>
      <c r="X52" s="94" t="inlineStr">
        <is>
          <t>—</t>
        </is>
      </c>
      <c r="Y52" s="92" t="inlineStr">
        <is>
          <t>远征03《挺进地牢》第一层复刻怪（2026-10-29 第二批）。**本行是表现层占位**：复用 ENM-NORMAL-FAT-ZOMBIE03 的模型/程序壳，尚无自有美术。替换正式美术时**不得改动**：逻辑ID、数值（hp/伤害/速度）、行为键（volley(compass)/volley_alt(arrows)）、体型倍率与染色值 —— 依据 docs/v0.1/design/怪物设计.md §T1~§T3。逐房编成见同文档 §T5；明确没做到原作的六处见 §T6。</t>
        </is>
      </c>
    </row>
    <row r="53" s="38">
      <c r="A53" s="90" t="inlineStr">
        <is>
          <t>ENM-NORMAL-CHAINGUNNER01</t>
        </is>
      </c>
      <c r="B53" s="91" t="inlineStr">
        <is>
          <t>链枪手</t>
        </is>
      </c>
      <c r="C53" s="91" t="inlineStr">
        <is>
          <t>敌人</t>
        </is>
      </c>
      <c r="D53" s="90" t="inlineStr">
        <is>
          <t>normal</t>
        </is>
      </c>
      <c r="E53" s="90" t="inlineStr">
        <is>
          <t>egt_chain_gunner</t>
        </is>
      </c>
      <c r="F53" s="90" t="inlineStr">
        <is>
          <t>root_3d</t>
        </is>
      </c>
      <c r="G53" s="91" t="inlineStr">
        <is>
          <t>ENM-NORMAL-FAT-ZOMBIE03</t>
        </is>
      </c>
      <c r="H53" s="91" t="inlineStr">
        <is>
          <t>Top3D / local -Z 正面</t>
        </is>
      </c>
      <c r="I53" s="90" t="inlineStr">
        <is>
          <t>default / ranged</t>
        </is>
      </c>
      <c r="J53" s="92" t="inlineStr">
        <is>
          <t>远征03 战斗房（spawn_roster 逐房编成）</t>
        </is>
      </c>
      <c r="K53" s="91" t="inlineStr">
        <is>
          <t>程序占位</t>
        </is>
      </c>
      <c r="L53" s="90" t="inlineStr">
        <is>
          <t>P1</t>
        </is>
      </c>
      <c r="M53" s="90" t="inlineStr">
        <is>
          <t>v001</t>
        </is>
      </c>
      <c r="N53" s="91" t="inlineStr">
        <is>
          <t>体型1.14；hp900（进场实测）；伤害17；弹速8 m/s；绕圈子弹链3圈/秒×2秒并缓慢逼近；染色#BDCCFF</t>
        </is>
      </c>
      <c r="O53" s="91" t="inlineStr">
        <is>
          <t>assets/art/enemies/normal_enemy_3d/fat_zombie03/runtime/enm_normal_fat_zombie03_root_top3d.tscn</t>
        </is>
      </c>
      <c r="P53" s="90" t="inlineStr">
        <is>
          <t>docs/v0.1/reference/挺进地牢/第一层怪物数据表.md; docs/v0.1/design/怪物设计.md §T1/§T5</t>
        </is>
      </c>
      <c r="Q53" s="91" t="inlineStr">
        <is>
          <t>链枪手; egt_chain_gunner; 远征03; EGT第一层复刻</t>
        </is>
      </c>
      <c r="R53" s="91">
        <f>LOWER(TRIM(C53)&amp;"|"&amp;TRIM(D53)&amp;"|"&amp;TRIM(E53)&amp;"|"&amp;TRIM(F53)&amp;"|"&amp;TRIM(H53)&amp;"|"&amp;TRIM(I53))</f>
        <v/>
      </c>
      <c r="S53" s="91">
        <f>IF(COUNTIF($R$6:$R$53,R53)&gt;1,"重复","唯一")</f>
        <v/>
      </c>
      <c r="T53" s="91" t="inlineStr">
        <is>
          <t>—</t>
        </is>
      </c>
      <c r="U53" s="91" t="inlineStr">
        <is>
          <t>Codex</t>
        </is>
      </c>
      <c r="V53" s="93" t="inlineStr">
        <is>
          <t>2026-10-29</t>
        </is>
      </c>
      <c r="W53" s="91" t="inlineStr">
        <is>
          <t>复用 ENM-NORMAL-FAT-ZOMBIE03 的表现资产（借皮占位）</t>
        </is>
      </c>
      <c r="X53" s="94" t="inlineStr">
        <is>
          <t>—</t>
        </is>
      </c>
      <c r="Y53" s="92" t="inlineStr">
        <is>
          <t>远征03《挺进地牢》第一层复刻怪（2026-10-29 第二批）。**本行是表现层占位**：复用 ENM-NORMAL-FAT-ZOMBIE03 的模型/程序壳，尚无自有美术。替换正式美术时**不得改动**：逻辑ID、数值（hp/伤害/速度）、行为键（orbit）、体型倍率与染色值 —— 依据 docs/v0.1/design/怪物设计.md §T1~§T3。逐房编成见同文档 §T5；明确没做到原作的六处见 §T6。</t>
        </is>
      </c>
    </row>
    <row r="79" ht="154.5" customHeight="1" s="38"/>
    <row r="113" ht="154.5" customHeight="1" s="38"/>
    <row r="120" ht="154.5" customHeight="1" s="38"/>
    <row r="123" ht="154.5" customHeight="1" s="38"/>
    <row r="124" ht="33.75" customHeight="1" s="38"/>
    <row r="125" ht="33.75" customHeight="1" s="38"/>
    <row r="126" ht="33.75" customHeight="1" s="38"/>
    <row r="127" ht="33.75" customHeight="1" s="38"/>
    <row r="128" ht="154.5" customHeight="1" s="38"/>
    <row r="129" ht="33.75" customHeight="1" s="38"/>
    <row r="130" ht="33.75" customHeight="1" s="38"/>
    <row r="131" ht="33.75" customHeight="1" s="38"/>
    <row r="132" ht="33.75" customHeight="1" s="38"/>
    <row r="133" ht="33.75" customHeight="1" s="38"/>
    <row r="134" ht="33.75" customHeight="1" s="38"/>
    <row r="135" ht="33.75" customHeight="1" s="38"/>
    <row r="136" ht="33.75" customHeight="1" s="38"/>
    <row r="137" ht="33.75" customHeight="1" s="38"/>
    <row r="138" ht="33.75" customHeight="1" s="38"/>
    <row r="139" ht="33.75" customHeight="1" s="38"/>
    <row r="143" ht="154.5" customHeight="1" s="38"/>
    <row r="146" ht="43.5" customHeight="1" s="38"/>
    <row r="147" ht="43.5" customHeight="1" s="38"/>
    <row r="148" ht="43.5" customHeight="1" s="38"/>
    <row r="149" ht="43.5" customHeight="1" s="38"/>
    <row r="150" ht="43.5" customHeight="1" s="38"/>
    <row r="151" ht="43.5" customHeight="1" s="38"/>
    <row r="152" ht="43.5" customHeight="1" s="38"/>
    <row r="153" ht="43.5" customHeight="1" s="38"/>
    <row r="154" ht="43.5" customHeight="1" s="38"/>
    <row r="155" ht="43.5" customHeight="1" s="38"/>
    <row r="156" ht="132" customHeight="1" s="38"/>
    <row r="157" ht="117.75" customHeight="1" s="38"/>
    <row r="158" ht="117.75" customHeight="1" s="38"/>
    <row r="159" ht="117.75" customHeight="1" s="38"/>
    <row r="160" ht="117.75" customHeight="1" s="38"/>
    <row r="161" ht="132" customHeight="1" s="38"/>
    <row r="162" ht="132" customHeight="1" s="38"/>
    <row r="163" ht="154.5" customHeight="1" s="38"/>
    <row r="164" ht="132" customHeight="1" s="38"/>
    <row r="165" ht="132" customHeight="1" s="38"/>
    <row r="166" ht="132" customHeight="1" s="38"/>
    <row r="167" ht="154.5" customHeight="1" s="38"/>
    <row r="168" ht="219.75" customHeight="1" s="38"/>
    <row r="169" ht="219.75" customHeight="1" s="38"/>
    <row r="172" ht="42" customHeight="1" s="38"/>
    <row r="173" ht="42" customHeight="1" s="38"/>
    <row r="174" ht="43.5" customHeight="1" s="38"/>
    <row r="175" ht="43.5" customHeight="1" s="38"/>
    <row r="176" ht="43.5" customHeight="1" s="38"/>
    <row r="177" ht="43.5" customHeight="1" s="38"/>
    <row r="178" ht="43.5" customHeight="1" s="38"/>
    <row r="179" ht="43.5" customHeight="1" s="38"/>
    <row r="180" ht="43.5" customHeight="1" s="38"/>
    <row r="181" ht="43.5" customHeight="1" s="38"/>
    <row r="182" ht="43.5" customHeight="1" s="38"/>
    <row r="183" ht="43.5" customHeight="1" s="38"/>
    <row r="184" ht="43.5" customHeight="1" s="38"/>
    <row r="185" ht="43.5" customHeight="1" s="38"/>
    <row r="186" ht="43.5" customHeight="1" s="38"/>
    <row r="187" ht="43.5" customHeight="1" s="38"/>
    <row r="188" ht="43.5" customHeight="1" s="38"/>
    <row r="189" ht="43.5" customHeight="1" s="38"/>
    <row r="190" ht="43.5" customHeight="1" s="38"/>
    <row r="191" ht="43.5" customHeight="1" s="38"/>
    <row r="192" ht="43.5" customHeight="1" s="38"/>
    <row r="193" ht="43.5" customHeight="1" s="38"/>
    <row r="194" ht="43.5" customHeight="1" s="38"/>
    <row r="195" ht="43.5" customHeight="1" s="38"/>
    <row r="196" ht="43.5" customHeight="1" s="38"/>
    <row r="197" ht="43.5" customHeight="1" s="38"/>
    <row r="198" ht="43.5" customHeight="1" s="38"/>
    <row r="199" ht="43.5" customHeight="1" s="38"/>
    <row r="200" ht="43.5" customHeight="1" s="38"/>
    <row r="201" ht="43.5" customHeight="1" s="38"/>
    <row r="202" ht="43.5" customHeight="1" s="38"/>
    <row r="203" ht="43.5" customHeight="1" s="38"/>
    <row r="204" ht="43.5" customHeight="1" s="38"/>
    <row r="240" ht="255" customHeight="1" s="38"/>
    <row r="281" ht="66" customHeight="1" s="38"/>
    <row r="282" ht="66" customHeight="1" s="38"/>
    <row r="283" ht="66" customHeight="1" s="38"/>
    <row r="284" ht="66" customHeight="1" s="38"/>
    <row r="285" ht="66" customHeight="1" s="38"/>
    <row r="286" ht="66" customHeight="1" s="38"/>
    <row r="287" ht="55.5" customHeight="1" s="38"/>
    <row r="301" ht="132" customHeight="1" s="38"/>
    <row r="302" ht="54" customHeight="1" s="38"/>
    <row r="303" ht="54" customHeight="1" s="38"/>
    <row r="304" ht="54" customHeight="1" s="38"/>
    <row r="305" ht="54" customHeight="1" s="38"/>
    <row r="306" ht="54" customHeight="1" s="38"/>
    <row r="307" ht="54" customHeight="1" s="38"/>
    <row r="308" ht="54" customHeight="1" s="38"/>
    <row r="309" ht="54" customHeight="1" s="38"/>
    <row r="310" ht="54" customHeight="1" s="38"/>
    <row r="311" ht="72" customHeight="1" s="38"/>
    <row r="312" ht="54" customHeight="1" s="38"/>
    <row r="313" ht="54" customHeight="1" s="38"/>
    <row r="314" ht="54" customHeight="1" s="38"/>
    <row r="315" ht="54" customHeight="1" s="38"/>
    <row r="316" ht="54" customHeight="1" s="38"/>
    <row r="317" ht="54" customHeight="1" s="38"/>
    <row r="318" ht="54" customHeight="1" s="38"/>
    <row r="319" ht="54" customHeight="1" s="38"/>
    <row r="320" ht="54" customHeight="1" s="38"/>
    <row r="321" ht="54" customHeight="1" s="38"/>
    <row r="322" ht="54" customHeight="1" s="38"/>
    <row r="323" ht="54" customHeight="1" s="38"/>
    <row r="324" ht="54" customHeight="1" s="38"/>
    <row r="325" ht="54" customHeight="1" s="38"/>
    <row r="326" ht="54" customHeight="1" s="38"/>
    <row r="327" ht="54" customHeight="1" s="38"/>
    <row r="328" ht="54" customHeight="1" s="38"/>
    <row r="329" ht="54" customHeight="1" s="38"/>
    <row r="330" ht="54" customHeight="1" s="38"/>
    <row r="331" ht="54" customHeight="1" s="38"/>
    <row r="332" ht="54" customHeight="1" s="38"/>
    <row r="333" ht="54" customHeight="1" s="38"/>
    <row r="334" ht="54" customHeight="1" s="38"/>
    <row r="335" ht="54" customHeight="1" s="38"/>
    <row r="336" ht="54" customHeight="1" s="38"/>
    <row r="337" ht="54" customHeight="1" s="38"/>
    <row r="338" ht="54" customHeight="1" s="38"/>
    <row r="339" ht="54" customHeight="1" s="38"/>
    <row r="340" ht="54" customHeight="1" s="38"/>
    <row r="341" ht="54" customHeight="1" s="38"/>
    <row r="342" ht="54" customHeight="1" s="38"/>
    <row r="343" ht="54" customHeight="1" s="38"/>
    <row r="344" ht="54" customHeight="1" s="38"/>
    <row r="345" ht="54" customHeight="1" s="38"/>
    <row r="346" ht="54" customHeight="1" s="38"/>
    <row r="347" ht="54" customHeight="1" s="38"/>
    <row r="348" ht="54" customHeight="1" s="38"/>
    <row r="349" ht="54" customHeight="1" s="38"/>
    <row r="350" ht="54" customHeight="1" s="38"/>
    <row r="351" ht="54" customHeight="1" s="38"/>
    <row r="352" ht="54" customHeight="1" s="38"/>
    <row r="353" ht="54" customHeight="1" s="38"/>
    <row r="354" ht="54" customHeight="1" s="38"/>
    <row r="355" ht="54" customHeight="1" s="38"/>
    <row r="356" ht="54" customHeight="1" s="38"/>
    <row r="357" ht="54" customHeight="1" s="38"/>
    <row r="358" ht="54" customHeight="1" s="38"/>
    <row r="359" ht="72" customHeight="1" s="38"/>
    <row r="360" ht="54" customHeight="1" s="38"/>
    <row r="361" ht="54" customHeight="1" s="38"/>
    <row r="362" ht="54" customHeight="1" s="38"/>
    <row r="363" ht="54" customHeight="1" s="38"/>
    <row r="364" ht="54" customHeight="1" s="38"/>
    <row r="365" ht="54" customHeight="1" s="38"/>
    <row r="366" ht="54" customHeight="1" s="38"/>
    <row r="367" ht="54" customHeight="1" s="38"/>
    <row r="368" ht="72" customHeight="1" s="38"/>
    <row r="369" ht="54" customHeight="1" s="38"/>
    <row r="370" ht="54" customHeight="1" s="38"/>
    <row r="371" ht="54" customHeight="1" s="38"/>
    <row r="372" ht="54" customHeight="1" s="38"/>
    <row r="373" ht="54" customHeight="1" s="38"/>
    <row r="374" ht="54" customHeight="1" s="38"/>
    <row r="375" ht="54" customHeight="1" s="38"/>
    <row r="376" ht="54" customHeight="1" s="38"/>
    <row r="377" ht="54" customHeight="1" s="38"/>
    <row r="378" ht="54" customHeight="1" s="38"/>
    <row r="379" ht="54" customHeight="1" s="38"/>
    <row r="380" ht="54" customHeight="1" s="38"/>
    <row r="381" ht="54" customHeight="1" s="38"/>
    <row r="382" ht="54" customHeight="1" s="38"/>
    <row r="383" ht="54" customHeight="1" s="38"/>
    <row r="384" ht="54" customHeight="1" s="38"/>
    <row r="385" ht="54" customHeight="1" s="38"/>
    <row r="386" ht="54" customHeight="1" s="38"/>
    <row r="387" ht="54" customHeight="1" s="38"/>
    <row r="388" ht="54" customHeight="1" s="38"/>
    <row r="389" ht="54" customHeight="1" s="38"/>
    <row r="390" ht="54" customHeight="1" s="38"/>
    <row r="391" ht="54" customHeight="1" s="38"/>
    <row r="392" ht="54" customHeight="1" s="38"/>
    <row r="393" ht="54" customHeight="1" s="38"/>
    <row r="394" ht="54" customHeight="1" s="38"/>
    <row r="395" ht="54" customHeight="1" s="38"/>
    <row r="396" ht="54" customHeight="1" s="38"/>
    <row r="397" ht="54" customHeight="1" s="38"/>
    <row r="398" ht="54" customHeight="1" s="38"/>
    <row r="399" ht="54" customHeight="1" s="38"/>
    <row r="400" ht="54" customHeight="1" s="38"/>
    <row r="401" ht="54" customHeight="1" s="38"/>
    <row r="402" ht="54" customHeight="1" s="38"/>
    <row r="403" ht="54" customHeight="1" s="38"/>
    <row r="404" ht="54" customHeight="1" s="38"/>
    <row r="405" ht="54" customHeight="1" s="38"/>
    <row r="406" ht="54" customHeight="1" s="38"/>
    <row r="407" ht="54" customHeight="1" s="38"/>
    <row r="408" ht="54" customHeight="1" s="38"/>
    <row r="409" ht="54" customHeight="1" s="38"/>
    <row r="410" ht="54" customHeight="1" s="38"/>
    <row r="411" ht="54" customHeight="1" s="38"/>
    <row r="412" ht="54" customHeight="1" s="38"/>
    <row r="413" ht="75.75" customHeight="1" s="38"/>
    <row r="414" ht="72" customHeight="1" s="38"/>
    <row r="415" ht="72" customHeight="1" s="38"/>
    <row r="416" ht="72" customHeight="1" s="38"/>
    <row r="424" ht="84.75" customHeight="1" s="38"/>
    <row r="425" ht="84.75" customHeight="1" s="38"/>
    <row r="426" ht="84.75" customHeight="1" s="38"/>
    <row r="427" ht="84.75" customHeight="1" s="38"/>
    <row r="429" ht="120" customHeight="1" s="38"/>
  </sheetData>
  <autoFilter ref="A5:Y20"/>
  <mergeCells count="2">
    <mergeCell ref="A1:X2"/>
    <mergeCell ref="A3:X3"/>
  </mergeCells>
  <conditionalFormatting sqref="S6:S17">
    <cfRule type="containsText" rank="0" priority="2" equalAverage="0" operator="containsText" aboveAverage="0" dxfId="6" text="重复" percent="0" bottom="0">
      <formula>NOT(ISERROR(SEARCH("重复",S6)))</formula>
    </cfRule>
  </conditionalFormatting>
  <conditionalFormatting sqref="K6:K17">
    <cfRule type="containsText" rank="0" priority="3" equalAverage="0" operator="containsText" aboveAverage="0" dxfId="7" text="已完成" percent="0" bottom="0">
      <formula>NOT(ISERROR(SEARCH("已完成",K6)))</formula>
    </cfRule>
    <cfRule type="containsText" rank="0" priority="4" equalAverage="0" operator="containsText" aboveAverage="0" dxfId="8" text="待制作" percent="0" bottom="0">
      <formula>NOT(ISERROR(SEARCH("待制作",K6)))</formula>
    </cfRule>
  </conditionalFormatting>
  <dataValidations count="3">
    <dataValidation sqref="C6:C20" showDropDown="0" showInputMessage="0" showErrorMessage="0" allowBlank="1" type="list" errorStyle="stop">
      <formula1>"角色,敌人,武器,道具,场景,场景道具,基地资产包,UI,特效,音频"</formula1>
      <formula2>0</formula2>
    </dataValidation>
    <dataValidation sqref="K6:K20" showDropDown="0" showInputMessage="0" showErrorMessage="0" allowBlank="1" type="list" errorStyle="stop">
      <formula1>"待制作,程序占位,已完成,原型已接入,弃用,旧资产已从正式基地移除,正式美术已接入,已优化并正式接入,Blender源已完成,已导入；优化完成,已从运行场景移除,白盒组件,design_only,authored,exported_pending_godot_validation,validated,active"</formula1>
      <formula2>0</formula2>
    </dataValidation>
    <dataValidation sqref="L6:L20" showDropDown="0" showInputMessage="0" showErrorMessage="0" allowBlank="1" type="list" errorStyle="stop">
      <formula1>"P0,P1,P2,P3"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I6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7.16" customWidth="1" style="37" min="1" max="1"/>
    <col width="28.65" customWidth="1" style="37" min="2" max="2"/>
    <col width="16.71" customWidth="1" style="37" min="3" max="3"/>
    <col width="40.58" customWidth="1" style="37" min="4" max="4"/>
    <col width="31.03" customWidth="1" style="37" min="5" max="5"/>
    <col width="9.550000000000001" customWidth="1" style="37" min="6" max="6"/>
    <col width="31.03" customWidth="1" style="37" min="7" max="7"/>
    <col width="21.48" customWidth="1" style="37" min="8" max="8"/>
    <col width="54.9" customWidth="1" style="37" min="9" max="9"/>
  </cols>
  <sheetData>
    <row r="1" ht="15" customHeight="1" s="38">
      <c r="A1" s="56" t="inlineStr">
        <is>
          <t>敌人动画与状态 · 状态机 × 表现职责</t>
        </is>
      </c>
    </row>
    <row r="2" ht="15" customHeight="1" s="38"/>
    <row r="3" ht="15" customHeight="1" s="38">
      <c r="A3" s="40" t="inlineStr">
        <is>
          <t>状态ID 逐字取自 src/enemy3d/Enemy3D.gd 的 VALID_STATES（12 态）；敌人当前为程序驱动，尚无 Blender 动作母版。动作库接入后必须在「动作来源」列改为 Blender，并登记动作母版路径与 SHA-256。</t>
        </is>
      </c>
    </row>
    <row r="5" ht="31.5" customHeight="1" s="38">
      <c r="A5" s="44" t="inlineStr">
        <is>
          <t>序号</t>
        </is>
      </c>
      <c r="B5" s="44" t="inlineStr">
        <is>
          <t>状态ID</t>
        </is>
      </c>
      <c r="C5" s="44" t="inlineStr">
        <is>
          <t>中文名</t>
        </is>
      </c>
      <c r="D5" s="44" t="inlineStr">
        <is>
          <t>表现职责</t>
        </is>
      </c>
      <c r="E5" s="44" t="inlineStr">
        <is>
          <t>动作来源</t>
        </is>
      </c>
      <c r="F5" s="44" t="inlineStr">
        <is>
          <t>循环</t>
        </is>
      </c>
      <c r="G5" s="44" t="inlineStr">
        <is>
          <t>挂点/特效挂钩</t>
        </is>
      </c>
      <c r="H5" s="44" t="inlineStr">
        <is>
          <t>首版实现</t>
        </is>
      </c>
      <c r="I5" s="44" t="inlineStr">
        <is>
          <t>备注</t>
        </is>
      </c>
    </row>
    <row r="6" ht="25.5" customHeight="1" s="38">
      <c r="A6" s="48" t="n">
        <v>1</v>
      </c>
      <c r="B6" s="55" t="inlineStr">
        <is>
          <t>dormant</t>
        </is>
      </c>
      <c r="C6" s="48" t="inlineStr">
        <is>
          <t>休眠</t>
        </is>
      </c>
      <c r="D6" s="48" t="inlineStr">
        <is>
          <t>未激活前不表现；不消耗视觉预算</t>
        </is>
      </c>
      <c r="E6" s="48" t="inlineStr">
        <is>
          <t>程序驱动；ranged_caster 已接入保安僵尸 Blender 视觉与射击剪辑</t>
        </is>
      </c>
      <c r="F6" s="48" t="inlineStr">
        <is>
          <t>不播放（采样钉在 0）</t>
        </is>
      </c>
      <c r="G6" s="48" t="inlineStr">
        <is>
          <t>—</t>
        </is>
      </c>
      <c r="H6" s="48" t="inlineStr">
        <is>
          <t>无（钉 0）</t>
        </is>
      </c>
      <c r="I6" s="48" t="inlineStr">
        <is>
          <t>状态转移表见 src/enemy3d/Enemy3D.gd transition_to()，尚未逐条登记</t>
        </is>
      </c>
    </row>
    <row r="7" ht="25.5" customHeight="1" s="38">
      <c r="A7" s="48" t="n">
        <v>2</v>
      </c>
      <c r="B7" s="55" t="inlineStr">
        <is>
          <t>idle</t>
        </is>
      </c>
      <c r="C7" s="48" t="inlineStr">
        <is>
          <t>待机</t>
        </is>
      </c>
      <c r="D7" s="48" t="inlineStr">
        <is>
          <t>呼吸/轻微起伏；程序驱动</t>
        </is>
      </c>
      <c r="E7" s="48" t="inlineStr">
        <is>
          <t>程序驱动；ranged_caster 已接入保安僵尸 Blender 视觉与射击剪辑</t>
        </is>
      </c>
      <c r="F7" s="48" t="inlineStr">
        <is>
          <t>循环</t>
        </is>
      </c>
      <c r="G7" s="55" t="inlineStr">
        <is>
          <t>StateVFX 状态环</t>
        </is>
      </c>
      <c r="H7" s="55" t="inlineStr">
        <is>
          <t>idle 循环剪辑</t>
        </is>
      </c>
      <c r="I7" s="48" t="inlineStr">
        <is>
          <t>状态转移表见 src/enemy3d/Enemy3D.gd transition_to()，尚未逐条登记</t>
        </is>
      </c>
    </row>
    <row r="8" ht="25.5" customHeight="1" s="38">
      <c r="A8" s="48" t="n">
        <v>3</v>
      </c>
      <c r="B8" s="55" t="inlineStr">
        <is>
          <t>patrol</t>
        </is>
      </c>
      <c r="C8" s="48" t="inlineStr">
        <is>
          <t>巡逻</t>
        </is>
      </c>
      <c r="D8" s="48" t="inlineStr">
        <is>
          <t>沿巡逻点位移；朝向跟随路径</t>
        </is>
      </c>
      <c r="E8" s="48" t="inlineStr">
        <is>
          <t>程序驱动；ranged_caster 已接入保安僵尸 Blender 视觉与射击剪辑</t>
        </is>
      </c>
      <c r="F8" s="48" t="inlineStr">
        <is>
          <t>循环</t>
        </is>
      </c>
      <c r="G8" s="55" t="inlineStr">
        <is>
          <t>StateVFX 状态环</t>
        </is>
      </c>
      <c r="H8" s="55" t="inlineStr">
        <is>
          <t>walking（唯一用走路的移动状态）</t>
        </is>
      </c>
      <c r="I8" s="48" t="inlineStr">
        <is>
          <t>状态转移表见 src/enemy3d/Enemy3D.gd transition_to()，尚未逐条登记</t>
        </is>
      </c>
    </row>
    <row r="9" ht="25.5" customHeight="1" s="38">
      <c r="A9" s="48" t="n">
        <v>4</v>
      </c>
      <c r="B9" s="55" t="inlineStr">
        <is>
          <t>alert</t>
        </is>
      </c>
      <c r="C9" s="48" t="inlineStr">
        <is>
          <t>警觉</t>
        </is>
      </c>
      <c r="D9" s="48" t="inlineStr">
        <is>
          <t>锁定可疑目标；身体抬升/视线上抬</t>
        </is>
      </c>
      <c r="E9" s="48" t="inlineStr">
        <is>
          <t>程序驱动；ranged_caster 已接入保安僵尸 Blender 视觉与射击剪辑</t>
        </is>
      </c>
      <c r="F9" s="48" t="inlineStr">
        <is>
          <t>循环（复用 idle）</t>
        </is>
      </c>
      <c r="G9" s="55" t="inlineStr">
        <is>
          <t>StateVFX 状态环</t>
        </is>
      </c>
      <c r="H9" s="55" t="inlineStr">
        <is>
          <t>idle 循环剪辑</t>
        </is>
      </c>
      <c r="I9" s="48" t="inlineStr">
        <is>
          <t>状态转移表见 src/enemy3d/Enemy3D.gd transition_to()，尚未逐条登记</t>
        </is>
      </c>
    </row>
    <row r="10" ht="25.5" customHeight="1" s="38">
      <c r="A10" s="48" t="n">
        <v>5</v>
      </c>
      <c r="B10" s="55" t="inlineStr">
        <is>
          <t>chase</t>
        </is>
      </c>
      <c r="C10" s="48" t="inlineStr">
        <is>
          <t>追击</t>
        </is>
      </c>
      <c r="D10" s="48" t="inlineStr">
        <is>
          <t>朝玩家追击；步频随速度切换</t>
        </is>
      </c>
      <c r="E10" s="48" t="inlineStr">
        <is>
          <t>程序驱动；ranged_caster 已接入保安僵尸 Blender 视觉与射击剪辑</t>
        </is>
      </c>
      <c r="F10" s="48" t="inlineStr">
        <is>
          <t>循环</t>
        </is>
      </c>
      <c r="G10" s="55" t="inlineStr">
        <is>
          <t>StateVFX 状态环</t>
        </is>
      </c>
      <c r="H10" s="55" t="inlineStr">
        <is>
          <t>running 循环剪辑</t>
        </is>
      </c>
      <c r="I10" s="48" t="inlineStr">
        <is>
          <t>状态转移表见 src/enemy3d/Enemy3D.gd transition_to()，尚未逐条登记</t>
        </is>
      </c>
    </row>
    <row r="11" ht="25.5" customHeight="1" s="38">
      <c r="A11" s="48" t="n">
        <v>6</v>
      </c>
      <c r="B11" s="55" t="inlineStr">
        <is>
          <t>search</t>
        </is>
      </c>
      <c r="C11" s="48" t="inlineStr">
        <is>
          <t>搜寻</t>
        </is>
      </c>
      <c r="D11" s="48" t="inlineStr">
        <is>
          <t>丢失目标后在最后已知位置环视</t>
        </is>
      </c>
      <c r="E11" s="48" t="inlineStr">
        <is>
          <t>程序驱动；ranged_caster 已接入保安僵尸 Blender 视觉与射击剪辑</t>
        </is>
      </c>
      <c r="F11" s="48" t="inlineStr">
        <is>
          <t>循环</t>
        </is>
      </c>
      <c r="G11" s="55" t="inlineStr">
        <is>
          <t>StateVFX 状态环</t>
        </is>
      </c>
      <c r="H11" s="55" t="inlineStr">
        <is>
          <t>running 循环剪辑</t>
        </is>
      </c>
      <c r="I11" s="48" t="inlineStr">
        <is>
          <t>状态转移表见 src/enemy3d/Enemy3D.gd transition_to()，尚未逐条登记</t>
        </is>
      </c>
    </row>
    <row r="12" ht="25.5" customHeight="1" s="38">
      <c r="A12" s="48" t="n">
        <v>7</v>
      </c>
      <c r="B12" s="55" t="inlineStr">
        <is>
          <t>return</t>
        </is>
      </c>
      <c r="C12" s="48" t="inlineStr">
        <is>
          <t>归位</t>
        </is>
      </c>
      <c r="D12" s="48" t="inlineStr">
        <is>
          <t>脱离战斗归巡逻点</t>
        </is>
      </c>
      <c r="E12" s="48" t="inlineStr">
        <is>
          <t>程序驱动；ranged_caster 已接入保安僵尸 Blender 视觉与射击剪辑</t>
        </is>
      </c>
      <c r="F12" s="48" t="inlineStr">
        <is>
          <t>循环</t>
        </is>
      </c>
      <c r="G12" s="55" t="inlineStr">
        <is>
          <t>StateVFX 状态环</t>
        </is>
      </c>
      <c r="H12" s="55" t="inlineStr">
        <is>
          <t>running 循环剪辑</t>
        </is>
      </c>
      <c r="I12" s="48" t="inlineStr">
        <is>
          <t>状态转移表见 src/enemy3d/Enemy3D.gd transition_to()，尚未逐条登记</t>
        </is>
      </c>
    </row>
    <row r="13" ht="25.5" customHeight="1" s="38">
      <c r="A13" s="48" t="n">
        <v>8</v>
      </c>
      <c r="B13" s="55" t="inlineStr">
        <is>
          <t>telegraph</t>
        </is>
      </c>
      <c r="C13" s="48" t="inlineStr">
        <is>
          <t>预警</t>
        </is>
      </c>
      <c r="D13" s="48" t="inlineStr">
        <is>
          <t>出手前的蓄力前摇，必须可读</t>
        </is>
      </c>
      <c r="E13" s="48" t="inlineStr">
        <is>
          <t>程序驱动；ranged_caster 已接入保安僵尸 Blender 视觉与射击剪辑</t>
        </is>
      </c>
      <c r="F13" s="48" t="inlineStr">
        <is>
          <t>单次（采样至 length×0.48）</t>
        </is>
      </c>
      <c r="G13" s="55" t="inlineStr">
        <is>
          <t>StateVFX 状态环（前摇必须可读）</t>
        </is>
      </c>
      <c r="H13" s="55" t="inlineStr">
        <is>
          <t>shoot（状态机采样；攻击事件仍由 Enemy3D 发射三弹）</t>
        </is>
      </c>
      <c r="I13" s="48" t="inlineStr">
        <is>
          <t>状态转移表见 src/enemy3d/Enemy3D.gd transition_to()，尚未逐条登记</t>
        </is>
      </c>
    </row>
    <row r="14" ht="25.5" customHeight="1" s="38">
      <c r="A14" s="48" t="n">
        <v>9</v>
      </c>
      <c r="B14" s="55" t="inlineStr">
        <is>
          <t>attack</t>
        </is>
      </c>
      <c r="C14" s="48" t="inlineStr">
        <is>
          <t>攻击</t>
        </is>
      </c>
      <c r="D14" s="48" t="inlineStr">
        <is>
          <t>判定生效帧与挥击/发射表现对齐</t>
        </is>
      </c>
      <c r="E14" s="48" t="inlineStr">
        <is>
          <t>程序驱动；ranged_caster 已接入保安僵尸 Blender 视觉与射击剪辑</t>
        </is>
      </c>
      <c r="F14" s="48" t="inlineStr">
        <is>
          <t>单次（钉 length×0.48）</t>
        </is>
      </c>
      <c r="G14" s="55" t="inlineStr">
        <is>
          <t>StateVFX 状态环；VFX-IMPACT-3D</t>
        </is>
      </c>
      <c r="H14" s="55" t="inlineStr">
        <is>
          <t>shoot（状态机采样；攻击事件仍由 Enemy3D 发射三弹）</t>
        </is>
      </c>
      <c r="I14" s="48" t="inlineStr">
        <is>
          <t>状态转移表见 src/enemy3d/Enemy3D.gd transition_to()，尚未逐条登记</t>
        </is>
      </c>
    </row>
    <row r="15" ht="25.5" customHeight="1" s="38">
      <c r="A15" s="48" t="n">
        <v>10</v>
      </c>
      <c r="B15" s="55" t="inlineStr">
        <is>
          <t>recovery</t>
        </is>
      </c>
      <c r="C15" s="48" t="inlineStr">
        <is>
          <t>收招</t>
        </is>
      </c>
      <c r="D15" s="48" t="inlineStr">
        <is>
          <t>攻击后的硬直表现</t>
        </is>
      </c>
      <c r="E15" s="48" t="inlineStr">
        <is>
          <t>程序驱动；ranged_caster 已接入保安僵尸 Blender 视觉与射击剪辑</t>
        </is>
      </c>
      <c r="F15" s="48" t="inlineStr">
        <is>
          <t>单次（0.48 → 1.0 线性）</t>
        </is>
      </c>
      <c r="G15" s="55" t="inlineStr">
        <is>
          <t>StateVFX 状态环</t>
        </is>
      </c>
      <c r="H15" s="55" t="inlineStr">
        <is>
          <t>shoot（状态机采样；攻击事件仍由 Enemy3D 发射三弹）</t>
        </is>
      </c>
      <c r="I15" s="48" t="inlineStr">
        <is>
          <t>状态转移表见 src/enemy3d/Enemy3D.gd transition_to()，尚未逐条登记</t>
        </is>
      </c>
    </row>
    <row r="16" ht="25.5" customHeight="1" s="38">
      <c r="A16" s="48" t="n">
        <v>11</v>
      </c>
      <c r="B16" s="55" t="inlineStr">
        <is>
          <t>stagger</t>
        </is>
      </c>
      <c r="C16" s="48" t="inlineStr">
        <is>
          <t>踉跄</t>
        </is>
      </c>
      <c r="D16" s="48" t="inlineStr">
        <is>
          <t>受击打断；闪白 + 位移</t>
        </is>
      </c>
      <c r="E16" s="48" t="inlineStr">
        <is>
          <t>程序驱动；ranged_caster 已接入保安僵尸 Blender 视觉与射击剪辑</t>
        </is>
      </c>
      <c r="F16" s="48" t="inlineStr">
        <is>
          <t>单次（0.16s 硬直内）</t>
        </is>
      </c>
      <c r="G16" s="48" t="inlineStr">
        <is>
          <t>受击闪白（材质 emission 覆盖）</t>
        </is>
      </c>
      <c r="H16" s="55" t="inlineStr">
        <is>
          <t>hurt 按 0.16s 采样</t>
        </is>
      </c>
      <c r="I16" s="48" t="inlineStr">
        <is>
          <t>状态转移表见 src/enemy3d/Enemy3D.gd transition_to()，尚未逐条登记；近战有效扣血后普通怪0.20s，第三击/蓄力斧0.30s硬直，max不累加；允许击退/重力，死亡优先；Boss/监控器/精英逃跑保持原抗打断。Enemy3D.apply_melee_stagger。docs/v0.1/development/2026-10-16_melee_styles_v041.md</t>
        </is>
      </c>
    </row>
    <row r="17" ht="25.5" customHeight="1" s="38">
      <c r="A17" s="48" t="n">
        <v>12</v>
      </c>
      <c r="B17" s="55" t="inlineStr">
        <is>
          <t>dead</t>
        </is>
      </c>
      <c r="C17" s="48" t="inlineStr">
        <is>
          <t>死亡</t>
        </is>
      </c>
      <c r="D17" s="48" t="inlineStr">
        <is>
          <t>倒地/瓦解；播放结束即回收</t>
        </is>
      </c>
      <c r="E17" s="48" t="inlineStr">
        <is>
          <t>程序驱动；ranged_caster 已接入保安僵尸 Blender 视觉与射击剪辑</t>
        </is>
      </c>
      <c r="F17" s="48" t="inlineStr">
        <is>
          <t>单次（末帧保持）</t>
        </is>
      </c>
      <c r="G17" s="55" t="inlineStr">
        <is>
          <t>VFX-IMPACT-3D；表现保留 2.4s</t>
        </is>
      </c>
      <c r="H17" s="55" t="inlineStr">
        <is>
          <t>dead 采样至剪辑长</t>
        </is>
      </c>
      <c r="I17" s="48" t="inlineStr">
        <is>
          <t>状态转移表见 src/enemy3d/Enemy3D.gd transition_to()，尚未逐条登记</t>
        </is>
      </c>
    </row>
    <row r="19" ht="15" customHeight="1" s="38">
      <c r="A19" s="51" t="inlineStr">
        <is>
          <t>敌人条目 × 状态机对照（本账本《资产主表》的每条敌人资产都走同一套 12 态状态机）</t>
        </is>
      </c>
      <c r="B19" s="52" t="n"/>
      <c r="C19" s="52" t="n"/>
      <c r="D19" s="52" t="n"/>
      <c r="E19" s="52" t="n"/>
      <c r="F19" s="52" t="n"/>
      <c r="G19" s="52" t="n"/>
      <c r="H19" s="52" t="n"/>
      <c r="I19" s="53" t="n"/>
    </row>
    <row r="20" ht="15" customHeight="1" s="38">
      <c r="A20" s="42" t="inlineStr">
        <is>
          <t>序号</t>
        </is>
      </c>
      <c r="B20" s="42" t="inlineStr">
        <is>
          <t>敌人ID(AssetID)</t>
        </is>
      </c>
      <c r="C20" s="42" t="inlineStr">
        <is>
          <t>中文名</t>
        </is>
      </c>
      <c r="D20" s="42" t="inlineStr">
        <is>
          <t>骨架/动作库</t>
        </is>
      </c>
      <c r="E20" s="42" t="inlineStr">
        <is>
          <t>状态机</t>
        </is>
      </c>
      <c r="F20" s="42" t="inlineStr">
        <is>
          <t>表现层级</t>
        </is>
      </c>
      <c r="G20" s="42" t="inlineStr">
        <is>
          <t>独立动作母版</t>
        </is>
      </c>
      <c r="H20" s="42" t="inlineStr">
        <is>
          <t>首版实现</t>
        </is>
      </c>
      <c r="I20" s="42" t="inlineStr">
        <is>
          <t>备注</t>
        </is>
      </c>
    </row>
    <row r="21" ht="47.75" customHeight="1" s="38">
      <c r="A21" s="48" t="n">
        <v>1</v>
      </c>
      <c r="B21" s="55" t="inlineStr">
        <is>
          <t>ENM-MELEE-FUNGBOAR01</t>
        </is>
      </c>
      <c r="C21" s="48" t="inlineStr">
        <is>
          <t>小僵尸</t>
        </is>
      </c>
      <c r="D21" s="55" t="inlineStr">
        <is>
          <t>Blender 动作母版 v003（36 骨；6 剪辑 idle/walking/running/attack/hurt/dead）</t>
        </is>
      </c>
      <c r="E21" s="55" t="inlineStr">
        <is>
          <t>ENEMY_AI_12_STATES</t>
        </is>
      </c>
      <c r="F21" s="48" t="inlineStr">
        <is>
          <t>骨骼 GLB / runtime Prefab（无碰撞）</t>
        </is>
      </c>
      <c r="G21" s="48" t="inlineStr">
        <is>
          <t>有：../ShellStorm2-backup/2026-10-11_slimming/original_tree/art_source/enemies/normal_enemy_3d/melee_chaser/source/animation/enm_melee_fungboar01_animation_v003.blend</t>
        </is>
      </c>
      <c r="H21" s="48" t="inlineStr">
        <is>
          <t>已完成（verify_melee_zombie_presentation）</t>
        </is>
      </c>
      <c r="I21" s="48" t="n"/>
    </row>
    <row r="22" ht="52.2" customHeight="1" s="38">
      <c r="A22" s="48" t="n">
        <v>2</v>
      </c>
      <c r="B22" s="55" t="inlineStr">
        <is>
          <t>ENM-RANGED-SPORESHOOTER01</t>
        </is>
      </c>
      <c r="C22" s="48" t="inlineStr">
        <is>
          <t>保安僵尸</t>
        </is>
      </c>
      <c r="D22" s="55" t="inlineStr">
        <is>
          <t>Blender 动作母版 v002（复用36骨；6基础剪辑 + armed_idle/walking_armed/running_armed/shoot）</t>
        </is>
      </c>
      <c r="E22" s="55" t="inlineStr">
        <is>
          <t>ENEMY_AI_12_STATES</t>
        </is>
      </c>
      <c r="F22" s="48" t="inlineStr">
        <is>
          <t>骨骼 GLB / runtime Prefab / 双管炮视觉附件（无碰撞）</t>
        </is>
      </c>
      <c r="G22" s="48" t="inlineStr">
        <is>
          <t>有：../ShellStorm2-backup/2026-10-11_slimming/original_tree/art_source/enemies/normal_enemy_3d/ranged_caster/source/animation/enm_ranged_sporeshooter01_animation_v002.blend</t>
        </is>
      </c>
      <c r="H22" s="48" t="inlineStr">
        <is>
          <t>已接入（verify_security_zombie_presentation）</t>
        </is>
      </c>
      <c r="I22" s="48" t="n"/>
    </row>
    <row r="23" ht="20.85" customHeight="1" s="38">
      <c r="A23" s="48" t="n">
        <v>3</v>
      </c>
      <c r="B23" s="55" t="inlineStr">
        <is>
          <t>ENM-SUMMON-HIVE01</t>
        </is>
      </c>
      <c r="C23" s="48" t="inlineStr">
        <is>
          <t>蜂巢怪</t>
        </is>
      </c>
      <c r="D23" s="48" t="inlineStr">
        <is>
          <t>无 Blender 动作母版（程序驱动）</t>
        </is>
      </c>
      <c r="E23" s="55" t="inlineStr">
        <is>
          <t>ENEMY_AI_12_STATES</t>
        </is>
      </c>
      <c r="F23" s="48" t="inlineStr">
        <is>
          <t>程序 Mesh / Prefab</t>
        </is>
      </c>
      <c r="G23" s="48" t="inlineStr">
        <is>
          <t>无</t>
        </is>
      </c>
      <c r="H23" s="48" t="inlineStr">
        <is>
          <t>待登记</t>
        </is>
      </c>
      <c r="I23" s="48" t="n"/>
    </row>
    <row r="24" ht="20.85" customHeight="1" s="38">
      <c r="A24" s="48" t="n">
        <v>4</v>
      </c>
      <c r="B24" s="55" t="inlineStr">
        <is>
          <t>ENM-TANK-SHELLGUARD01</t>
        </is>
      </c>
      <c r="C24" s="48" t="inlineStr">
        <is>
          <t>壳甲卫兵</t>
        </is>
      </c>
      <c r="D24" s="48" t="inlineStr">
        <is>
          <t>无 Blender 动作母版（程序驱动）</t>
        </is>
      </c>
      <c r="E24" s="55" t="inlineStr">
        <is>
          <t>ENEMY_AI_12_STATES</t>
        </is>
      </c>
      <c r="F24" s="48" t="inlineStr">
        <is>
          <t>程序 Mesh / Prefab</t>
        </is>
      </c>
      <c r="G24" s="48" t="inlineStr">
        <is>
          <t>无</t>
        </is>
      </c>
      <c r="H24" s="48" t="inlineStr">
        <is>
          <t>待登记</t>
        </is>
      </c>
      <c r="I24" s="48" t="n"/>
    </row>
    <row r="25" ht="20.85" customHeight="1" s="38">
      <c r="A25" s="48" t="n">
        <v>5</v>
      </c>
      <c r="B25" s="55" t="inlineStr">
        <is>
          <t>ENM-BOMBER-FRUIT01</t>
        </is>
      </c>
      <c r="C25" s="48" t="inlineStr">
        <is>
          <t>炸弹果</t>
        </is>
      </c>
      <c r="D25" s="48" t="inlineStr">
        <is>
          <t>无 Blender 动作母版（程序驱动）</t>
        </is>
      </c>
      <c r="E25" s="55" t="inlineStr">
        <is>
          <t>ENEMY_AI_12_STATES</t>
        </is>
      </c>
      <c r="F25" s="48" t="inlineStr">
        <is>
          <t>程序 Mesh / Prefab</t>
        </is>
      </c>
      <c r="G25" s="48" t="inlineStr">
        <is>
          <t>无</t>
        </is>
      </c>
      <c r="H25" s="48" t="inlineStr">
        <is>
          <t>待登记</t>
        </is>
      </c>
      <c r="I25" s="48" t="n"/>
    </row>
    <row r="26" ht="20.85" customHeight="1" s="38">
      <c r="A26" s="48" t="n">
        <v>6</v>
      </c>
      <c r="B26" s="55" t="inlineStr">
        <is>
          <t>ENM-TRAP-SPIKEWORM01</t>
        </is>
      </c>
      <c r="C26" s="48" t="inlineStr">
        <is>
          <t>地刺虫</t>
        </is>
      </c>
      <c r="D26" s="48" t="inlineStr">
        <is>
          <t>无 Blender 动作母版（程序驱动）</t>
        </is>
      </c>
      <c r="E26" s="55" t="inlineStr">
        <is>
          <t>ENEMY_AI_12_STATES</t>
        </is>
      </c>
      <c r="F26" s="48" t="inlineStr">
        <is>
          <t>程序 Mesh / Prefab</t>
        </is>
      </c>
      <c r="G26" s="48" t="inlineStr">
        <is>
          <t>无</t>
        </is>
      </c>
      <c r="H26" s="48" t="inlineStr">
        <is>
          <t>待登记</t>
        </is>
      </c>
      <c r="I26" s="48" t="n"/>
    </row>
    <row r="27" ht="20.85" customHeight="1" s="38">
      <c r="A27" s="48" t="n">
        <v>7</v>
      </c>
      <c r="B27" s="55" t="inlineStr">
        <is>
          <t>ENM-BOSS-ABYSS01</t>
        </is>
      </c>
      <c r="C27" s="48" t="inlineStr">
        <is>
          <t>深渊 Boss</t>
        </is>
      </c>
      <c r="D27" s="48" t="inlineStr">
        <is>
          <t>无 Blender 动作母版（程序驱动）</t>
        </is>
      </c>
      <c r="E27" s="55" t="inlineStr">
        <is>
          <t>ENEMY_AI_12_STATES</t>
        </is>
      </c>
      <c r="F27" s="48" t="inlineStr">
        <is>
          <t>程序 Mesh / Prefab</t>
        </is>
      </c>
      <c r="G27" s="48" t="inlineStr">
        <is>
          <t>无</t>
        </is>
      </c>
      <c r="H27" s="48" t="inlineStr">
        <is>
          <t>待登记</t>
        </is>
      </c>
      <c r="I27" s="48" t="n"/>
    </row>
    <row r="28" ht="20.85" customHeight="1" s="38">
      <c r="A28" s="48" t="n">
        <v>8</v>
      </c>
      <c r="B28" s="55" t="inlineStr">
        <is>
          <t>ENM-ECOSYSTEM-KIT-3D</t>
        </is>
      </c>
      <c r="C28" s="48" t="inlineStr">
        <is>
          <t>七类怪物3D生态套件</t>
        </is>
      </c>
      <c r="D28" s="48" t="inlineStr">
        <is>
          <t>无 Blender 动作母版（程序驱动）</t>
        </is>
      </c>
      <c r="E28" s="55" t="inlineStr">
        <is>
          <t>ENEMY_AI_12_STATES</t>
        </is>
      </c>
      <c r="F28" s="48" t="inlineStr">
        <is>
          <t>程序 Mesh / Prefab</t>
        </is>
      </c>
      <c r="G28" s="48" t="inlineStr">
        <is>
          <t>无</t>
        </is>
      </c>
      <c r="H28" s="48" t="inlineStr">
        <is>
          <t>待登记</t>
        </is>
      </c>
      <c r="I28" s="48" t="n"/>
    </row>
    <row r="29" ht="20.85" customHeight="1" s="38">
      <c r="A29" s="48" t="n">
        <v>9</v>
      </c>
      <c r="B29" s="55" t="inlineStr">
        <is>
          <t>ENM-BOSS-ARCHIVIST-95</t>
        </is>
      </c>
      <c r="C29" s="48" t="inlineStr">
        <is>
          <t>深渊档案官</t>
        </is>
      </c>
      <c r="D29" s="48" t="inlineStr">
        <is>
          <t>无 Blender 动作母版（程序驱动）</t>
        </is>
      </c>
      <c r="E29" s="55" t="inlineStr">
        <is>
          <t>ENEMY_AI_12_STATES</t>
        </is>
      </c>
      <c r="F29" s="48" t="inlineStr">
        <is>
          <t>程序 Mesh / Prefab</t>
        </is>
      </c>
      <c r="G29" s="48" t="inlineStr">
        <is>
          <t>无</t>
        </is>
      </c>
      <c r="H29" s="48" t="inlineStr">
        <is>
          <t>待登记</t>
        </is>
      </c>
      <c r="I29" s="48" t="n"/>
    </row>
    <row r="30" ht="20.85" customHeight="1" s="38">
      <c r="A30" s="48" t="n">
        <v>10</v>
      </c>
      <c r="B30" s="55" t="inlineStr">
        <is>
          <t>ENM-BOSS-FURNACE-WARDEN-90</t>
        </is>
      </c>
      <c r="C30" s="48" t="inlineStr">
        <is>
          <t>熔炉狱监</t>
        </is>
      </c>
      <c r="D30" s="48" t="inlineStr">
        <is>
          <t>无 Blender 动作母版（程序驱动）</t>
        </is>
      </c>
      <c r="E30" s="55" t="inlineStr">
        <is>
          <t>ENEMY_AI_12_STATES</t>
        </is>
      </c>
      <c r="F30" s="48" t="inlineStr">
        <is>
          <t>程序 Mesh / Prefab</t>
        </is>
      </c>
      <c r="G30" s="48" t="inlineStr">
        <is>
          <t>无</t>
        </is>
      </c>
      <c r="H30" s="48" t="inlineStr">
        <is>
          <t>待登记</t>
        </is>
      </c>
      <c r="I30" s="48" t="n"/>
    </row>
    <row r="31" ht="20.85" customHeight="1" s="38">
      <c r="A31" s="48" t="n">
        <v>11</v>
      </c>
      <c r="B31" s="55" t="inlineStr">
        <is>
          <t>ENM-BOSS-HOLLOW-CHOIR-85</t>
        </is>
      </c>
      <c r="C31" s="48" t="inlineStr">
        <is>
          <t>空洞合唱团</t>
        </is>
      </c>
      <c r="D31" s="48" t="inlineStr">
        <is>
          <t>无 Blender 动作母版（程序驱动）</t>
        </is>
      </c>
      <c r="E31" s="55" t="inlineStr">
        <is>
          <t>ENEMY_AI_12_STATES</t>
        </is>
      </c>
      <c r="F31" s="48" t="inlineStr">
        <is>
          <t>程序 Mesh / Prefab</t>
        </is>
      </c>
      <c r="G31" s="48" t="inlineStr">
        <is>
          <t>无</t>
        </is>
      </c>
      <c r="H31" s="48" t="inlineStr">
        <is>
          <t>待登记</t>
        </is>
      </c>
      <c r="I31" s="48" t="n"/>
    </row>
    <row r="32" ht="20.85" customHeight="1" s="38">
      <c r="A32" s="48" t="n">
        <v>12</v>
      </c>
      <c r="B32" s="55" t="inlineStr">
        <is>
          <t>ENM-ELITE-RIFT-BOAR-ARMED-3D</t>
        </is>
      </c>
      <c r="C32" s="48" t="inlineStr">
        <is>
          <t>背枪的裂口爬虫3D精英根</t>
        </is>
      </c>
      <c r="D32" s="48" t="inlineStr">
        <is>
          <t>无 Blender 动作母版（程序驱动）</t>
        </is>
      </c>
      <c r="E32" s="55" t="inlineStr">
        <is>
          <t>ENEMY_AI_12_STATES</t>
        </is>
      </c>
      <c r="F32" s="48" t="inlineStr">
        <is>
          <t>程序 Mesh / Prefab</t>
        </is>
      </c>
      <c r="G32" s="48" t="inlineStr">
        <is>
          <t>无</t>
        </is>
      </c>
      <c r="H32" s="48" t="inlineStr">
        <is>
          <t>待登记</t>
        </is>
      </c>
      <c r="I32" s="48" t="n"/>
    </row>
    <row r="33" ht="15" customHeight="1" s="38">
      <c r="A33" s="44" t="inlineStr">
        <is>
          <t>合计</t>
        </is>
      </c>
      <c r="B33" s="44">
        <f>COUNTA(B21:B32)</f>
        <v/>
      </c>
      <c r="C33" s="44" t="n"/>
      <c r="D33" s="44" t="n"/>
      <c r="E33" s="44" t="n"/>
      <c r="F33" s="44" t="n"/>
      <c r="G33" s="44" t="n"/>
      <c r="H33" s="44" t="n"/>
      <c r="I33" s="44" t="n"/>
    </row>
    <row r="34">
      <c r="A34" s="37" t="inlineStr">
        <is>
          <t>ENM-NORMAL-FAT-ZOMBIE03</t>
        </is>
      </c>
      <c r="B34" s="37" t="inlineStr">
        <is>
          <t>idle</t>
        </is>
      </c>
      <c r="C34" s="37" t="inlineStr">
        <is>
          <t>胖子僵尸03 压重待机</t>
        </is>
      </c>
      <c r="D34" s="37" t="inlineStr">
        <is>
          <t>自然张手/压重呼吸/左右移重；30fps F0—96；3.2s</t>
        </is>
      </c>
      <c r="E34" s="37" t="inlineStr">
        <is>
          <t>art_source/enemies/normal_enemy_3d/fat_zombie03/source/animation/enm_normal_fat_zombie03_animation_v009.blend</t>
        </is>
      </c>
      <c r="F34" s="37" t="inlineStr">
        <is>
          <t>循环</t>
        </is>
      </c>
      <c r="G34" s="37" t="inlineStr">
        <is>
          <t>idle循环；dormant保持首帧</t>
        </is>
      </c>
      <c r="H34" s="37" t="inlineStr">
        <is>
          <t>已制作/导出/12态绑定/运行验收通过</t>
        </is>
      </c>
      <c r="I34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35">
      <c r="A35" s="37" t="inlineStr">
        <is>
          <t>ENM-NORMAL-FAT-ZOMBIE03</t>
        </is>
      </c>
      <c r="B35" s="37" t="inlineStr">
        <is>
          <t>walking</t>
        </is>
      </c>
      <c r="C35" s="37" t="inlineStr">
        <is>
          <t>胖子僵尸03 沉重巡逻</t>
        </is>
      </c>
      <c r="D35" s="37" t="inlineStr">
        <is>
          <t>抬臂自然屈肘；短步移重；30fps F0—60；2.0s；参考0.30m/s</t>
        </is>
      </c>
      <c r="E35" s="37" t="inlineStr">
        <is>
          <t>art_source/enemies/normal_enemy_3d/fat_zombie03/source/animation/enm_normal_fat_zombie03_animation_v009.blend</t>
        </is>
      </c>
      <c r="F35" s="37" t="inlineStr">
        <is>
          <t>循环</t>
        </is>
      </c>
      <c r="G35" s="37" t="inlineStr">
        <is>
          <t>仅patrol；步频按实际速度采样</t>
        </is>
      </c>
      <c r="H35" s="37" t="inlineStr">
        <is>
          <t>已制作/导出/12态绑定/运行验收通过</t>
        </is>
      </c>
      <c r="I35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36">
      <c r="A36" s="37" t="inlineStr">
        <is>
          <t>ENM-NORMAL-FAT-ZOMBIE03</t>
        </is>
      </c>
      <c r="B36" s="37" t="inlineStr">
        <is>
          <t>running</t>
        </is>
      </c>
      <c r="C36" s="37" t="inlineStr">
        <is>
          <t>胖子僵尸03 低速压迫追击</t>
        </is>
      </c>
      <c r="D36" s="37" t="inlineStr">
        <is>
          <t>张臂重踏/胸肩扭摆；30fps F0—36；1.2s；参考0.60m/s</t>
        </is>
      </c>
      <c r="E36" s="37" t="inlineStr">
        <is>
          <t>art_source/enemies/normal_enemy_3d/fat_zombie03/source/animation/enm_normal_fat_zombie03_animation_v009.blend</t>
        </is>
      </c>
      <c r="F36" s="37" t="inlineStr">
        <is>
          <t>循环</t>
        </is>
      </c>
      <c r="G36" s="37" t="inlineStr">
        <is>
          <t>chase/search/return；按实际速度采样</t>
        </is>
      </c>
      <c r="H36" s="37" t="inlineStr">
        <is>
          <t>已制作/导出/12态绑定/运行验收通过</t>
        </is>
      </c>
      <c r="I36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37">
      <c r="A37" s="37" t="inlineStr">
        <is>
          <t>ENM-NORMAL-FAT-ZOMBIE03</t>
        </is>
      </c>
      <c r="B37" s="37" t="inlineStr">
        <is>
          <t>attack</t>
        </is>
      </c>
      <c r="C37" s="37" t="inlineStr">
        <is>
          <t>双手张开向内抱扑</t>
        </is>
      </c>
      <c r="D37" s="37" t="inlineStr">
        <is>
          <t>大幅张臂/6帧双掌拍合/压实收势；30fps F0—75；2.5s</t>
        </is>
      </c>
      <c r="E37" s="37" t="inlineStr">
        <is>
          <t>art_source/enemies/normal_enemy_3d/fat_zombie03/source/animation/enm_normal_fat_zombie03_animation_v009.blend</t>
        </is>
      </c>
      <c r="F37" s="37" t="inlineStr">
        <is>
          <t>单次末帧保持</t>
        </is>
      </c>
      <c r="G37" s="37" t="inlineStr">
        <is>
          <t>Enemy3D：F30锁朝向，F36单次伤害；Root无突进</t>
        </is>
      </c>
      <c r="H37" s="37" t="inlineStr">
        <is>
          <t>已制作/导出/12态绑定/运行验收通过</t>
        </is>
      </c>
      <c r="I37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38">
      <c r="A38" s="37" t="inlineStr">
        <is>
          <t>ENM-NORMAL-FAT-ZOMBIE03</t>
        </is>
      </c>
      <c r="B38" s="37" t="inlineStr">
        <is>
          <t>hurt</t>
        </is>
      </c>
      <c r="C38" s="37" t="inlineStr">
        <is>
          <t>胖子僵尸03 重击硬直</t>
        </is>
      </c>
      <c r="D38" s="37" t="inlineStr">
        <is>
          <t>30fps F0—24；0.8s；独立Action</t>
        </is>
      </c>
      <c r="E38" s="37" t="inlineStr">
        <is>
          <t>art_source/enemies/normal_enemy_3d/fat_zombie03/source/animation/enm_normal_fat_zombie03_animation_v009.blend</t>
        </is>
      </c>
      <c r="F38" s="37" t="inlineStr">
        <is>
          <t>单次末帧保持</t>
        </is>
      </c>
      <c r="G38" s="37" t="inlineStr">
        <is>
          <t>重击stagger 0.8秒</t>
        </is>
      </c>
      <c r="H38" s="37" t="inlineStr">
        <is>
          <t>已制作/导出/12态绑定/运行验收通过</t>
        </is>
      </c>
      <c r="I38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39">
      <c r="A39" s="37" t="inlineStr">
        <is>
          <t>ENM-NORMAL-FAT-ZOMBIE03</t>
        </is>
      </c>
      <c r="B39" s="37" t="inlineStr">
        <is>
          <t>dead</t>
        </is>
      </c>
      <c r="C39" s="37" t="inlineStr">
        <is>
          <t>胖子僵尸03 跪塌前扑</t>
        </is>
      </c>
      <c r="D39" s="37" t="inlineStr">
        <is>
          <t>30fps F0—78；2.6s；独立Action</t>
        </is>
      </c>
      <c r="E39" s="37" t="inlineStr">
        <is>
          <t>art_source/enemies/normal_enemy_3d/fat_zombie03/source/animation/enm_normal_fat_zombie03_animation_v009.blend</t>
        </is>
      </c>
      <c r="F39" s="37" t="inlineStr">
        <is>
          <t>单次末帧保持</t>
        </is>
      </c>
      <c r="G39" s="37" t="inlineStr">
        <is>
          <t>死亡2.6秒回收；腹部形变/落地回弹保留</t>
        </is>
      </c>
      <c r="H39" s="37" t="inlineStr">
        <is>
          <t>已制作/导出/12态绑定/运行验收通过</t>
        </is>
      </c>
      <c r="I39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；2026-10-04修复游戏内死亡隐藏：尸体退出AI后独立视野组继续判定距离/遮挡，表现帧计时推进2.6秒倒地/腹部接地/回弹后回收；AI休眠不暂停死亡。真实Player3D视野逻辑与Forward+四帧截图通过，负向原失踪条件检出；胖子152项/小僵尸死亡/玩家视野回归通过。</t>
        </is>
      </c>
    </row>
    <row r="40">
      <c r="A40" s="37" t="inlineStr">
        <is>
          <t>ENM-NORMAL-FAT-ZOMBIE03</t>
        </is>
      </c>
      <c r="B40" s="37" t="inlineStr">
        <is>
          <t>awaken</t>
        </is>
      </c>
      <c r="C40" s="37" t="inlineStr">
        <is>
          <t>胖子僵尸03 唤醒</t>
        </is>
      </c>
      <c r="D40" s="37" t="inlineStr">
        <is>
          <t>30fps F0—36；1.2s；独立Action</t>
        </is>
      </c>
      <c r="E40" s="37" t="inlineStr">
        <is>
          <t>art_source/enemies/normal_enemy_3d/fat_zombie03/source/animation/enm_normal_fat_zombie03_animation_v009.blend</t>
        </is>
      </c>
      <c r="F40" s="37" t="inlineStr">
        <is>
          <t>单次末帧保持</t>
        </is>
      </c>
      <c r="G40" s="37" t="inlineStr">
        <is>
          <t>dormant→idle</t>
        </is>
      </c>
      <c r="H40" s="37" t="inlineStr">
        <is>
          <t>已制作/导出/12态绑定/运行验收通过</t>
        </is>
      </c>
      <c r="I40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41">
      <c r="A41" s="37" t="inlineStr">
        <is>
          <t>ENM-NORMAL-FAT-ZOMBIE03</t>
        </is>
      </c>
      <c r="B41" s="37" t="inlineStr">
        <is>
          <t>alert</t>
        </is>
      </c>
      <c r="C41" s="37" t="inlineStr">
        <is>
          <t>胖子僵尸03 察觉定身</t>
        </is>
      </c>
      <c r="D41" s="37" t="inlineStr">
        <is>
          <t>30fps F0—18；0.6s；独立Action</t>
        </is>
      </c>
      <c r="E41" s="37" t="inlineStr">
        <is>
          <t>art_source/enemies/normal_enemy_3d/fat_zombie03/source/animation/enm_normal_fat_zombie03_animation_v009.blend</t>
        </is>
      </c>
      <c r="F41" s="37" t="inlineStr">
        <is>
          <t>单次末帧保持</t>
        </is>
      </c>
      <c r="G41" s="37" t="inlineStr">
        <is>
          <t>alert 0.6秒</t>
        </is>
      </c>
      <c r="H41" s="37" t="inlineStr">
        <is>
          <t>已制作/导出/12态绑定/运行验收通过</t>
        </is>
      </c>
      <c r="I41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42">
      <c r="A42" s="37" t="inlineStr">
        <is>
          <t>ENM-NORMAL-FAT-ZOMBIE03</t>
        </is>
      </c>
      <c r="B42" s="37" t="inlineStr">
        <is>
          <t>turn_l</t>
        </is>
      </c>
      <c r="C42" s="37" t="inlineStr">
        <is>
          <t>胖子僵尸03 左转</t>
        </is>
      </c>
      <c r="D42" s="37" t="inlineStr">
        <is>
          <t>30fps F0—24；0.8s；独立Action</t>
        </is>
      </c>
      <c r="E42" s="37" t="inlineStr">
        <is>
          <t>art_source/enemies/normal_enemy_3d/fat_zombie03/source/animation/enm_normal_fat_zombie03_animation_v009.blend</t>
        </is>
      </c>
      <c r="F42" s="37" t="inlineStr">
        <is>
          <t>单次末帧保持</t>
        </is>
      </c>
      <c r="G42" s="37" t="inlineStr">
        <is>
          <t>idle实际左转触发</t>
        </is>
      </c>
      <c r="H42" s="37" t="inlineStr">
        <is>
          <t>已制作/导出/12态绑定/运行验收通过</t>
        </is>
      </c>
      <c r="I42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43">
      <c r="A43" s="37" t="inlineStr">
        <is>
          <t>ENM-NORMAL-FAT-ZOMBIE03</t>
        </is>
      </c>
      <c r="B43" s="37" t="inlineStr">
        <is>
          <t>turn_r</t>
        </is>
      </c>
      <c r="C43" s="37" t="inlineStr">
        <is>
          <t>胖子僵尸03 右转</t>
        </is>
      </c>
      <c r="D43" s="37" t="inlineStr">
        <is>
          <t>30fps F0—24；0.8s；独立Action</t>
        </is>
      </c>
      <c r="E43" s="37" t="inlineStr">
        <is>
          <t>art_source/enemies/normal_enemy_3d/fat_zombie03/source/animation/enm_normal_fat_zombie03_animation_v009.blend</t>
        </is>
      </c>
      <c r="F43" s="37" t="inlineStr">
        <is>
          <t>单次末帧保持</t>
        </is>
      </c>
      <c r="G43" s="37" t="inlineStr">
        <is>
          <t>idle实际右转触发</t>
        </is>
      </c>
      <c r="H43" s="37" t="inlineStr">
        <is>
          <t>已制作/导出/12态绑定/运行验收通过</t>
        </is>
      </c>
      <c r="I43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44">
      <c r="A44" s="37" t="inlineStr">
        <is>
          <t>ENM-NORMAL-FAT-ZOMBIE03</t>
        </is>
      </c>
      <c r="B44" s="37" t="inlineStr">
        <is>
          <t>move_start</t>
        </is>
      </c>
      <c r="C44" s="37" t="inlineStr">
        <is>
          <t>胖子僵尸03 起步</t>
        </is>
      </c>
      <c r="D44" s="37" t="inlineStr">
        <is>
          <t>30fps F0—12；0.4s；独立Action</t>
        </is>
      </c>
      <c r="E44" s="37" t="inlineStr">
        <is>
          <t>art_source/enemies/normal_enemy_3d/fat_zombie03/source/animation/enm_normal_fat_zombie03_animation_v009.blend</t>
        </is>
      </c>
      <c r="F44" s="37" t="inlineStr">
        <is>
          <t>单次末帧保持</t>
        </is>
      </c>
      <c r="G44" s="37" t="inlineStr">
        <is>
          <t>进入patrol；0.4秒接walking</t>
        </is>
      </c>
      <c r="H44" s="37" t="inlineStr">
        <is>
          <t>已制作/导出/12态绑定/运行验收通过</t>
        </is>
      </c>
      <c r="I44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45">
      <c r="A45" s="37" t="inlineStr">
        <is>
          <t>ENM-NORMAL-FAT-ZOMBIE03</t>
        </is>
      </c>
      <c r="B45" s="37" t="inlineStr">
        <is>
          <t>move_stop</t>
        </is>
      </c>
      <c r="C45" s="37" t="inlineStr">
        <is>
          <t>胖子僵尸03 刹停</t>
        </is>
      </c>
      <c r="D45" s="37" t="inlineStr">
        <is>
          <t>30fps F0—18；0.6s；独立Action</t>
        </is>
      </c>
      <c r="E45" s="37" t="inlineStr">
        <is>
          <t>art_source/enemies/normal_enemy_3d/fat_zombie03/source/animation/enm_normal_fat_zombie03_animation_v009.blend</t>
        </is>
      </c>
      <c r="F45" s="37" t="inlineStr">
        <is>
          <t>单次末帧保持</t>
        </is>
      </c>
      <c r="G45" s="37" t="inlineStr">
        <is>
          <t>patrol→idle；0.6秒接idle</t>
        </is>
      </c>
      <c r="H45" s="37" t="inlineStr">
        <is>
          <t>已制作/导出/12态绑定/运行验收通过</t>
        </is>
      </c>
      <c r="I45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46">
      <c r="A46" s="37" t="inlineStr">
        <is>
          <t>ENM-NORMAL-FAT-ZOMBIE03</t>
        </is>
      </c>
      <c r="B46" s="37" t="inlineStr">
        <is>
          <t>hit_light</t>
        </is>
      </c>
      <c r="C46" s="37" t="inlineStr">
        <is>
          <t>胖子僵尸03 普通受击</t>
        </is>
      </c>
      <c r="D46" s="37" t="inlineStr">
        <is>
          <t>30fps F0—9；0.3s；独立Action</t>
        </is>
      </c>
      <c r="E46" s="37" t="inlineStr">
        <is>
          <t>art_source/enemies/normal_enemy_3d/fat_zombie03/source/animation/enm_normal_fat_zombie03_animation_v009.blend</t>
        </is>
      </c>
      <c r="F46" s="37" t="inlineStr">
        <is>
          <t>单次末帧保持</t>
        </is>
      </c>
      <c r="G46" s="37" t="inlineStr">
        <is>
          <t>普通命中触发；Waist以上旋转局部替换，保留腿部动作</t>
        </is>
      </c>
      <c r="H46" s="37" t="inlineStr">
        <is>
          <t>已制作/导出/12态绑定/运行验收通过</t>
        </is>
      </c>
      <c r="I46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47" ht="90" customHeight="1" s="38">
      <c r="A47" s="37" t="inlineStr">
        <is>
          <t>ENM-BOSS-MONITOR002-3D</t>
        </is>
      </c>
      <c r="B47" s="37" t="inlineStr">
        <is>
          <t>dormant</t>
        </is>
      </c>
      <c r="C47" s="37" t="inlineStr">
        <is>
          <t>显示器Boss002</t>
        </is>
      </c>
      <c r="D47" s="37" t="inlineStr">
        <is>
          <t>首次activate第0帧；已完成则idle</t>
        </is>
      </c>
      <c r="E47" s="37" t="inlineStr">
        <is>
          <t>art_source/enemies/bosses/enm_boss_monitor002/source/enm_boss_monitor002_model_v035.blend; art_source/enemies/bosses/enm_boss_monitor002/source/enm_boss_monitor002_animation_v035.blend</t>
        </is>
      </c>
      <c r="F47" s="37" t="inlineStr">
        <is>
          <t>idle/move/通电/坐地循环；其他单次</t>
        </is>
      </c>
      <c r="G47" s="37" t="inlineStr">
        <is>
          <t>键盘/线梢/屏幕挂点；纯色块赛博VFX</t>
        </is>
      </c>
      <c r="H47" s="37" t="inlineStr">
        <is>
          <t>Blender采样；Enemy3D技能策略</t>
        </is>
      </c>
      <c r="I47" s="37" t="inlineStr">
        <is>
          <t>v034新增activate出场6.4s/192帧：黑屏、代码上刷、断线火花、两次挣扎、弹簧双臂伸出、抓键盘、五官弹出。原16动作曲线和采样数据保留；静态键盘握持挂点校正。首次激活alert承载，休眠续播、保存进度、死亡优先；四技能与三阶段数值不变。</t>
        </is>
      </c>
    </row>
    <row r="48" ht="90" customHeight="1" s="38">
      <c r="A48" s="37" t="inlineStr">
        <is>
          <t>ENM-BOSS-MONITOR002-3D</t>
        </is>
      </c>
      <c r="B48" s="37" t="inlineStr">
        <is>
          <t>idle</t>
        </is>
      </c>
      <c r="C48" s="37" t="inlineStr">
        <is>
          <t>显示器Boss002</t>
        </is>
      </c>
      <c r="D48" s="37" t="inlineStr">
        <is>
          <t>idle</t>
        </is>
      </c>
      <c r="E48" s="37" t="inlineStr">
        <is>
          <t>art_source/enemies/bosses/enm_boss_monitor002/source/enm_boss_monitor002_model_v035.blend; art_source/enemies/bosses/enm_boss_monitor002/source/enm_boss_monitor002_animation_v035.blend</t>
        </is>
      </c>
      <c r="F48" s="37" t="inlineStr">
        <is>
          <t>idle/move/通电/坐地循环；其他单次</t>
        </is>
      </c>
      <c r="G48" s="37" t="inlineStr">
        <is>
          <t>键盘/线梢/屏幕挂点；纯色块赛博VFX</t>
        </is>
      </c>
      <c r="H48" s="37" t="inlineStr">
        <is>
          <t>Blender采样；Enemy3D技能策略</t>
        </is>
      </c>
      <c r="I48" s="37" t="inlineStr">
        <is>
          <t>v034新增activate出场6.4s/192帧：黑屏、代码上刷、断线火花、两次挣扎、弹簧双臂伸出、抓键盘、五官弹出。原16动作曲线和采样数据保留；静态键盘握持挂点校正。首次激活alert承载，休眠续播、保存进度、死亡优先；四技能与三阶段数值不变。</t>
        </is>
      </c>
    </row>
    <row r="49" ht="90" customHeight="1" s="38">
      <c r="A49" s="37" t="inlineStr">
        <is>
          <t>ENM-BOSS-MONITOR002-3D</t>
        </is>
      </c>
      <c r="B49" s="37" t="inlineStr">
        <is>
          <t>patrol</t>
        </is>
      </c>
      <c r="C49" s="37" t="inlineStr">
        <is>
          <t>显示器Boss002</t>
        </is>
      </c>
      <c r="D49" s="37" t="inlineStr">
        <is>
          <t>move</t>
        </is>
      </c>
      <c r="E49" s="37" t="inlineStr">
        <is>
          <t>art_source/enemies/bosses/enm_boss_monitor002/source/enm_boss_monitor002_model_v035.blend; art_source/enemies/bosses/enm_boss_monitor002/source/enm_boss_monitor002_animation_v035.blend</t>
        </is>
      </c>
      <c r="F49" s="37" t="inlineStr">
        <is>
          <t>idle/move/通电/坐地循环；其他单次</t>
        </is>
      </c>
      <c r="G49" s="37" t="inlineStr">
        <is>
          <t>键盘/线梢/屏幕挂点；纯色块赛博VFX</t>
        </is>
      </c>
      <c r="H49" s="37" t="inlineStr">
        <is>
          <t>Blender采样；Enemy3D技能策略</t>
        </is>
      </c>
      <c r="I49" s="37" t="inlineStr">
        <is>
          <t>v034新增activate出场6.4s/192帧：黑屏、代码上刷、断线火花、两次挣扎、弹簧双臂伸出、抓键盘、五官弹出。原16动作曲线和采样数据保留；静态键盘握持挂点校正。首次激活alert承载，休眠续播、保存进度、死亡优先；四技能与三阶段数值不变。</t>
        </is>
      </c>
    </row>
    <row r="50" ht="90" customHeight="1" s="38">
      <c r="A50" s="37" t="inlineStr">
        <is>
          <t>ENM-BOSS-MONITOR002-3D</t>
        </is>
      </c>
      <c r="B50" s="37" t="inlineStr">
        <is>
          <t>alert</t>
        </is>
      </c>
      <c r="C50" s="37" t="inlineStr">
        <is>
          <t>显示器Boss002</t>
        </is>
      </c>
      <c r="D50" s="37" t="inlineStr">
        <is>
          <t>首次activate 6.4s；完成后idle</t>
        </is>
      </c>
      <c r="E50" s="37" t="inlineStr">
        <is>
          <t>art_source/enemies/bosses/enm_boss_monitor002/source/enm_boss_monitor002_model_v035.blend; art_source/enemies/bosses/enm_boss_monitor002/source/enm_boss_monitor002_animation_v035.blend</t>
        </is>
      </c>
      <c r="F50" s="37" t="inlineStr">
        <is>
          <t>idle/move/通电/坐地循环；其他单次</t>
        </is>
      </c>
      <c r="G50" s="37" t="inlineStr">
        <is>
          <t>键盘/线梢/屏幕挂点；纯色块赛博VFX</t>
        </is>
      </c>
      <c r="H50" s="37" t="inlineStr">
        <is>
          <t>Blender采样；Enemy3D技能策略</t>
        </is>
      </c>
      <c r="I50" s="37" t="inlineStr">
        <is>
          <t>v034新增activate出场6.4s/192帧：黑屏、代码上刷、断线火花、两次挣扎、弹簧双臂伸出、抓键盘、五官弹出。原16动作曲线和采样数据保留；静态键盘握持挂点校正。首次激活alert承载，休眠续播、保存进度、死亡优先；四技能与三阶段数值不变。</t>
        </is>
      </c>
    </row>
    <row r="51" ht="90" customHeight="1" s="38">
      <c r="A51" s="37" t="inlineStr">
        <is>
          <t>ENM-BOSS-MONITOR002-3D</t>
        </is>
      </c>
      <c r="B51" s="37" t="inlineStr">
        <is>
          <t>chase</t>
        </is>
      </c>
      <c r="C51" s="37" t="inlineStr">
        <is>
          <t>显示器Boss002</t>
        </is>
      </c>
      <c r="D51" s="37" t="inlineStr">
        <is>
          <t>move / turn_left/right</t>
        </is>
      </c>
      <c r="E51" s="37" t="inlineStr">
        <is>
          <t>art_source/enemies/bosses/enm_boss_monitor002/source/enm_boss_monitor002_model_v035.blend; art_source/enemies/bosses/enm_boss_monitor002/source/enm_boss_monitor002_animation_v035.blend</t>
        </is>
      </c>
      <c r="F51" s="37" t="inlineStr">
        <is>
          <t>idle/move/通电/坐地循环；其他单次</t>
        </is>
      </c>
      <c r="G51" s="37" t="inlineStr">
        <is>
          <t>键盘/线梢/屏幕挂点；纯色块赛博VFX</t>
        </is>
      </c>
      <c r="H51" s="37" t="inlineStr">
        <is>
          <t>Blender采样；Enemy3D技能策略</t>
        </is>
      </c>
      <c r="I51" s="37" t="inlineStr">
        <is>
          <t>v034新增activate出场6.4s/192帧：黑屏、代码上刷、断线火花、两次挣扎、弹簧双臂伸出、抓键盘、五官弹出。原16动作曲线和采样数据保留；静态键盘握持挂点校正。首次激活alert承载，休眠续播、保存进度、死亡优先；四技能与三阶段数值不变。</t>
        </is>
      </c>
    </row>
    <row r="52" ht="90" customHeight="1" s="38">
      <c r="A52" s="37" t="inlineStr">
        <is>
          <t>ENM-BOSS-MONITOR002-3D</t>
        </is>
      </c>
      <c r="B52" s="37" t="inlineStr">
        <is>
          <t>search</t>
        </is>
      </c>
      <c r="C52" s="37" t="inlineStr">
        <is>
          <t>显示器Boss002</t>
        </is>
      </c>
      <c r="D52" s="37" t="inlineStr">
        <is>
          <t>move</t>
        </is>
      </c>
      <c r="E52" s="37" t="inlineStr">
        <is>
          <t>art_source/enemies/bosses/enm_boss_monitor002/source/enm_boss_monitor002_model_v035.blend; art_source/enemies/bosses/enm_boss_monitor002/source/enm_boss_monitor002_animation_v035.blend</t>
        </is>
      </c>
      <c r="F52" s="37" t="inlineStr">
        <is>
          <t>idle/move/通电/坐地循环；其他单次</t>
        </is>
      </c>
      <c r="G52" s="37" t="inlineStr">
        <is>
          <t>键盘/线梢/屏幕挂点；纯色块赛博VFX</t>
        </is>
      </c>
      <c r="H52" s="37" t="inlineStr">
        <is>
          <t>Blender采样；Enemy3D技能策略</t>
        </is>
      </c>
      <c r="I52" s="37" t="inlineStr">
        <is>
          <t>v034新增activate出场6.4s/192帧：黑屏、代码上刷、断线火花、两次挣扎、弹簧双臂伸出、抓键盘、五官弹出。原16动作曲线和采样数据保留；静态键盘握持挂点校正。首次激活alert承载，休眠续播、保存进度、死亡优先；四技能与三阶段数值不变。</t>
        </is>
      </c>
    </row>
    <row r="53" ht="90" customHeight="1" s="38">
      <c r="A53" s="37" t="inlineStr">
        <is>
          <t>ENM-BOSS-MONITOR002-3D</t>
        </is>
      </c>
      <c r="B53" s="37" t="inlineStr">
        <is>
          <t>return</t>
        </is>
      </c>
      <c r="C53" s="37" t="inlineStr">
        <is>
          <t>显示器Boss002</t>
        </is>
      </c>
      <c r="D53" s="37" t="inlineStr">
        <is>
          <t>move</t>
        </is>
      </c>
      <c r="E53" s="37" t="inlineStr">
        <is>
          <t>art_source/enemies/bosses/enm_boss_monitor002/source/enm_boss_monitor002_model_v035.blend; art_source/enemies/bosses/enm_boss_monitor002/source/enm_boss_monitor002_animation_v035.blend</t>
        </is>
      </c>
      <c r="F53" s="37" t="inlineStr">
        <is>
          <t>idle/move/通电/坐地循环；其他单次</t>
        </is>
      </c>
      <c r="G53" s="37" t="inlineStr">
        <is>
          <t>键盘/线梢/屏幕挂点；纯色块赛博VFX</t>
        </is>
      </c>
      <c r="H53" s="37" t="inlineStr">
        <is>
          <t>Blender采样；Enemy3D技能策略</t>
        </is>
      </c>
      <c r="I53" s="37" t="inlineStr">
        <is>
          <t>v034新增activate出场6.4s/192帧：黑屏、代码上刷、断线火花、两次挣扎、弹簧双臂伸出、抓键盘、五官弹出。原16动作曲线和采样数据保留；静态键盘握持挂点校正。首次激活alert承载，休眠续播、保存进度、死亡优先；四技能与三阶段数值不变。</t>
        </is>
      </c>
    </row>
    <row r="54" ht="90" customHeight="1" s="38">
      <c r="A54" s="37" t="inlineStr">
        <is>
          <t>ENM-BOSS-MONITOR002-3D</t>
        </is>
      </c>
      <c r="B54" s="37" t="inlineStr">
        <is>
          <t>telegraph</t>
        </is>
      </c>
      <c r="C54" s="37" t="inlineStr">
        <is>
          <t>显示器Boss002</t>
        </is>
      </c>
      <c r="D54" s="37" t="inlineStr">
        <is>
          <t>技能剪辑前摇</t>
        </is>
      </c>
      <c r="E54" s="37" t="inlineStr">
        <is>
          <t>art_source/enemies/bosses/enm_boss_monitor002/source/enm_boss_monitor002_model_v035.blend; art_source/enemies/bosses/enm_boss_monitor002/source/enm_boss_monitor002_animation_v035.blend</t>
        </is>
      </c>
      <c r="F54" s="37" t="inlineStr">
        <is>
          <t>idle/move/通电/坐地循环；其他单次</t>
        </is>
      </c>
      <c r="G54" s="37" t="inlineStr">
        <is>
          <t>键盘/线梢/屏幕挂点；纯色块赛博VFX</t>
        </is>
      </c>
      <c r="H54" s="37" t="inlineStr">
        <is>
          <t>Blender采样；Enemy3D技能策略</t>
        </is>
      </c>
      <c r="I54" s="37" t="inlineStr">
        <is>
          <t>v034新增activate出场6.4s/192帧：黑屏、代码上刷、断线火花、两次挣扎、弹簧双臂伸出、抓键盘、五官弹出。原16动作曲线和采样数据保留；静态键盘握持挂点校正。首次激活alert承载，休眠续播、保存进度、死亡优先；四技能与三阶段数值不变。</t>
        </is>
      </c>
    </row>
    <row r="55" ht="90" customHeight="1" s="38">
      <c r="A55" s="37" t="inlineStr">
        <is>
          <t>ENM-BOSS-MONITOR002-3D</t>
        </is>
      </c>
      <c r="B55" s="37" t="inlineStr">
        <is>
          <t>attack</t>
        </is>
      </c>
      <c r="C55" s="37" t="inlineStr">
        <is>
          <t>显示器Boss002</t>
        </is>
      </c>
      <c r="D55" s="37" t="inlineStr">
        <is>
          <t>技能剪辑生效段 / special_channel</t>
        </is>
      </c>
      <c r="E55" s="37" t="inlineStr">
        <is>
          <t>art_source/enemies/bosses/enm_boss_monitor002/source/enm_boss_monitor002_model_v035.blend; art_source/enemies/bosses/enm_boss_monitor002/source/enm_boss_monitor002_animation_v035.blend</t>
        </is>
      </c>
      <c r="F55" s="37" t="inlineStr">
        <is>
          <t>idle/move/通电/坐地循环；其他单次</t>
        </is>
      </c>
      <c r="G55" s="37" t="inlineStr">
        <is>
          <t>键盘/线梢/屏幕挂点；纯色块赛博VFX</t>
        </is>
      </c>
      <c r="H55" s="37" t="inlineStr">
        <is>
          <t>Blender采样；Enemy3D技能策略</t>
        </is>
      </c>
      <c r="I55" s="37" t="inlineStr">
        <is>
          <t>v034新增activate出场6.4s/192帧：黑屏、代码上刷、断线火花、两次挣扎、弹簧双臂伸出、抓键盘、五官弹出。原16动作曲线和采样数据保留；静态键盘握持挂点校正。首次激活alert承载，休眠续播、保存进度、死亡优先；四技能与三阶段数值不变。</t>
        </is>
      </c>
    </row>
    <row r="56" ht="90" customHeight="1" s="38">
      <c r="A56" s="37" t="inlineStr">
        <is>
          <t>ENM-BOSS-MONITOR002-3D</t>
        </is>
      </c>
      <c r="B56" s="37" t="inlineStr">
        <is>
          <t>recovery</t>
        </is>
      </c>
      <c r="C56" s="37" t="inlineStr">
        <is>
          <t>显示器Boss002</t>
        </is>
      </c>
      <c r="D56" s="37" t="inlineStr">
        <is>
          <t>技能剪辑恢复段 / special_recover</t>
        </is>
      </c>
      <c r="E56" s="37" t="inlineStr">
        <is>
          <t>art_source/enemies/bosses/enm_boss_monitor002/source/enm_boss_monitor002_model_v035.blend; art_source/enemies/bosses/enm_boss_monitor002/source/enm_boss_monitor002_animation_v035.blend</t>
        </is>
      </c>
      <c r="F56" s="37" t="inlineStr">
        <is>
          <t>idle/move/通电/坐地循环；其他单次</t>
        </is>
      </c>
      <c r="G56" s="37" t="inlineStr">
        <is>
          <t>键盘/线梢/屏幕挂点；纯色块赛博VFX</t>
        </is>
      </c>
      <c r="H56" s="37" t="inlineStr">
        <is>
          <t>Blender采样；Enemy3D技能策略</t>
        </is>
      </c>
      <c r="I56" s="37" t="inlineStr">
        <is>
          <t>v034新增activate出场6.4s/192帧：黑屏、代码上刷、断线火花、两次挣扎、弹簧双臂伸出、抓键盘、五官弹出。原16动作曲线和采样数据保留；静态键盘握持挂点校正。首次激活alert承载，休眠续播、保存进度、死亡优先；四技能与三阶段数值不变。</t>
        </is>
      </c>
    </row>
    <row r="57" ht="90" customHeight="1" s="38">
      <c r="A57" s="37" t="inlineStr">
        <is>
          <t>ENM-BOSS-MONITOR002-3D</t>
        </is>
      </c>
      <c r="B57" s="37" t="inlineStr">
        <is>
          <t>stagger</t>
        </is>
      </c>
      <c r="C57" s="37" t="inlineStr">
        <is>
          <t>显示器Boss002</t>
        </is>
      </c>
      <c r="D57" s="37" t="inlineStr">
        <is>
          <t>hurt / stun_enter→stun_loop→stun_exit</t>
        </is>
      </c>
      <c r="E57" s="37" t="inlineStr">
        <is>
          <t>art_source/enemies/bosses/enm_boss_monitor002/source/enm_boss_monitor002_model_v035.blend; art_source/enemies/bosses/enm_boss_monitor002/source/enm_boss_monitor002_animation_v035.blend</t>
        </is>
      </c>
      <c r="F57" s="37" t="inlineStr">
        <is>
          <t>idle/move/通电/坐地循环；其他单次</t>
        </is>
      </c>
      <c r="G57" s="37" t="inlineStr">
        <is>
          <t>键盘/线梢/屏幕挂点；纯色块赛博VFX</t>
        </is>
      </c>
      <c r="H57" s="37" t="inlineStr">
        <is>
          <t>Blender采样；Enemy3D技能策略</t>
        </is>
      </c>
      <c r="I57" s="37" t="inlineStr">
        <is>
          <t>v034新增activate出场6.4s/192帧：黑屏、代码上刷、断线火花、两次挣扎、弹簧双臂伸出、抓键盘、五官弹出。原16动作曲线和采样数据保留；静态键盘握持挂点校正。首次激活alert承载，休眠续播、保存进度、死亡优先；四技能与三阶段数值不变。</t>
        </is>
      </c>
    </row>
    <row r="58" ht="90" customHeight="1" s="38">
      <c r="A58" s="37" t="inlineStr">
        <is>
          <t>ENM-BOSS-MONITOR002-3D</t>
        </is>
      </c>
      <c r="B58" s="37" t="inlineStr">
        <is>
          <t>dead</t>
        </is>
      </c>
      <c r="C58" s="37" t="inlineStr">
        <is>
          <t>显示器Boss002</t>
        </is>
      </c>
      <c r="D58" s="37" t="inlineStr">
        <is>
          <t>dead</t>
        </is>
      </c>
      <c r="E58" s="37" t="inlineStr">
        <is>
          <t>art_source/enemies/bosses/enm_boss_monitor002/source/enm_boss_monitor002_model_v035.blend; art_source/enemies/bosses/enm_boss_monitor002/source/enm_boss_monitor002_animation_v035.blend</t>
        </is>
      </c>
      <c r="F58" s="37" t="inlineStr">
        <is>
          <t>idle/move/通电/坐地循环；其他单次</t>
        </is>
      </c>
      <c r="G58" s="37" t="inlineStr">
        <is>
          <t>键盘/线梢/屏幕挂点；纯色块赛博VFX</t>
        </is>
      </c>
      <c r="H58" s="37" t="inlineStr">
        <is>
          <t>Blender采样；Enemy3D技能策略</t>
        </is>
      </c>
      <c r="I58" s="37" t="inlineStr">
        <is>
          <t>v034新增activate出场6.4s/192帧：黑屏、代码上刷、断线火花、两次挣扎、弹簧双臂伸出、抓键盘、五官弹出。原16动作曲线和采样数据保留；静态键盘握持挂点校正。首次激活alert承载，休眠续播、保存进度、死亡优先；四技能与三阶段数值不变。</t>
        </is>
      </c>
    </row>
    <row r="59">
      <c r="A59" s="37" t="inlineStr">
        <is>
          <t>ENM-MELEE-FUNGBOAR01</t>
        </is>
      </c>
      <c r="B59" s="37" t="inlineStr">
        <is>
          <t>idle</t>
        </is>
      </c>
      <c r="C59" s="37" t="inlineStr">
        <is>
          <t>01_待机_驼背晃身</t>
        </is>
      </c>
      <c r="D59" s="37" t="inlineStr">
        <is>
          <t>3.2s；保留身体曲线，手指不独立运动</t>
        </is>
      </c>
      <c r="E59" s="37" t="inlineStr">
        <is>
          <t>art_source/enemies/normal_enemy_3d/melee_chaser/source/animation/enm_melee_fungboar01_animation_v004.blend</t>
        </is>
      </c>
      <c r="F59" s="37" t="inlineStr">
        <is>
          <t>循环</t>
        </is>
      </c>
      <c r="G59" s="37" t="inlineStr">
        <is>
          <t>原运行事件不变</t>
        </is>
      </c>
      <c r="H59" s="37" t="inlineStr">
        <is>
          <t>已重新蒙皮/导入/验收</t>
        </is>
      </c>
      <c r="I59" s="37" t="inlineStr">
        <is>
          <t>2026-10-09 v004减面与减骨：4552→1790三角，897顶点；36→20骨，移除16根手指骨，每手仅一根手骨；自然弯曲形状固定，手指权重合并至手骨并重新归一。512贴图/六段身体动作/12态/碰撞/受击闪色/2.4秒死亡保留。源重开、半帧蒙皮检查、运行专项及死亡视野真实渲染通过。</t>
        </is>
      </c>
    </row>
    <row r="60">
      <c r="A60" s="37" t="inlineStr">
        <is>
          <t>ENM-MELEE-FUNGBOAR01</t>
        </is>
      </c>
      <c r="B60" s="37" t="inlineStr">
        <is>
          <t>walking</t>
        </is>
      </c>
      <c r="C60" s="37" t="inlineStr">
        <is>
          <t>02_慢走_跛脚拖步</t>
        </is>
      </c>
      <c r="D60" s="37" t="inlineStr">
        <is>
          <t>1.6s；保留身体曲线，手指不独立运动</t>
        </is>
      </c>
      <c r="E60" s="37" t="inlineStr">
        <is>
          <t>art_source/enemies/normal_enemy_3d/melee_chaser/source/animation/enm_melee_fungboar01_animation_v004.blend</t>
        </is>
      </c>
      <c r="F60" s="37" t="inlineStr">
        <is>
          <t>循环</t>
        </is>
      </c>
      <c r="G60" s="37" t="inlineStr">
        <is>
          <t>原运行事件不变</t>
        </is>
      </c>
      <c r="H60" s="37" t="inlineStr">
        <is>
          <t>已重新蒙皮/导入/验收</t>
        </is>
      </c>
      <c r="I60" s="37" t="inlineStr">
        <is>
          <t>2026-10-09 v004减面与减骨：4552→1790三角，897顶点；36→20骨，移除16根手指骨，每手仅一根手骨；自然弯曲形状固定，手指权重合并至手骨并重新归一。512贴图/六段身体动作/12态/碰撞/受击闪色/2.4秒死亡保留。源重开、半帧蒙皮检查、运行专项及死亡视野真实渲染通过。</t>
        </is>
      </c>
    </row>
    <row r="61">
      <c r="A61" s="37" t="inlineStr">
        <is>
          <t>ENM-MELEE-FUNGBOAR01</t>
        </is>
      </c>
      <c r="B61" s="37" t="inlineStr">
        <is>
          <t>running</t>
        </is>
      </c>
      <c r="C61" s="37" t="inlineStr">
        <is>
          <t>03_跑步_失衡前冲</t>
        </is>
      </c>
      <c r="D61" s="37" t="inlineStr">
        <is>
          <t>0.8s；保留身体曲线，手指不独立运动</t>
        </is>
      </c>
      <c r="E61" s="37" t="inlineStr">
        <is>
          <t>art_source/enemies/normal_enemy_3d/melee_chaser/source/animation/enm_melee_fungboar01_animation_v004.blend</t>
        </is>
      </c>
      <c r="F61" s="37" t="inlineStr">
        <is>
          <t>循环</t>
        </is>
      </c>
      <c r="G61" s="37" t="inlineStr">
        <is>
          <t>原运行事件不变</t>
        </is>
      </c>
      <c r="H61" s="37" t="inlineStr">
        <is>
          <t>已重新蒙皮/导入/验收</t>
        </is>
      </c>
      <c r="I61" s="37" t="inlineStr">
        <is>
          <t>2026-10-09 v004减面与减骨：4552→1790三角，897顶点；36→20骨，移除16根手指骨，每手仅一根手骨；自然弯曲形状固定，手指权重合并至手骨并重新归一。512贴图/六段身体动作/12态/碰撞/受击闪色/2.4秒死亡保留。源重开、半帧蒙皮检查、运行专项及死亡视野真实渲染通过。</t>
        </is>
      </c>
    </row>
    <row r="62">
      <c r="A62" s="37" t="inlineStr">
        <is>
          <t>ENM-MELEE-FUNGBOAR01</t>
        </is>
      </c>
      <c r="B62" s="37" t="inlineStr">
        <is>
          <t>attack</t>
        </is>
      </c>
      <c r="C62" s="37" t="inlineStr">
        <is>
          <t>04_近战_挥臂迟缓收势</t>
        </is>
      </c>
      <c r="D62" s="37" t="inlineStr">
        <is>
          <t>1.7s；保留身体曲线，手指不独立运动</t>
        </is>
      </c>
      <c r="E62" s="37" t="inlineStr">
        <is>
          <t>art_source/enemies/normal_enemy_3d/melee_chaser/source/animation/enm_melee_fungboar01_animation_v004.blend</t>
        </is>
      </c>
      <c r="F62" s="37" t="inlineStr">
        <is>
          <t>单次末帧保持</t>
        </is>
      </c>
      <c r="G62" s="37" t="inlineStr">
        <is>
          <t>原运行事件不变</t>
        </is>
      </c>
      <c r="H62" s="37" t="inlineStr">
        <is>
          <t>已重新蒙皮/导入/验收</t>
        </is>
      </c>
      <c r="I62" s="37" t="inlineStr">
        <is>
          <t>2026-10-09 v004减面与减骨：4552→1790三角，897顶点；36→20骨，移除16根手指骨，每手仅一根手骨；自然弯曲形状固定，手指权重合并至手骨并重新归一。512贴图/六段身体动作/12态/碰撞/受击闪色/2.4秒死亡保留。源重开、半帧蒙皮检查、运行专项及死亡视野真实渲染通过。</t>
        </is>
      </c>
    </row>
    <row r="63">
      <c r="A63" s="37" t="inlineStr">
        <is>
          <t>ENM-MELEE-FUNGBOAR01</t>
        </is>
      </c>
      <c r="B63" s="37" t="inlineStr">
        <is>
          <t>hurt</t>
        </is>
      </c>
      <c r="C63" s="37" t="inlineStr">
        <is>
          <t>05_受击_踉跄回神</t>
        </is>
      </c>
      <c r="D63" s="37" t="inlineStr">
        <is>
          <t>0.8s；保留身体曲线，手指不独立运动</t>
        </is>
      </c>
      <c r="E63" s="37" t="inlineStr">
        <is>
          <t>art_source/enemies/normal_enemy_3d/melee_chaser/source/animation/enm_melee_fungboar01_animation_v004.blend</t>
        </is>
      </c>
      <c r="F63" s="37" t="inlineStr">
        <is>
          <t>单次末帧保持</t>
        </is>
      </c>
      <c r="G63" s="37" t="inlineStr">
        <is>
          <t>原运行事件不变</t>
        </is>
      </c>
      <c r="H63" s="37" t="inlineStr">
        <is>
          <t>已重新蒙皮/导入/验收</t>
        </is>
      </c>
      <c r="I63" s="37" t="inlineStr">
        <is>
          <t>2026-10-09 v004减面与减骨：4552→1790三角，897顶点；36→20骨，移除16根手指骨，每手仅一根手骨；自然弯曲形状固定，手指权重合并至手骨并重新归一。512贴图/六段身体动作/12态/碰撞/受击闪色/2.4秒死亡保留。源重开、半帧蒙皮检查、运行专项及死亡视野真实渲染通过。</t>
        </is>
      </c>
    </row>
    <row r="64">
      <c r="A64" s="37" t="inlineStr">
        <is>
          <t>ENM-MELEE-FUNGBOAR01</t>
        </is>
      </c>
      <c r="B64" s="37" t="inlineStr">
        <is>
          <t>dead</t>
        </is>
      </c>
      <c r="C64" s="37" t="inlineStr">
        <is>
          <t>06_死亡_后躺砸地回弹</t>
        </is>
      </c>
      <c r="D64" s="37" t="inlineStr">
        <is>
          <t>2.4s；保留身体曲线，手指不独立运动</t>
        </is>
      </c>
      <c r="E64" s="37" t="inlineStr">
        <is>
          <t>art_source/enemies/normal_enemy_3d/melee_chaser/source/animation/enm_melee_fungboar01_animation_v004.blend</t>
        </is>
      </c>
      <c r="F64" s="37" t="inlineStr">
        <is>
          <t>单次末帧保持</t>
        </is>
      </c>
      <c r="G64" s="37" t="inlineStr">
        <is>
          <t>原运行事件不变</t>
        </is>
      </c>
      <c r="H64" s="37" t="inlineStr">
        <is>
          <t>已重新蒙皮/导入/验收</t>
        </is>
      </c>
      <c r="I64" s="37" t="inlineStr">
        <is>
          <t>2026-10-09 v004减面与减骨：4552→1790三角，897顶点；36→20骨，移除16根手指骨，每手仅一根手骨；自然弯曲形状固定，手指权重合并至手骨并重新归一。512贴图/六段身体动作/12态/碰撞/受击闪色/2.4秒死亡保留。源重开、半帧蒙皮检查、运行专项及死亡视野真实渲染通过。</t>
        </is>
      </c>
    </row>
  </sheetData>
  <mergeCells count="3">
    <mergeCell ref="A3:I3"/>
    <mergeCell ref="A1:I2"/>
    <mergeCell ref="A19:I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P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35.81" customWidth="1" style="37" min="1" max="1"/>
    <col width="25.07" customWidth="1" style="37" min="2" max="2"/>
    <col width="52.52" customWidth="1" style="37" min="3" max="3"/>
    <col width="50.13" customWidth="1" style="37" min="4" max="4"/>
    <col width="45.35" customWidth="1" style="37" min="5" max="5"/>
    <col width="32.22" customWidth="1" style="37" min="6" max="6"/>
    <col width="42.97" customWidth="1" style="37" min="7" max="7"/>
    <col width="11.94" customWidth="1" style="37" min="8" max="8"/>
    <col width="14.33" customWidth="1" style="37" min="9" max="9"/>
    <col width="21.48" customWidth="1" style="37" min="10" max="10"/>
    <col width="31.03" customWidth="1" style="37" min="11" max="11"/>
    <col width="28.65" customWidth="1" style="37" min="12" max="13"/>
    <col width="26.26" customWidth="1" style="37" min="14" max="14"/>
    <col width="11.94" customWidth="1" style="37" min="15" max="15"/>
    <col width="52.52" customWidth="1" style="37" min="16" max="16"/>
  </cols>
  <sheetData>
    <row r="1" ht="30" customHeight="1" s="38">
      <c r="A1" s="67" t="inlineStr">
        <is>
          <t>ShellStorm2 · 敌人 3D Prefab</t>
        </is>
      </c>
    </row>
    <row r="2" ht="33.75" customHeight="1" s="38">
      <c r="A2" s="68" t="inlineStr">
        <is>
          <t>普通敌人、精英、Boss与敌人共用根；当前2个独立Prefab，其中首只正式精英资产1/12。</t>
        </is>
      </c>
    </row>
    <row r="4" ht="30" customHeight="1" s="38">
      <c r="A4" s="69" t="inlineStr">
        <is>
          <t>AssetID</t>
        </is>
      </c>
      <c r="B4" s="70" t="inlineStr">
        <is>
          <t>中文名</t>
        </is>
      </c>
      <c r="C4" s="71" t="inlineStr">
        <is>
          <t>Prefab路径</t>
        </is>
      </c>
      <c r="D4" s="71" t="inlineStr">
        <is>
          <t>GLB模型路径</t>
        </is>
      </c>
      <c r="E4" s="71" t="inlineStr">
        <is>
          <t>Blender源文件</t>
        </is>
      </c>
      <c r="F4" s="70" t="inlineStr">
        <is>
          <t>功能说明</t>
        </is>
      </c>
      <c r="G4" s="70" t="inlineStr">
        <is>
          <t>功能脚本路径</t>
        </is>
      </c>
      <c r="H4" s="70" t="inlineStr">
        <is>
          <t>碰撞开关</t>
        </is>
      </c>
      <c r="I4" s="70" t="inlineStr">
        <is>
          <t>碰撞归属</t>
        </is>
      </c>
      <c r="J4" s="70" t="inlineStr">
        <is>
          <t>碰撞方式</t>
        </is>
      </c>
      <c r="K4" s="70" t="inlineStr">
        <is>
          <t>标准尺寸</t>
        </is>
      </c>
      <c r="L4" s="70" t="inlineStr">
        <is>
          <t>原点与朝向</t>
        </is>
      </c>
      <c r="M4" s="70" t="inlineStr">
        <is>
          <t>使用位置</t>
        </is>
      </c>
      <c r="N4" s="70" t="inlineStr">
        <is>
          <t>制作状态</t>
        </is>
      </c>
      <c r="O4" s="70" t="inlineStr">
        <is>
          <t>版本</t>
        </is>
      </c>
      <c r="P4" s="72" t="inlineStr">
        <is>
          <t>备注</t>
        </is>
      </c>
    </row>
    <row r="5" ht="66" customHeight="1" s="38">
      <c r="A5" s="73" t="inlineStr">
        <is>
          <t>ENM-ECOSYSTEM-KIT-3D</t>
        </is>
      </c>
      <c r="B5" s="74" t="inlineStr">
        <is>
          <t>七类怪物3D生态套件</t>
        </is>
      </c>
      <c r="C5" s="75" t="inlineStr">
        <is>
          <t>assets/art/enemies/enemy_3d/enm_ecosystem_kit_root_top3d_v001.tscn</t>
        </is>
      </c>
      <c r="D5" s="75" t="n"/>
      <c r="E5" s="75" t="n"/>
      <c r="F5" s="74" t="inlineStr">
        <is>
          <t>敌人3D共用根与表现系统</t>
        </is>
      </c>
      <c r="G5" s="75" t="inlineStr">
        <is>
          <t>src/enemy3d/Enemy3D.gd; src/enemy3d/EnemyAvatar3D.gd</t>
        </is>
      </c>
      <c r="H5" s="74" t="inlineStr">
        <is>
          <t>开</t>
        </is>
      </c>
      <c r="I5" s="75" t="inlineStr">
        <is>
          <t>Prefab自身</t>
        </is>
      </c>
      <c r="J5" s="75" t="inlineStr">
        <is>
          <t>CapsuleShape3D</t>
        </is>
      </c>
      <c r="K5" s="75" t="inlineStr">
        <is>
          <t>PackedScene/模块敌人</t>
        </is>
      </c>
      <c r="L5" s="74" t="inlineStr">
        <is>
          <t>未声明</t>
        </is>
      </c>
      <c r="M5" s="74" t="inlineStr">
        <is>
          <t>四主题战斗房</t>
        </is>
      </c>
      <c r="N5" s="74" t="inlineStr">
        <is>
          <t>原型已接入</t>
        </is>
      </c>
      <c r="O5" s="75" t="inlineStr">
        <is>
          <t>v001</t>
        </is>
      </c>
      <c r="P5" s="76" t="inlineStr">
        <is>
          <t>根节点=Enemy3D(CharacterBody3D)</t>
        </is>
      </c>
    </row>
    <row r="6" ht="54" customHeight="1" s="38">
      <c r="A6" s="65" t="inlineStr">
        <is>
          <t>ENM-ELITE-RIFT-BOAR-ARMED-3D</t>
        </is>
      </c>
      <c r="B6" s="41" t="inlineStr">
        <is>
          <t>背枪的裂口爬虫</t>
        </is>
      </c>
      <c r="C6" s="65" t="inlineStr">
        <is>
          <t>assets/art/enemies/elite_3d/rift_boar_armed/runtime/enm_elite_rift_boar_armed_root_top3d_v001.tscn</t>
        </is>
      </c>
      <c r="D6" s="65" t="inlineStr">
        <is>
          <t>assets/art/enemies/elite_3d/rift_boar_armed/components/enm_elite_rift_boar_armed_visual_top3d_v001.glb</t>
        </is>
      </c>
      <c r="E6" s="65" t="inlineStr">
        <is>
          <t>art_source/enemies/elite_3d/rift_boar_armed/source/enm_elite_rift_boar_armed_source_v001.blend</t>
        </is>
      </c>
      <c r="F6" s="41" t="inlineStr">
        <is>
          <t>首只唯一精英独立表现、背负副枪与命名专属血条</t>
        </is>
      </c>
      <c r="G6" s="65" t="inlineStr">
        <is>
          <t>src/enemy3d/EliteContentCatalog.gd; src/enemy3d/EliteRosterService.gd; src/enemy3d/EnemyAvatar3D.gd; src/enemy3d/Enemy3D.gd</t>
        </is>
      </c>
      <c r="H6" s="41" t="inlineStr">
        <is>
          <t>关（表现资产）</t>
        </is>
      </c>
      <c r="I6" s="65" t="inlineStr">
        <is>
          <t>Enemy3D</t>
        </is>
      </c>
      <c r="J6" s="41" t="inlineStr">
        <is>
          <t>复用melee_chaser CylinderShape3D</t>
        </is>
      </c>
      <c r="K6" s="65" t="inlineStr">
        <is>
          <t>1.970×1.843×1.345m；18 Mesh；4材质</t>
        </is>
      </c>
      <c r="L6" s="41" t="inlineStr">
        <is>
          <t>底部可预测；Blender -Y / Godot -Z 正面；根Scale=1</t>
        </is>
      </c>
      <c r="M6" s="41" t="inlineStr">
        <is>
          <t>每次行动按run_seed在98F/97F/96F三选一；目标层随机ELITE房</t>
        </is>
      </c>
      <c r="N6" s="41" t="inlineStr">
        <is>
          <t>正式美术已接入</t>
        </is>
      </c>
      <c r="O6" s="65" t="inlineStr">
        <is>
          <t>v001</t>
        </is>
      </c>
      <c r="P6" s="65" t="inlineStr">
        <is>
          <t>AssetID与elite_id稳定；其余11只仍为design_only，完成专项前不投放。</t>
        </is>
      </c>
    </row>
    <row r="7" ht="79.84999999999999" customHeight="1" s="38">
      <c r="A7" s="65" t="inlineStr">
        <is>
          <t>ENM-MELEE-FUNGBOAR01</t>
        </is>
      </c>
      <c r="B7" s="41" t="inlineStr">
        <is>
          <t>小僵尸</t>
        </is>
      </c>
      <c r="C7" s="65" t="inlineStr">
        <is>
          <t>assets/art/enemies/normal_enemy_3d/melee_chaser/runtime/enm_melee_fungboar01_root_top3d.tscn</t>
        </is>
      </c>
      <c r="D7" s="65" t="inlineStr">
        <is>
          <t>assets/art/enemies/normal_enemy_3d/melee_chaser/components/enm_melee_fungboar01_visual_top3d.glb</t>
        </is>
      </c>
      <c r="E7" s="65" t="inlineStr">
        <is>
          <t>art_source/enemies/normal_enemy_3d/melee_chaser/source/model/enm_melee_fungboar01_model_v003.blend; art_source/enemies/normal_enemy_3d/melee_chaser/source/animation/enm_melee_fungboar01_animation_v004.blend</t>
        </is>
      </c>
      <c r="F7" s="41" t="inlineStr">
        <is>
          <t>六段Blender剪辑按12态采样；20骨，每手一骨</t>
        </is>
      </c>
      <c r="G7" s="65" t="inlineStr">
        <is>
          <t>src/enemy3d/EnemyAvatar3D.gd; assets/art/enemies/normal_enemy_3d/melee_chaser/runtime/melee_chaser_formal_visual.gd</t>
        </is>
      </c>
      <c r="H7" s="41" t="inlineStr">
        <is>
          <t>关（表现资产）</t>
        </is>
      </c>
      <c r="I7" s="65" t="inlineStr">
        <is>
          <t>Enemy3D</t>
        </is>
      </c>
      <c r="J7" s="65" t="inlineStr">
        <is>
          <t>CylinderShape3D（FOOTPRINT_PROFILES）</t>
        </is>
      </c>
      <c r="K7" s="65" t="inlineStr">
        <is>
          <t>源高1.857143m/游戏1.3m；1790三角/897顶点；20骨；512贴图</t>
        </is>
      </c>
      <c r="L7" s="41" t="inlineStr">
        <is>
          <t>底部可预测；Blender +Y / Godot -Z 正面；根 Scale=1</t>
        </is>
      </c>
      <c r="M7" s="41" t="inlineStr">
        <is>
          <t>全部战斗关卡普通怪池（melee_chaser）</t>
        </is>
      </c>
      <c r="N7" s="41" t="inlineStr">
        <is>
          <t>正式美术已接入</t>
        </is>
      </c>
      <c r="O7" s="65" t="inlineStr">
        <is>
          <t>v004</t>
        </is>
      </c>
      <c r="P7" s="41" t="inlineStr">
        <is>
          <t>无碰撞；Enemy3D 持有碰撞/AI/伤害/掉落。碰撞体尺寸沿用旧程序网格口径（1.02/1.30），与模型几何（0.641/1.857）不一致，待拍板后再收紧。显示名 小菌猪 → 小僵尸。；2026-10-09 v004减面与减骨：4552→1790三角，897顶点；36→20骨，移除16根手指骨，每手仅一根手骨；自然弯曲形状固定，手指权重合并至手骨并重新归一。512贴图/六段身体动作/12态/碰撞/受击闪色/2.4秒死亡保留。源重开、半帧蒙皮检查、运行专项及死亡视野真实渲染通过。</t>
        </is>
      </c>
    </row>
    <row r="8" ht="91" customHeight="1" s="38">
      <c r="A8" s="65" t="inlineStr">
        <is>
          <t>ENM-RANGED-SPORESHOOTER01</t>
        </is>
      </c>
      <c r="B8" s="41" t="inlineStr">
        <is>
          <t>保安僵尸</t>
        </is>
      </c>
      <c r="C8" s="65" t="inlineStr">
        <is>
          <t>assets/art/enemies/normal_enemy_3d/ranged_caster/runtime/enm_ranged_sporeshooter01_root_top3d.tscn</t>
        </is>
      </c>
      <c r="D8" s="65" t="inlineStr">
        <is>
          <t>assets/art/enemies/normal_enemy_3d/ranged_caster/components/enm_ranged_sporeshooter01_visual_top3d.glb</t>
        </is>
      </c>
      <c r="E8" s="65" t="inlineStr">
        <is>
          <t>../ShellStorm2-backup/2026-10-11_slimming/original_tree/art_source/enemies/normal_enemy_3d/ranged_caster/source/model/enm_ranged_sporeshooter01_model_v001.blend; ../ShellStorm2-backup/2026-10-11_slimming/original_tree/art_source/enemies/normal_enemy_3d/ranged_caster/source/animation/enm_ranged_sporeshooter01_animation_v002.blend</t>
        </is>
      </c>
      <c r="F8" s="41" t="inlineStr">
        <is>
          <t>远程普通怪正式表现；复用小僵尸36骨与基础动作；单手持枪shoot；双管炮视觉挂 L_Hand</t>
        </is>
      </c>
      <c r="G8" s="65" t="inlineStr">
        <is>
          <t>src/enemy3d/EnemyAvatar3D.gd; assets/art/enemies/normal_enemy_3d/ranged_caster/runtime/ranged_caster_formal_visual.gd</t>
        </is>
      </c>
      <c r="H8" s="41" t="inlineStr">
        <is>
          <t>关（表现资产）</t>
        </is>
      </c>
      <c r="I8" s="65" t="inlineStr">
        <is>
          <t>Enemy3D</t>
        </is>
      </c>
      <c r="J8" s="65" t="inlineStr">
        <is>
          <t>CylinderShape3D（既有 ranged_caster FOOTPRINT_PROFILES）</t>
        </is>
      </c>
      <c r="K8" s="65" t="inlineStr">
        <is>
          <t>1.2819×0.9535×1.8571m；1 Mesh；1 材质；36 骨；10 剪辑</t>
        </is>
      </c>
      <c r="L8" s="41" t="inlineStr">
        <is>
          <t>底部可预测；Blender +Y / Godot -Z 正面；根 Scale=1</t>
        </is>
      </c>
      <c r="M8" s="41" t="inlineStr">
        <is>
          <t>全部战斗关卡远程怪池（ranged_caster）</t>
        </is>
      </c>
      <c r="N8" s="41" t="inlineStr">
        <is>
          <t>正式美术已接入</t>
        </is>
      </c>
      <c r="O8" s="65" t="inlineStr">
        <is>
          <t>v002</t>
        </is>
      </c>
      <c r="P8" s="41" t="inlineStr">
        <is>
          <t>无碰撞；Enemy3D 保留三弹齐射和所有玩法规则；双管炮仅视觉附件。</t>
        </is>
      </c>
    </row>
    <row r="9">
      <c r="A9" s="37" t="inlineStr">
        <is>
          <t>ENM-NORMAL-FAT-ZOMBIE03</t>
        </is>
      </c>
      <c r="B9" s="37" t="inlineStr">
        <is>
          <t>胖子僵尸</t>
        </is>
      </c>
      <c r="C9" s="37" t="inlineStr">
        <is>
          <t>assets/art/enemies/normal_enemy_3d/fat_zombie03/runtime/enm_normal_fat_zombie03_root_top3d.tscn</t>
        </is>
      </c>
      <c r="D9" s="37" t="inlineStr">
        <is>
          <t>assets/art/enemies/normal_enemy_3d/fat_zombie03/components/enm_normal_fat_zombie03_visual_top3d.glb</t>
        </is>
      </c>
      <c r="E9" s="37" t="inlineStr">
        <is>
          <t>art_source/enemies/normal_enemy_3d/fat_zombie03/source/model/enm_normal_fat_zombie03_model_v004.blend; art_source/enemies/normal_enemy_3d/fat_zombie03/source/animation/enm_normal_fat_zombie03_animation_v009.blend</t>
        </is>
      </c>
      <c r="F9" s="37" t="inlineStr">
        <is>
          <t>正式厚血慢速近战；12态输出单向驱动13段动画</t>
        </is>
      </c>
      <c r="G9" s="37" t="inlineStr">
        <is>
          <t>src/enemy3d/Enemy3D.gd; src/enemy3d/EnemyAvatar3D.gd; assets/art/enemies/normal_enemy_3d/fat_zombie03/runtime/fat_zombie03_formal_visual.gd</t>
        </is>
      </c>
      <c r="H9" s="37" t="inlineStr">
        <is>
          <t>视觉包关闭；实体开启</t>
        </is>
      </c>
      <c r="I9" s="37" t="inlineStr">
        <is>
          <t>Enemy3D</t>
        </is>
      </c>
      <c r="J9" s="37" t="inlineStr">
        <is>
          <t>玩法CylinderShape3D；视觉包无碰撞</t>
        </is>
      </c>
      <c r="K9" s="37" t="inlineStr">
        <is>
          <t>游戏高2.2m；1979三角/1009顶点；66骨；512贴图</t>
        </is>
      </c>
      <c r="L9" s="37" t="inlineStr">
        <is>
          <t>脚底0；Blender+Y/Godot-Z；Scale=1；游戏高2.2m</t>
        </is>
      </c>
      <c r="M9" s="37" t="inlineStr">
        <is>
          <t>远征01纵列/桥心盒；默认随机池、锈炉/深渊主题池；独立实体</t>
        </is>
      </c>
      <c r="N9" s="37" t="inlineStr">
        <is>
          <t>正式美术已接入</t>
        </is>
      </c>
      <c r="O9" s="37" t="inlineStr">
        <is>
          <t>v012</t>
        </is>
      </c>
      <c r="P9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；2026-10-04修复游戏内死亡隐藏：尸体退出AI后独立视野组继续判定距离/遮挡，表现帧计时推进2.6秒倒地/腹部接地/回弹后回收；AI休眠不暂停死亡。真实Player3D视野逻辑与Forward+四帧截图通过，负向原失踪条件检出；胖子152项/小僵尸死亡/玩家视野回归通过。；2026-10-09 v012减面：5690→1979三角（减少65.22%）；脸手特征加权保留，512贴图/66骨/13段动画保留；死亡接地形态键重新拟合。模型v004/动作v009；Godot153项及死亡视野真实渲染通过。</t>
        </is>
      </c>
    </row>
    <row r="10" ht="180" customHeight="1" s="38">
      <c r="A10" s="37" t="inlineStr">
        <is>
          <t>ENM-BOSS-MONITOR002-3D</t>
        </is>
      </c>
      <c r="B10" s="37" t="inlineStr">
        <is>
          <t>MONITOR.EXE 显示器</t>
        </is>
      </c>
      <c r="C10" s="37" t="inlineStr">
        <is>
          <t>assets/art/enemies/bosses/enm_boss_monitor002/runtime/enm_boss_monitor002/enm_boss_monitor002_root_top3d.tscn</t>
        </is>
      </c>
      <c r="D10" s="37" t="inlineStr">
        <is>
          <t>assets/art/enemies/bosses/enm_boss_monitor002/components/enm_boss_monitor002/enm_boss_monitor002_visual_top3d.glb</t>
        </is>
      </c>
      <c r="E10" s="37" t="inlineStr">
        <is>
          <t>art_source/enemies/bosses/enm_boss_monitor002/source/enm_boss_monitor002_model_v035.blend; art_source/enemies/bosses/enm_boss_monitor002/source/enm_boss_monitor002_animation_v035.blend</t>
        </is>
      </c>
      <c r="F10" s="37" t="inlineStr">
        <is>
          <t>17剪辑；activate6.4s；四技能；三阶段；双母版同64骨架</t>
        </is>
      </c>
      <c r="G10" s="37" t="inlineStr">
        <is>
          <t>src/enemy3d/Enemy3D.gd; src/enemy3d/MonitorBossCombat.gd; src/enemy3d/MonitorBossPresentation.gd</t>
        </is>
      </c>
      <c r="H10" s="37" t="inlineStr">
        <is>
          <t>视觉关闭；玩法开启</t>
        </is>
      </c>
      <c r="I10" s="37" t="inlineStr">
        <is>
          <t>外部脚本Enemy3D</t>
        </is>
      </c>
      <c r="J10" s="37" t="inlineStr">
        <is>
          <t>CylinderShape3D，沿用Boss基线1.92/2.30m</t>
        </is>
      </c>
      <c r="K10" s="37" t="inlineStr">
        <is>
          <t>18684三角形；64骨；站立约4m；根倍率1.05</t>
        </is>
      </c>
      <c r="L10" s="37" t="inlineStr">
        <is>
          <t>底座接地；Blender+Y / Godot-Z；Prefab根1</t>
        </is>
      </c>
      <c r="M10" s="89" t="inlineStr">
        <is>
          <t>expedition_01 / floor_00 / boss（源房ID f00_boss）；box_boss_arena首波1只</t>
        </is>
      </c>
      <c r="N10" s="37" t="inlineStr">
        <is>
          <t>active</t>
        </is>
      </c>
      <c r="O10" s="37" t="inlineStr">
        <is>
          <t>v035</t>
        </is>
      </c>
      <c r="P10" s="89" t="inlineStr">
        <is>
          <t>v035仅屏幕总成沿角色前向平移0.5米，排除下沿支杆穿插。外壳、代码与五官同步；其它骨骼矩阵、旋转/缩放、17剪辑时长、双手、特效及10米激活规则均不变。562项专项通过；真实出场214帧验证。</t>
        </is>
      </c>
    </row>
  </sheetData>
  <mergeCells count="2">
    <mergeCell ref="A1:P1"/>
    <mergeCell ref="A2:P2"/>
  </mergeCells>
  <dataValidations count="3">
    <dataValidation sqref="H5:H250" showDropDown="0" showInputMessage="0" showErrorMessage="0" allowBlank="0" type="list" errorStyle="stop" operator="between">
      <formula1>"开,关,无"</formula1>
      <formula2>0</formula2>
    </dataValidation>
    <dataValidation sqref="I5:I250" showDropDown="0" showInputMessage="0" showErrorMessage="0" allowBlank="0" type="list" errorStyle="stop" operator="between">
      <formula1>"Prefab自身,外部脚本,混合,无"</formula1>
      <formula2>0</formula2>
    </dataValidation>
    <dataValidation sqref="N5:N25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37" min="1" max="1"/>
    <col width="15.51" customWidth="1" style="37" min="2" max="2"/>
    <col width="28.65" customWidth="1" style="37" min="3" max="3"/>
    <col width="33.42" customWidth="1" style="37" min="4" max="4"/>
    <col width="83.55" customWidth="1" style="37" min="5" max="5"/>
    <col width="57.29" customWidth="1" style="37" min="6" max="6"/>
    <col width="14.33" customWidth="1" style="37" min="7" max="7"/>
  </cols>
  <sheetData>
    <row r="1" ht="15" customHeight="1" s="38">
      <c r="A1" s="56" t="inlineStr">
        <is>
          <t>敌人账本变更日志</t>
        </is>
      </c>
    </row>
    <row r="2" ht="15" customHeight="1" s="38"/>
    <row r="3" ht="15" customHeight="1" s="38">
      <c r="A3" s="40" t="inlineStr">
        <is>
          <t>只记录本账本的域内变更；跨域与全局变更记录在主账本《版本记录》</t>
        </is>
      </c>
    </row>
    <row r="5" ht="15" customHeight="1" s="38">
      <c r="A5" s="44" t="inlineStr">
        <is>
          <t>台账版本</t>
        </is>
      </c>
      <c r="B5" s="44" t="inlineStr">
        <is>
          <t>日期</t>
        </is>
      </c>
      <c r="C5" s="44" t="inlineStr">
        <is>
          <t>变更类型</t>
        </is>
      </c>
      <c r="D5" s="44" t="inlineStr">
        <is>
          <t>范围</t>
        </is>
      </c>
      <c r="E5" s="44" t="inlineStr">
        <is>
          <t>说明</t>
        </is>
      </c>
      <c r="F5" s="44" t="inlineStr">
        <is>
          <t>兼容性</t>
        </is>
      </c>
      <c r="G5" s="44" t="inlineStr">
        <is>
          <t>负责人</t>
        </is>
      </c>
    </row>
    <row r="6" ht="45.75" customHeight="1" s="38">
      <c r="A6" s="55" t="inlineStr">
        <is>
          <t>v0.1.0</t>
        </is>
      </c>
      <c r="B6" s="55" t="inlineStr">
        <is>
          <t>2026-09-18</t>
        </is>
      </c>
      <c r="C6" s="48" t="inlineStr">
        <is>
          <t>分账本建立</t>
        </is>
      </c>
      <c r="D6" s="48" t="inlineStr">
        <is>
          <t>敌人</t>
        </is>
      </c>
      <c r="E6" s="48" t="inlineStr">
        <is>
          <t>由单体账本《ShellStorm2_美术资产台账_v001.xlsx》按大类拆分而来；本账本接管大类=敌人，条目内容逐格不变，仅登记位置变化。</t>
        </is>
      </c>
      <c r="F6" s="48" t="inlineStr">
        <is>
          <t>资产条目、AssetID、路径与哈希全部不变；只换文件。旧引用可用 scripts/ledger_registry.py 解析。</t>
        </is>
      </c>
      <c r="G6" s="48" t="inlineStr">
        <is>
          <t>摩斯拉</t>
        </is>
      </c>
    </row>
    <row r="7" ht="32.8" customHeight="1" s="38">
      <c r="A7" s="55" t="inlineStr">
        <is>
          <t>v0.1.1</t>
        </is>
      </c>
      <c r="B7" s="55" t="inlineStr">
        <is>
          <t>2026-09-20</t>
        </is>
      </c>
      <c r="C7" s="48" t="inlineStr">
        <is>
          <t>资产转正</t>
        </is>
      </c>
      <c r="D7" s="48" t="inlineStr">
        <is>
          <t>敌人</t>
        </is>
      </c>
      <c r="E7" s="55" t="inlineStr">
        <is>
          <t>ENM-MELEE-FUNGBOAR01（小僵尸，旧登记名小菌猪）由「程序占位」转正为「已完成」：AssetID 与逻辑 ID(melee_chaser) 不变；《资产主表》r6 迁 3D 口径（组件槽 root_3d、变体父 ID ENM-ECOSYSTEM-KIT-3D、视角 Top3D/local -Z、规格真实包围盒、文件路径 -&gt; runtime tscn、SHA-256、模型/动作双 blend）；《敌人动画与状态》12 态补 动作来源/循环/挂点/首版实现 四列，条目行补骨架与动作母版；《3D-敌人》新增该 Prefab 行。</t>
        </is>
      </c>
      <c r="F7" s="48" t="inlineStr">
        <is>
          <t>只升级既有行，未新增 AssetID；其余 6 类普通怪仍为程序占位。碰撞体积未动（玩法数值待拍板）。</t>
        </is>
      </c>
      <c r="G7" s="55" t="inlineStr">
        <is>
          <t>Codex</t>
        </is>
      </c>
    </row>
    <row r="8" ht="22.35" customHeight="1" s="38">
      <c r="A8" s="55" t="inlineStr">
        <is>
          <t>v0.1.2</t>
        </is>
      </c>
      <c r="B8" s="55" t="inlineStr">
        <is>
          <t>2026-09-21</t>
        </is>
      </c>
      <c r="C8" s="48" t="inlineStr">
        <is>
          <t>资产转正</t>
        </is>
      </c>
      <c r="D8" s="48" t="inlineStr">
        <is>
          <t>敌人</t>
        </is>
      </c>
      <c r="E8" s="55" t="inlineStr">
        <is>
          <t>ENM-RANGED-SPORESHOOTER01（保安僵尸）由程序占位转正为正式3D表现：复用小僵尸36骨与基础动作，新增armed_idle/持枪移动/shoot，双管炮仅作为L_Hand视觉附件；ranged_caster逻辑与三弹发射规则不变。</t>
        </is>
      </c>
      <c r="F8" s="48" t="inlineStr">
        <is>
          <t>只升级既有 AssetID 与 ranged_caster 行，未新增逻辑敌人；Prefab无碰撞，Enemy3D继续持有AI、碰撞、生命、伤害、掉落和弹丸。</t>
        </is>
      </c>
      <c r="G8" s="55" t="inlineStr">
        <is>
          <t>Codex</t>
        </is>
      </c>
    </row>
    <row r="9" ht="22.35" customHeight="1" s="38">
      <c r="A9" s="55" t="inlineStr">
        <is>
          <t>v0.1.3</t>
        </is>
      </c>
      <c r="B9" s="55" t="inlineStr">
        <is>
          <t>2026-09-23</t>
        </is>
      </c>
      <c r="C9" s="48" t="inlineStr">
        <is>
          <t>新增登记</t>
        </is>
      </c>
      <c r="D9" s="48" t="inlineStr">
        <is>
          <t>敌人</t>
        </is>
      </c>
      <c r="E9" s="55" t="inlineStr">
        <is>
          <t>新增 ENM-BEAST-SPIKESHELL01（暗影兽）作为独立新怪，制作状态=待制作。AssetID 与既有 7 类预登记不冲突（新原型 normal_beast / 逻辑ID spike_shell）。《资产主表》新增 r18，规格、文件路径、SHA-256 留空（无产物），来源记为 Tripo 生成模型待入库。《总览》公式区间由 $6:$17 扩到 $6:$18 以满足门禁「区间 == 本账本行数」。本次只登记、不接线：游戏侧 Enemy3D.PROFILES / FOOTPRINT_PROFILES / EnemyAvatar3D 挂载分支 与《怪物与Boss》数值均未定义。未触碰《敌人动画与状态》与《3D-敌人》——前者受逐字节摘要约束，后者要求「一行=一个真实 PackedScene」。</t>
        </is>
      </c>
      <c r="F9" s="48" t="inlineStr">
        <is>
          <t>新增资产行 ⇒ 其余 11 行内容未变，仅《总览》区间随之扩到 $18（属预期）。无损基线 verify_ledger_split 原会 fail(asset_not_in_baseline) —— 已按既有「从当前分账本重建」口径做最小补录（只加本行指纹，其余 409 条逐位不变，列摘要与分类计数重算），补录前基线备份见 ledger_split_baseline.json.bak_before_spikeshell。</t>
        </is>
      </c>
      <c r="G9" s="55" t="inlineStr">
        <is>
          <t>摩斯拉</t>
        </is>
      </c>
    </row>
    <row r="10">
      <c r="A10" s="37" t="inlineStr">
        <is>
          <t>v0.1.4</t>
        </is>
      </c>
      <c r="B10" s="37" t="inlineStr">
        <is>
          <t>2026-10-03</t>
        </is>
      </c>
      <c r="C10" s="37" t="inlineStr">
        <is>
          <t>新增素材入库</t>
        </is>
      </c>
      <c r="D10" s="37" t="inlineStr">
        <is>
          <t>敌人</t>
        </is>
      </c>
      <c r="E10" s="37" t="inlineStr">
        <is>
          <t>ENM-NORMAL-FAT-ZOMBIE03 胖子僵尸源编号03；源编号03；模型入库及Godot独立加载通过，非完整怪物验收。65骨Mixamo骨名未对齐项目，缺Root；无动画，待idle/walking/running/attack/hurt/dead六段与动作母版、状态绑定。未配置AI/伤害/掉落/碰撞或投放。T姿势宽度不作为碰撞尺寸。来源许可待确认。</t>
        </is>
      </c>
      <c r="F10" s="37" t="inlineStr">
        <is>
          <t>既有资产内容不变；未接入运行池</t>
        </is>
      </c>
      <c r="G10" s="37" t="inlineStr">
        <is>
          <t>Codex</t>
        </is>
      </c>
    </row>
    <row r="11">
      <c r="A11" s="37" t="inlineStr">
        <is>
          <t>v0.1.5</t>
        </is>
      </c>
      <c r="B11" s="37" t="inlineStr">
        <is>
          <t>2026-10-03</t>
        </is>
      </c>
      <c r="C11" s="37" t="inlineStr">
        <is>
          <t>骨架修正与动作设计</t>
        </is>
      </c>
      <c r="D11" s="37" t="inlineStr">
        <is>
          <t>敌人</t>
        </is>
      </c>
      <c r="E11" s="37" t="inlineStr">
        <is>
          <t>ENM-NORMAL-FAT-ZOMBIE03；编号03；v002从原始FBX重建，修正v001连接骨重复变换。36核心骨名齐全+30原有附加骨=66；Root无父级、Hip→Root；保留全部权重。512²贴图；游戏高2.2m（源3.142857m×0.70，kind/variant=1）。动作设计r1为13段，动画尚未制作或绑定，未投放。独立骨架签名，不声称共享静止姿态。</t>
        </is>
      </c>
      <c r="F11" s="37" t="inlineStr">
        <is>
          <t>模型与稳定GLB更新；AI/碰撞/伤害未变</t>
        </is>
      </c>
      <c r="G11" s="37" t="inlineStr">
        <is>
          <t>Codex</t>
        </is>
      </c>
    </row>
    <row r="12">
      <c r="A12" s="37" t="inlineStr">
        <is>
          <t>v0.1.6</t>
        </is>
      </c>
      <c r="B12" s="37" t="inlineStr">
        <is>
          <t>2026-10-03</t>
        </is>
      </c>
      <c r="C12" s="37" t="inlineStr">
        <is>
          <t>待机动画制作</t>
        </is>
      </c>
      <c r="D12" s="37" t="inlineStr">
        <is>
          <t>敌人</t>
        </is>
      </c>
      <c r="E12" s="37" t="inlineStr">
        <is>
          <t>编号03；v003待机idle已制作并验收，30fps/F0—96/3.2s循环；压重呼吸、左右2cm移重、低垂握拳，双脚锁地。模型v002/动作v001共享66骨签名，512贴图、站立游戏高2.2m。独立Prefab默认循环idle；其余12段仍设计待制作，未绑定完整AI状态或投放。</t>
        </is>
      </c>
      <c r="F12" s="37" t="inlineStr">
        <is>
          <t>骨架/网格/权重/碰撞不变；仅新增idle</t>
        </is>
      </c>
      <c r="G12" s="37" t="inlineStr">
        <is>
          <t>Codex</t>
        </is>
      </c>
    </row>
    <row r="13">
      <c r="A13" s="37" t="inlineStr">
        <is>
          <t>v0.1.7</t>
        </is>
      </c>
      <c r="B13" s="37" t="inlineStr">
        <is>
          <t>2026-10-03</t>
        </is>
      </c>
      <c r="C13" s="37" t="inlineStr">
        <is>
          <t>张手修正与行走制作</t>
        </is>
      </c>
      <c r="D13" s="37" t="inlineStr">
        <is>
          <t>敌人</t>
        </is>
      </c>
      <c r="E13" s="37" t="inlineStr">
        <is>
          <t>编号03；v004修正右手指姿态，双手自然张开；idle 3.2s与walking 2.0s均30fps循环并验收。walking短步承重、抬脚6cm、参考速度0.30m/s，Root固定。模型v002/动作v002共享66骨签名、512贴图、站立高2.2m；其余11段待制作，未绑定完整AI或投放。</t>
        </is>
      </c>
      <c r="F13" s="37" t="inlineStr">
        <is>
          <t>骨架/网格/权重/碰撞不变；修正idle并新增walking</t>
        </is>
      </c>
      <c r="G13" s="37" t="inlineStr">
        <is>
          <t>Codex</t>
        </is>
      </c>
    </row>
    <row r="14">
      <c r="A14" s="37" t="inlineStr">
        <is>
          <t>v0.1.8</t>
        </is>
      </c>
      <c r="B14" s="37" t="inlineStr">
        <is>
          <t>2026-10-03</t>
        </is>
      </c>
      <c r="C14" s="37" t="inlineStr">
        <is>
          <t>行走屈肘与夸张跑步制作</t>
        </is>
      </c>
      <c r="D14" s="37" t="inlineStr">
        <is>
          <t>敌人</t>
        </is>
      </c>
      <c r="E14" s="37" t="inlineStr">
        <is>
          <t>编号03；v005行走上臂略抬自然屈肘，脚步逐帧保留；新增running 1.2s/30fps，张臂屈肘、胸肩扭摆、髋横摆8cm/起伏6cm、抬脚9cm，顶视剪影清晰。参考跑速0.60m/s。idle/walking/running共3段已验收，余10段待制作；模型v002/动作v003共享66骨签名；未绑定完整AI或投放。</t>
        </is>
      </c>
      <c r="F14" s="37" t="inlineStr">
        <is>
          <t>骨架/网格/权重/碰撞不变；保留idle与行走脚步，修正行走双臂并新增running</t>
        </is>
      </c>
      <c r="G14" s="37" t="inlineStr">
        <is>
          <t>Codex</t>
        </is>
      </c>
    </row>
    <row r="15">
      <c r="A15" s="37" t="inlineStr">
        <is>
          <t>v0.1.9</t>
        </is>
      </c>
      <c r="B15" s="37" t="inlineStr">
        <is>
          <t>2026-10-03</t>
        </is>
      </c>
      <c r="C15" s="37" t="inlineStr">
        <is>
          <t>双手张开向内抱扑攻击制作</t>
        </is>
      </c>
      <c r="D15" s="37" t="inlineStr">
        <is>
          <t>敌人</t>
        </is>
      </c>
      <c r="E15" s="37" t="inlineStr">
        <is>
          <t>编号03；v006新增双手张开向内抱扑attack，30fps/F0—75/2.5s单次，F26—30大幅张臂蓄力、F30—36快速收拢、F36—38压实、F75回待机；双脚承重，Root固定。已有3段逐骨逐帧保留。4段已验收，余9段待制作；模型v002/动作v004共享66骨签名；未绑定完整AI/伤害/投放。</t>
        </is>
      </c>
      <c r="F15" s="37" t="inlineStr">
        <is>
          <t>骨架/网格/权重/碰撞不变；保留idle/walking/running，新增attack</t>
        </is>
      </c>
      <c r="G15" s="37" t="inlineStr">
        <is>
          <t>Codex</t>
        </is>
      </c>
    </row>
    <row r="16">
      <c r="A16" s="37" t="inlineStr">
        <is>
          <t>v0.1.10</t>
        </is>
      </c>
      <c r="B16" s="37" t="inlineStr">
        <is>
          <t>2026-10-03</t>
        </is>
      </c>
      <c r="C16" s="37" t="inlineStr">
        <is>
          <t>攻击终点双掌拍合修正</t>
        </is>
      </c>
      <c r="D16" s="37" t="inlineStr">
        <is>
          <t>敌人</t>
        </is>
      </c>
      <c r="E16" s="37" t="inlineStr">
        <is>
          <t>编号03；v007攻击命中终点改为双掌相向拍合，手掌立起、手指朝前、肘向外撑；F36—38压实停顿，F75回待机。2.5s单次，其他三段保留。模型v002/动作v005；4段已验收，余9段待制作，未绑定伤害逻辑。</t>
        </is>
      </c>
      <c r="F16" s="37" t="inlineStr">
        <is>
          <t>骨架/网格/权重/碰撞不变；保留idle/walking/running，新增attack</t>
        </is>
      </c>
      <c r="G16" s="37" t="inlineStr">
        <is>
          <t>Codex</t>
        </is>
      </c>
    </row>
    <row r="17">
      <c r="A17" s="37" t="inlineStr">
        <is>
          <t>v0.1.新增Boss002</t>
        </is>
      </c>
      <c r="B17" s="77" t="n">
        <v>46298</v>
      </c>
      <c r="C17" s="37" t="inlineStr">
        <is>
          <t>Codex</t>
        </is>
      </c>
      <c r="D17" s="37" t="inlineStr">
        <is>
          <t>ENM-BOSS-MONITOR002-3D</t>
        </is>
      </c>
      <c r="E17" s="37" t="inlineStr">
        <is>
          <t>新增002显示器Boss，仅T Pose无骨骼模型，独立制作明细账；尚无运行时映射</t>
        </is>
      </c>
    </row>
    <row r="18">
      <c r="A18" s="37" t="inlineStr">
        <is>
          <t>v0.1.11</t>
        </is>
      </c>
      <c r="B18" s="37" t="inlineStr">
        <is>
          <t>2026-10-03</t>
        </is>
      </c>
      <c r="C18" s="37" t="inlineStr">
        <is>
          <t>补齐九段基础补充动作</t>
        </is>
      </c>
      <c r="D18" s="37" t="inlineStr">
        <is>
          <t>敌人</t>
        </is>
      </c>
      <c r="E18" s="37" t="inlineStr">
        <is>
          <t>编号03；v008补齐hurt/dead/awaken/alert/turn_l/turn_r/move_start/move_stop/hit_light九段，13段源与导入专项完成。原四段曲线保留，hit_light仅上半身。模型v002/动作v006共享66骨签名；完整AI状态适配、加法受击及伤害/事件仍待绑定，不标记在役。</t>
        </is>
      </c>
      <c r="F18" s="37" t="inlineStr">
        <is>
          <t>骨架/网格/权重/碰撞不变；保留idle/walking/running，新增attack</t>
        </is>
      </c>
      <c r="G18" s="37" t="inlineStr">
        <is>
          <t>Codex</t>
        </is>
      </c>
    </row>
    <row r="19">
      <c r="A19" s="37" t="inlineStr">
        <is>
          <t>v0.1.12</t>
        </is>
      </c>
      <c r="B19" s="37" t="inlineStr">
        <is>
          <t>2026-10-03</t>
        </is>
      </c>
      <c r="C19" s="37" t="inlineStr">
        <is>
          <t>死亡脱离脚锁与弹性回落修正</t>
        </is>
      </c>
      <c r="D19" s="37" t="inlineStr">
        <is>
          <t>敌人</t>
        </is>
      </c>
      <c r="E19" s="37" t="inlineStr">
        <is>
          <t>编号03；v009重做dead：解除脚底锁定、整条腿随身体前倒，F34落地、F40约10cm主回弹、F52约2cm余震，F60—78停稳。其余12段曲线原样保留。13段导入专项验证，玩法适配待接入。模型v002/动作v007。</t>
        </is>
      </c>
      <c r="F19" s="37" t="inlineStr">
        <is>
          <t>骨架/网格/权重/碰撞不变；保留idle/walking/running，新增attack</t>
        </is>
      </c>
      <c r="G19" s="37" t="inlineStr">
        <is>
          <t>Codex</t>
        </is>
      </c>
    </row>
    <row r="20">
      <c r="A20" s="37" t="inlineStr">
        <is>
          <t>v002</t>
        </is>
      </c>
      <c r="B20" s="37" t="inlineStr">
        <is>
          <t>2026-10-03</t>
        </is>
      </c>
      <c r="C20" s="37" t="inlineStr">
        <is>
          <t>Codex</t>
        </is>
      </c>
      <c r="D20" s="37" t="inlineStr">
        <is>
          <t>ENM-BOSS-MONITOR002-3D</t>
        </is>
      </c>
      <c r="E20" s="37" t="inlineStr">
        <is>
          <t>四指手套改为平展姿势；保留v001源</t>
        </is>
      </c>
    </row>
    <row r="21">
      <c r="A21" s="37" t="inlineStr">
        <is>
          <t>v0.1.13</t>
        </is>
      </c>
      <c r="B21" s="37" t="inlineStr">
        <is>
          <t>2026-10-03</t>
        </is>
      </c>
      <c r="C21" s="37" t="inlineStr">
        <is>
          <t>死亡脱离脚锁与弹性回落修正</t>
        </is>
      </c>
      <c r="D21" s="37" t="inlineStr">
        <is>
          <t>敌人</t>
        </is>
      </c>
      <c r="E21" s="37" t="inlineStr">
        <is>
          <t>编号03；v010死亡增加腹部地面压扁形态键及横向展开，降低躯干、手掌和腿部悬空；回弹时部分恢复。模型v003/动作v008，静止骨架与权重保留，其他12段骨曲线保留，非死亡全身动作形态键归零。13段导入验证，玩法适配待接入。</t>
        </is>
      </c>
      <c r="F21" s="37" t="inlineStr">
        <is>
          <t>骨架/网格/权重/碰撞不变；保留idle/walking/running，新增attack</t>
        </is>
      </c>
      <c r="G21" s="37" t="inlineStr">
        <is>
          <t>Codex</t>
        </is>
      </c>
    </row>
    <row r="22">
      <c r="A22" s="37" t="inlineStr">
        <is>
          <t>v003</t>
        </is>
      </c>
      <c r="B22" s="37" t="inlineStr">
        <is>
          <t>2026-10-03</t>
        </is>
      </c>
      <c r="C22" s="37" t="inlineStr">
        <is>
          <t>Codex</t>
        </is>
      </c>
      <c r="D22" s="37" t="inlineStr">
        <is>
          <t>ENM-BOSS-MONITOR002-3D</t>
        </is>
      </c>
      <c r="E22" s="37" t="inlineStr">
        <is>
          <t>圆头手指；整套低于20000三角面；image-2代码与表情贴图；键盘减面无字</t>
        </is>
      </c>
    </row>
    <row r="23">
      <c r="A23" s="37" t="inlineStr">
        <is>
          <t>v0.1.14</t>
        </is>
      </c>
      <c r="B23" s="37" t="inlineStr">
        <is>
          <t>2026-10-03</t>
        </is>
      </c>
      <c r="C23" s="37" t="inlineStr">
        <is>
          <t>胖子僵尸03正式运行配置</t>
        </is>
      </c>
      <c r="D23" s="37" t="inlineStr">
        <is>
          <t>敌人</t>
        </is>
      </c>
      <c r="E23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150项、负向循环故障检出及真实Forward+四图通过。</t>
        </is>
      </c>
      <c r="F23" s="37" t="inlineStr">
        <is>
          <t>新增kind复用FSM；既有七类玩法默认值保留</t>
        </is>
      </c>
      <c r="G23" s="37" t="inlineStr">
        <is>
          <t>Codex</t>
        </is>
      </c>
    </row>
    <row r="24">
      <c r="A24" s="37" t="inlineStr">
        <is>
          <t>v004</t>
        </is>
      </c>
      <c r="B24" s="37" t="inlineStr">
        <is>
          <t>2026-10-03</t>
        </is>
      </c>
      <c r="C24" s="37" t="inlineStr">
        <is>
          <t>Codex</t>
        </is>
      </c>
      <c r="D24" s="37" t="inlineStr">
        <is>
          <t>ENM-BOSS-MONITOR002-3D</t>
        </is>
      </c>
      <c r="E24" s="37" t="inlineStr">
        <is>
          <t>六表情图集与可切换预览，保持18144面</t>
        </is>
      </c>
    </row>
    <row r="25">
      <c r="A25" s="37" t="inlineStr">
        <is>
          <t>v0.1.15</t>
        </is>
      </c>
      <c r="B25" s="37" t="inlineStr">
        <is>
          <t>2026-10-03</t>
        </is>
      </c>
      <c r="C25" s="37" t="inlineStr">
        <is>
          <t>壳甲卫兵退役，由03胖子僵尸接替</t>
        </is>
      </c>
      <c r="D25" s="37" t="inlineStr">
        <is>
          <t>敌人</t>
        </is>
      </c>
      <c r="E25" s="37" t="inlineStr">
        <is>
          <t>远征纵列1只/桥心4只，数量延迟保留；所有现行shielded池改fat_zombie03</t>
        </is>
      </c>
      <c r="F25" s="37" t="inlineStr">
        <is>
          <t>旧存档兼容与未实装精英设计保留</t>
        </is>
      </c>
      <c r="G25" s="37" t="inlineStr">
        <is>
          <t>Codex</t>
        </is>
      </c>
    </row>
    <row r="26">
      <c r="A26" s="37" t="inlineStr">
        <is>
          <t>v005</t>
        </is>
      </c>
      <c r="B26" s="37" t="inlineStr">
        <is>
          <t>2026-10-03</t>
        </is>
      </c>
      <c r="C26" s="37" t="inlineStr">
        <is>
          <t>Codex</t>
        </is>
      </c>
      <c r="D26" s="37" t="inlineStr">
        <is>
          <t>ENM-BOSS-MONITOR002-3D</t>
        </is>
      </c>
      <c r="E26" s="37" t="inlineStr">
        <is>
          <t>41骨蒙皮与双母版；六表情状态；21项源级验收通过</t>
        </is>
      </c>
    </row>
    <row r="27">
      <c r="A27" s="37" t="inlineStr">
        <is>
          <t>v006</t>
        </is>
      </c>
      <c r="B27" s="37" t="inlineStr">
        <is>
          <t>2026-10-04</t>
        </is>
      </c>
      <c r="C27" s="37" t="inlineStr">
        <is>
          <t>Codex</t>
        </is>
      </c>
      <c r="D27" s="37" t="inlineStr">
        <is>
          <t>ENM-BOSS-MONITOR002-3D</t>
        </is>
      </c>
      <c r="E27" s="37" t="inlineStr">
        <is>
          <t>中心后轴、每臂6骨、3材质、向上代码滚动；32项检查通过</t>
        </is>
      </c>
    </row>
    <row r="28">
      <c r="A28" s="37" t="inlineStr">
        <is>
          <t>v007</t>
        </is>
      </c>
      <c r="B28" s="37" t="inlineStr">
        <is>
          <t>2026-10-04</t>
        </is>
      </c>
      <c r="C28" s="37" t="inlineStr">
        <is>
          <t>Codex</t>
        </is>
      </c>
      <c r="D28" s="37" t="inlineStr">
        <is>
          <t>ENM-BOSS-MONITOR002-3D</t>
        </is>
      </c>
      <c r="E28" s="37" t="inlineStr">
        <is>
          <t>五官按红框下移，10类/15剪辑动画设计，正式动作未制作；33项检查通过</t>
        </is>
      </c>
    </row>
    <row r="29">
      <c r="A29" s="37" t="inlineStr">
        <is>
          <t>v008</t>
        </is>
      </c>
      <c r="B29" s="37" t="inlineStr">
        <is>
          <t>2026-10-04</t>
        </is>
      </c>
      <c r="C29" s="37" t="inlineStr">
        <is>
          <t>Codex</t>
        </is>
      </c>
      <c r="D29" s="37" t="inlineStr">
        <is>
          <t>ENM-BOSS-MONITOR002-3D</t>
        </is>
      </c>
      <c r="E29" s="37" t="inlineStr">
        <is>
          <t>五官恢复；正式idle循环，弧线下垂双臂和滞后回摆；9项检查通过</t>
        </is>
      </c>
    </row>
    <row r="30">
      <c r="A30" s="37" t="inlineStr">
        <is>
          <t>v009</t>
        </is>
      </c>
      <c r="B30" s="37" t="inlineStr">
        <is>
          <t>2026-10-04</t>
        </is>
      </c>
      <c r="C30" s="37" t="inlineStr">
        <is>
          <t>Codex</t>
        </is>
      </c>
      <c r="D30" s="37" t="inlineStr">
        <is>
          <t>ENM-BOSS-MONITOR002-3D</t>
        </is>
      </c>
      <c r="E30" s="37" t="inlineStr">
        <is>
          <t>待机重做握持：四指夹键盘、握线；16节垂线及朝下插头；16项检查通过</t>
        </is>
      </c>
    </row>
    <row r="31">
      <c r="A31" s="37" t="inlineStr">
        <is>
          <t>v010</t>
        </is>
      </c>
      <c r="B31" s="37" t="inlineStr">
        <is>
          <t>2026-10-04</t>
        </is>
      </c>
      <c r="C31" s="37" t="inlineStr">
        <is>
          <t>Codex</t>
        </is>
      </c>
      <c r="D31" s="37" t="inlineStr">
        <is>
          <t>ENM-BOSS-MONITOR002-3D</t>
        </is>
      </c>
      <c r="E31" s="37" t="inlineStr">
        <is>
          <t>橡皮管风格idle：强弧臂、键盘中段握持、呼吸浮动和代码UV上升；21项检查通过</t>
        </is>
      </c>
    </row>
    <row r="32">
      <c r="A32" s="37" t="inlineStr">
        <is>
          <t>v011</t>
        </is>
      </c>
      <c r="B32" s="37" t="inlineStr">
        <is>
          <t>2026-10-04</t>
        </is>
      </c>
      <c r="C32" s="37" t="inlineStr">
        <is>
          <t>Codex</t>
        </is>
      </c>
      <c r="D32" s="37" t="inlineStr">
        <is>
          <t>ENM-BOSS-MONITOR002-3D</t>
        </is>
      </c>
      <c r="E32" s="37" t="inlineStr">
        <is>
          <t>新增move：底座左右23度压重与46厘米横移、弹性滞后；保留idle；26项检查通过</t>
        </is>
      </c>
    </row>
    <row r="33">
      <c r="A33" s="37" t="inlineStr">
        <is>
          <t>v012</t>
        </is>
      </c>
      <c r="B33" s="37" t="inlineStr">
        <is>
          <t>2026-10-04</t>
        </is>
      </c>
      <c r="C33" s="37" t="inlineStr">
        <is>
          <t>Codex</t>
        </is>
      </c>
      <c r="D33" s="37" t="inlineStr">
        <is>
          <t>ENM-BOSS-MONITOR002-3D</t>
        </is>
      </c>
      <c r="E33" s="37" t="inlineStr">
        <is>
          <t>新增键盘普通攻击：举高蓄力、停顿、六帧砸下、低位回收，表情切换；20项检查通过</t>
        </is>
      </c>
    </row>
    <row r="34">
      <c r="A34" s="37" t="inlineStr">
        <is>
          <t>v0.1.16</t>
        </is>
      </c>
      <c r="B34" s="37" t="inlineStr">
        <is>
          <t>2026-10-04</t>
        </is>
      </c>
      <c r="C34" s="37" t="inlineStr">
        <is>
          <t>死亡表现视野与回收修复</t>
        </is>
      </c>
      <c r="D34" s="37" t="inlineStr">
        <is>
          <t>敌人</t>
        </is>
      </c>
      <c r="E34" s="37" t="inlineStr">
        <is>
          <t>2026-10-04修复游戏内死亡隐藏：尸体退出AI后独立视野组继续判定距离/遮挡，表现帧计时推进2.6秒倒地/腹部接地/回弹后回收；AI休眠不暂停死亡。真实Player3D视野逻辑与Forward+四帧截图通过，负向原失踪条件检出；胖子152项/小僵尸死亡/玩家视野回归通过。</t>
        </is>
      </c>
      <c r="F34" s="37" t="inlineStr">
        <is>
          <t>美术源/导出不变；Owner Enemy3D/PlayerVision3D</t>
        </is>
      </c>
      <c r="G34" s="37" t="inlineStr">
        <is>
          <t>Codex</t>
        </is>
      </c>
    </row>
    <row r="35">
      <c r="A35" s="37" t="inlineStr">
        <is>
          <t>v031/S2</t>
        </is>
      </c>
      <c r="B35" s="37" t="inlineStr">
        <is>
          <t>2026-10-06</t>
        </is>
      </c>
      <c r="C35" s="37" t="inlineStr">
        <is>
          <t>Codex</t>
        </is>
      </c>
      <c r="D35" s="37" t="inlineStr">
        <is>
          <t>ENM-BOSS-MONITOR002-3D</t>
        </is>
      </c>
      <c r="E35" s="37" t="inlineStr">
        <is>
          <t>双母版签名比对、纯视觉GLB与骨姿态采样导出；中转character_transfer_ledger.json</t>
        </is>
      </c>
    </row>
    <row r="36">
      <c r="A36" s="37" t="inlineStr">
        <is>
          <t>v031/S3</t>
        </is>
      </c>
      <c r="B36" s="37" t="inlineStr">
        <is>
          <t>2026-10-06</t>
        </is>
      </c>
      <c r="C36" s="37" t="inlineStr">
        <is>
          <t>Codex</t>
        </is>
      </c>
      <c r="D36" s="37" t="inlineStr">
        <is>
          <t>ENM-BOSS-MONITOR002-3D</t>
        </is>
      </c>
      <c r="E36" s="37" t="inlineStr">
        <is>
          <t>独立PackedScene加载，根1，无碰撞，64骨；骨与变形网格边界比对通过</t>
        </is>
      </c>
    </row>
    <row r="37">
      <c r="A37" s="37" t="inlineStr">
        <is>
          <t>v031/S4-S5</t>
        </is>
      </c>
      <c r="B37" s="37" t="inlineStr">
        <is>
          <t>2026-10-06</t>
        </is>
      </c>
      <c r="C37" s="37" t="inlineStr">
        <is>
          <t>Codex</t>
        </is>
      </c>
      <c r="D37" s="37" t="inlineStr">
        <is>
          <t>ENM-BOSS-MONITOR002-3D</t>
        </is>
      </c>
      <c r="E37" s="37" t="inlineStr">
        <is>
          <t>v031正式接入：16源剪辑/64骨/十二态/四技能/三阶段；根驱动弹簧甩臂、双螺旋坐地、黄色单帧闪形及接地电流；507项专项及真实渲染10关键帧通过；Enemy3D拥有碰撞/AI/伤害；远征01 Boss房调用boss_monitor002。；asset_guard分类：version_increment。</t>
        </is>
      </c>
    </row>
    <row r="38">
      <c r="A38" s="37" t="inlineStr">
        <is>
          <t>v017</t>
        </is>
      </c>
      <c r="B38" s="37" t="inlineStr">
        <is>
          <t>2026-10-05</t>
        </is>
      </c>
      <c r="C38" s="37" t="inlineStr">
        <is>
          <t>Codex</t>
        </is>
      </c>
      <c r="D38" s="37" t="inlineStr">
        <is>
          <t>ENM-BOSS-MONITOR002-3D</t>
        </is>
      </c>
      <c r="E38" s="37" t="inlineStr">
        <is>
          <t>v017 源级制作：深化heavy_spin_slam：双手惯性滞后与腕部跟随；专用旋转弧带；19度后仰、停顿、6帧加速砸地、回弹压稳。原三个动作保持。保留idle/move。特效为独立预览集合；未导出/未接入Godot。</t>
        </is>
      </c>
    </row>
    <row r="39">
      <c r="A39" s="37" t="inlineStr">
        <is>
          <t>v018</t>
        </is>
      </c>
      <c r="B39" s="37" t="inlineStr">
        <is>
          <t>2026-10-05</t>
        </is>
      </c>
      <c r="C39" s="37" t="inlineStr">
        <is>
          <t>Codex</t>
        </is>
      </c>
      <c r="D39" s="37" t="inlineStr">
        <is>
          <t>ENM-BOSS-MONITOR002-3D</t>
        </is>
      </c>
      <c r="E39" s="37" t="inlineStr">
        <is>
          <t>v018 源级制作：重击特效改为高饱和正红/亮蓝，降低发光避免冲淡；四个角色动作曲线与v017完全相同。保留idle/move。特效为独立预览集合；未导出/未接入Godot。</t>
        </is>
      </c>
    </row>
    <row r="40">
      <c r="A40" s="37" t="inlineStr">
        <is>
          <t>v019</t>
        </is>
      </c>
      <c r="B40" s="37" t="inlineStr">
        <is>
          <t>2026-10-05</t>
        </is>
      </c>
      <c r="C40" s="37" t="inlineStr">
        <is>
          <t>Codex</t>
        </is>
      </c>
      <c r="D40" s="37" t="inlineStr">
        <is>
          <t>ENM-BOSS-MONITOR002-3D</t>
        </is>
      </c>
      <c r="E40" s="37" t="inlineStr">
        <is>
          <t>v019 源级制作：重击特效改为纯色块加清晰勾线，去掉涂鸦纹理；高饱和红蓝；四个角色动作曲线与v017完全相同。保留idle/move。特效为独立预览集合；未导出/未接入Godot。</t>
        </is>
      </c>
    </row>
    <row r="41">
      <c r="A41" s="37" t="inlineStr">
        <is>
          <t>v020</t>
        </is>
      </c>
      <c r="B41" s="37" t="inlineStr">
        <is>
          <t>2026-10-05</t>
        </is>
      </c>
      <c r="C41" s="37" t="inlineStr">
        <is>
          <t>Codex</t>
        </is>
      </c>
      <c r="D41" s="37" t="inlineStr">
        <is>
          <t>ENM-BOSS-MONITOR002-3D</t>
        </is>
      </c>
      <c r="E41" s="37" t="inlineStr">
        <is>
          <t>v020 源级制作：重击特效重新设计为无勾线冷蓝色块、分段脉冲环、惯性旋转光带及少量玫红数据碎片，降低整体饱和度；四个角色动作曲线与v017完全相同。保留idle/move。特效为独立预览集合；未导出/未接入Godot。</t>
        </is>
      </c>
    </row>
    <row r="42">
      <c r="A42" s="37" t="inlineStr">
        <is>
          <t>v021</t>
        </is>
      </c>
      <c r="B42" s="37" t="inlineStr">
        <is>
          <t>2026-10-05</t>
        </is>
      </c>
      <c r="C42" s="37" t="inlineStr">
        <is>
          <t>Codex</t>
        </is>
      </c>
      <c r="D42" s="37" t="inlineStr">
        <is>
          <t>ENM-BOSS-MONITOR002-3D</t>
        </is>
      </c>
      <c r="E42" s="37" t="inlineStr">
        <is>
          <t>v021 源级制作：砸地第65帧增加冰白高亮锯齿爆裂色块及瞬时地面补光，仅持续1帧；保留v020无勾线赛博脉冲；四个角色动作曲线与v017完全相同。保留idle/move。特效为独立预览集合；未导出/未接入Godot。</t>
        </is>
      </c>
    </row>
    <row r="43">
      <c r="A43" s="37" t="inlineStr">
        <is>
          <t>v022</t>
        </is>
      </c>
      <c r="B43" s="37" t="inlineStr">
        <is>
          <t>2026-10-05</t>
        </is>
      </c>
      <c r="C43" s="37" t="inlineStr">
        <is>
          <t>Codex</t>
        </is>
      </c>
      <c r="D43" s="37" t="inlineStr">
        <is>
          <t>ENM-BOSS-MONITOR002-3D</t>
        </is>
      </c>
      <c r="E43" s="37" t="inlineStr">
        <is>
          <t>v022 源级制作：砸地第65帧增加黄色高亮锯齿爆裂色块及瞬时地面补光，仅持续1帧；保留v020无勾线赛博脉冲；四个角色动作曲线与v017完全相同。保留idle/move。特效为独立预览集合；未导出/未接入Godot。</t>
        </is>
      </c>
    </row>
    <row r="44">
      <c r="A44" s="37" t="inlineStr">
        <is>
          <t>v023</t>
        </is>
      </c>
      <c r="B44" s="37" t="inlineStr">
        <is>
          <t>2026-10-05</t>
        </is>
      </c>
      <c r="C44" s="37" t="inlineStr">
        <is>
          <t>Codex</t>
        </is>
      </c>
      <c r="D44" s="37" t="inlineStr">
        <is>
          <t>ENM-BOSS-MONITOR002-3D</t>
        </is>
      </c>
      <c r="E44" s="37" t="inlineStr">
        <is>
          <t>v023 新增melee_cable数据线近战：后撤蓄力、17至21帧停顿、身前弧形横甩、16段线身延迟、双臂惯性与回收；特效采用普通键盘攻击蓝/玫红/亮色。原四个动作不变。241次连续采样通过，未导出或接入Godot。</t>
        </is>
      </c>
    </row>
    <row r="45">
      <c r="A45" s="37" t="inlineStr">
        <is>
          <t>v024</t>
        </is>
      </c>
      <c r="B45" s="37" t="inlineStr">
        <is>
          <t>2026-10-05</t>
        </is>
      </c>
      <c r="C45" s="37" t="inlineStr">
        <is>
          <t>Codex</t>
        </is>
      </c>
      <c r="D45" s="37" t="inlineStr">
        <is>
          <t>ENM-BOSS-MONITOR002-3D</t>
        </is>
      </c>
      <c r="E45" s="37" t="inlineStr">
        <is>
          <t>v024 数据线甩击修订：双手以后轴局部坐标随身体平移和旋转；前摇1.5圈螺旋甩线、短停后快速横甩，拖尾65点曲线采样与切线带面。保留原四个动作，未接入Godot。</t>
        </is>
      </c>
    </row>
    <row r="46">
      <c r="A46" s="37" t="inlineStr">
        <is>
          <t>v025</t>
        </is>
      </c>
      <c r="B46" s="37" t="inlineStr">
        <is>
          <t>2026-10-05</t>
        </is>
      </c>
      <c r="C46" s="37" t="inlineStr">
        <is>
          <t>Codex</t>
        </is>
      </c>
      <c r="D46" s="37" t="inlineStr">
        <is>
          <t>ENM-BOSS-MONITOR002-3D</t>
        </is>
      </c>
      <c r="E46" s="37" t="inlineStr">
        <is>
          <t>v025 双臂改为肩关节先行的固定段长FK链，手腕继承末段变换，取消世界手部目标；减弱身体位移与偏航，修正支撑骨混合翻滚。专项轨迹与正侧视验收，未接入Godot。</t>
        </is>
      </c>
    </row>
    <row r="47">
      <c r="A47" s="37" t="inlineStr">
        <is>
          <t>v026</t>
        </is>
      </c>
      <c r="B47" s="37" t="inlineStr">
        <is>
          <t>2026-10-05</t>
        </is>
      </c>
      <c r="C47" s="37" t="inlineStr">
        <is>
          <t>Codex</t>
        </is>
      </c>
      <c r="D47" s="37" t="inlineStr">
        <is>
          <t>ENM-BOSS-MONITOR002-3D</t>
        </is>
      </c>
      <c r="E47" s="37" t="inlineStr">
        <is>
          <t>v026 补齐剩余五类十剪辑：special四段、hurt、stun三段、turn_left/right。肩侧带动双手，前后错拍与腕部回弹；插地锁点及坐地接触专项检查。15个正式动作源级制作，未导出或接入Godot。</t>
        </is>
      </c>
    </row>
    <row r="48">
      <c r="A48" s="37" t="inlineStr">
        <is>
          <t>v027</t>
        </is>
      </c>
      <c r="B48" s="37" t="inlineStr">
        <is>
          <t>2026-10-05</t>
        </is>
      </c>
      <c r="C48" s="37" t="inlineStr">
        <is>
          <t>Codex</t>
        </is>
      </c>
      <c r="D48" s="37" t="inlineStr">
        <is>
          <t>ENM-BOSS-MONITOR002-3D</t>
        </is>
      </c>
      <c r="E48" s="37" t="inlineStr">
        <is>
          <t>v027 受击后坐地一次反弹并进入眩晕：螺旋眼、环绕星星、单帧黄色受击闪形；特殊攻击接地线缆增加随骨骼蓝色电流，拔出关闭。15动作，源级检查，未导出或接入Godot。</t>
        </is>
      </c>
    </row>
    <row r="49">
      <c r="A49" s="37" t="inlineStr">
        <is>
          <t>v028</t>
        </is>
      </c>
      <c r="B49" s="37" t="inlineStr">
        <is>
          <t>2026-10-05</t>
        </is>
      </c>
      <c r="C49" s="37" t="inlineStr">
        <is>
          <t>Codex</t>
        </is>
      </c>
      <c r="D49" s="37" t="inlineStr">
        <is>
          <t>ENM-BOSS-MONITOR002-3D</t>
        </is>
      </c>
      <c r="E49" s="37" t="inlineStr">
        <is>
          <t>v028 仅调整新增五类十段手臂：特殊四段、受击、眩晕三段、左右转。显示器侧根部发力，绳鞭式C/S弯曲逐段传递，弹簧长度压缩/伸长、腕部拖后回弹；原五个动作曲线保持。插线接触点保留；未导出或接入Godot。</t>
        </is>
      </c>
    </row>
    <row r="50">
      <c r="A50" s="37" t="inlineStr">
        <is>
          <t>v029</t>
        </is>
      </c>
      <c r="B50" s="37" t="inlineStr">
        <is>
          <t>2026-10-06</t>
        </is>
      </c>
      <c r="C50" s="37" t="inlineStr">
        <is>
          <t>Codex</t>
        </is>
      </c>
      <c r="D50" s="37" t="inlineStr">
        <is>
          <t>ENM-BOSS-MONITOR002-3D</t>
        </is>
      </c>
      <c r="E50" s="37" t="inlineStr">
        <is>
          <t>v029 击晕第二次坐地后双手张开摊地，弹簧臂松弛弯垂，键盘平放、数据线低放，眩晕循环保持，起身收回；只改stun三段，其他12段保持，未导出或接入Godot。</t>
        </is>
      </c>
    </row>
    <row r="51">
      <c r="A51" s="37" t="inlineStr">
        <is>
          <t>v030</t>
        </is>
      </c>
      <c r="B51" s="37" t="inlineStr">
        <is>
          <t>2026-10-06</t>
        </is>
      </c>
      <c r="C51" s="37" t="inlineStr">
        <is>
          <t>Codex</t>
        </is>
      </c>
      <c r="D51" s="37" t="inlineStr">
        <is>
          <t>ENM-BOSS-MONITOR002-3D</t>
        </is>
      </c>
      <c r="E51" s="37" t="inlineStr">
        <is>
          <t>v030 图1叉眼吐舌用于hurt及stun_enter受击前段；图2坐地眩晕改为双螺旋眼，stun_loop保持。imagegen内置工具制作透明图集，已打包双母版；未导出或接入Godot。</t>
        </is>
      </c>
    </row>
    <row r="52" ht="150" customHeight="1" s="38">
      <c r="A52" s="89" t="inlineStr">
        <is>
          <t>v031</t>
        </is>
      </c>
      <c r="B52" s="89" t="inlineStr">
        <is>
          <t>2026-10-07</t>
        </is>
      </c>
      <c r="C52" s="89" t="inlineStr">
        <is>
          <t>Codex</t>
        </is>
      </c>
      <c r="D52" s="89" t="inlineStr">
        <is>
          <t>ENM-BOSS-MONITOR002-3D</t>
        </is>
      </c>
      <c r="E52" s="89" t="inlineStr">
        <is>
          <t>补录v031正式接入及远征01房间投放验收。远征01正式Boss房投放：box_boss_arena首波生成1只，房间共3波。5200HP、4技能、3阶段。全清后按原钥匙/门策略前往STANDARD撤离；重进不重刷，不发塔楼下行权限。2026-10-07房间流程25项通过；技能专项507项通过。见2026-10-07_expedition01_monitor_boss_spawn.md。</t>
        </is>
      </c>
      <c r="F52" s="89" t="inlineStr">
        <is>
          <t>docs/v0.1/development/2026-10-07_expedition01_monitor_boss_spawn.md</t>
        </is>
      </c>
      <c r="G52" s="89" t="inlineStr">
        <is>
          <t>原资产ID、v031、active保持；未重导模型。</t>
        </is>
      </c>
    </row>
    <row r="53" ht="150" customHeight="1" s="38">
      <c r="A53" s="89" t="inlineStr">
        <is>
          <t>v032</t>
        </is>
      </c>
      <c r="B53" s="89" t="inlineStr">
        <is>
          <t>2026-10-08</t>
        </is>
      </c>
      <c r="C53" s="89" t="inlineStr">
        <is>
          <t>Codex</t>
        </is>
      </c>
      <c r="D53" s="89" t="inlineStr">
        <is>
          <t>ENM-BOSS-MONITOR002-3D</t>
        </is>
      </c>
      <c r="E53" s="89" t="inlineStr">
        <is>
          <t>v032：仅move改为底座平放左右挪动0.46m，机身左右扭转约41°，双臂柔性跟随。1.6s/48帧，其他15剪辑与四技能时序保留。源97采样、Godot509项、48帧真实渲染通过；previews/move_v032/monitor_walk.mp4。远征01首波1只/3波清房/钥匙通行/ STANDARD撤离规则保留。</t>
        </is>
      </c>
      <c r="F53" s="89" t="inlineStr">
        <is>
          <t>docs/v0.1/development/2026-10-08_boss002_grounded_move.md</t>
        </is>
      </c>
      <c r="G53" s="89" t="inlineStr">
        <is>
          <t>不改模型几何、玩法或其余动作</t>
        </is>
      </c>
    </row>
    <row r="54">
      <c r="A54" s="89" t="inlineStr">
        <is>
          <t>v033</t>
        </is>
      </c>
      <c r="B54" s="89" t="inlineStr">
        <is>
          <t>2026-10-08</t>
        </is>
      </c>
      <c r="C54" s="89" t="inlineStr">
        <is>
          <t>Codex</t>
        </is>
      </c>
      <c r="D54" s="89" t="inlineStr">
        <is>
          <t>ENM-BOSS-MONITOR002-3D</t>
        </is>
      </c>
      <c r="E54" s="89" t="inlineStr">
        <is>
          <t>v033：回到v031原版move，仅底座最大侧翘23°减为10°并重算接地高度。原横移、机身、双臂、腕部节奏保留，1.6s/48帧。其余15剪辑完全不变。源97采样及Godot专项、真实渲染证据见previews/move_v033。远征01投放、四技能、三阶段规则保留。</t>
        </is>
      </c>
      <c r="F54" s="89" t="inlineStr">
        <is>
          <t>docs/v0.1/development/2026-10-08_boss002_reduced_lift.md</t>
        </is>
      </c>
      <c r="G54" s="89" t="inlineStr">
        <is>
          <t>不改模型几何、玩法或其余动作</t>
        </is>
      </c>
    </row>
    <row r="55">
      <c r="A55" s="37" t="inlineStr">
        <is>
          <t>v031</t>
        </is>
      </c>
      <c r="B55" s="37" t="inlineStr">
        <is>
          <t>2026-10-08</t>
        </is>
      </c>
      <c r="C55" s="37" t="inlineStr">
        <is>
          <t>Codex</t>
        </is>
      </c>
      <c r="D55" s="37" t="inlineStr">
        <is>
          <t>ENM-BOSS-MONITOR002-3D</t>
        </is>
      </c>
      <c r="E55" s="37" t="inlineStr">
        <is>
          <t>恢复v031老版走路；底座23°侧翘、原横移与手臂节奏。其余15剪辑、四技能、三阶段与远征01投放不变。</t>
        </is>
      </c>
      <c r="F55" s="37" t="inlineStr">
        <is>
          <t>docs/v0.1/development/2026-10-08_boss002_restore_v031.md</t>
        </is>
      </c>
      <c r="G55" s="37" t="inlineStr">
        <is>
          <t>用户要求回退，保留v032/v033历史源文件</t>
        </is>
      </c>
    </row>
    <row r="56">
      <c r="A56" s="37" t="inlineStr">
        <is>
          <t>v034</t>
        </is>
      </c>
      <c r="B56" s="37" t="inlineStr">
        <is>
          <t>2026-10-08</t>
        </is>
      </c>
      <c r="C56" s="37" t="inlineStr">
        <is>
          <t>Codex</t>
        </is>
      </c>
      <c r="D56" s="37" t="inlineStr">
        <is>
          <t>ENM-BOSS-MONITOR002-3D</t>
        </is>
      </c>
      <c r="E56" s="37" t="inlineStr">
        <is>
          <t>v034新增activate出场6.4s/192帧：黑屏、代码上刷、断线火花、两次挣扎、弹簧双臂伸出、抓键盘、五官弹出。原16动作曲线和采样数据保留；静态键盘握持挂点校正。首次激活alert承载，休眠续播、保存进度、死亡优先；四技能与三阶段数值不变。</t>
        </is>
      </c>
      <c r="F56" s="37" t="inlineStr">
        <is>
          <t>docs/v0.1/development/2026-10-08_boss002_activation.md</t>
        </is>
      </c>
      <c r="G56" s="37" t="inlineStr">
        <is>
          <t>新增出场；保留v031动作，修正键盘静态挂点</t>
        </is>
      </c>
    </row>
    <row r="57">
      <c r="A57" s="37" t="inlineStr">
        <is>
          <t>v034规则修订</t>
        </is>
      </c>
      <c r="B57" s="37" t="inlineStr">
        <is>
          <t>2026-10-08</t>
        </is>
      </c>
      <c r="C57" s="37" t="inlineStr">
        <is>
          <t>Codex</t>
        </is>
      </c>
      <c r="D57" s="37" t="inlineStr">
        <is>
          <t>ENM-BOSS-MONITOR002-3D</t>
        </is>
      </c>
      <c r="E57" s="37" t="inlineStr">
        <is>
          <t>首次激活需存活玩家距Boss根节点≤10世界米；范围外黑屏静止。触发后完整播放activate6.4秒再战斗，离开范围不取消；休眠及读档续播。562项专项、29项正式远征流程通过。</t>
        </is>
      </c>
      <c r="F57" s="37" t="inlineStr">
        <is>
          <t>docs/v0.1/development/2026-10-08_boss002_activation_distance.md</t>
        </is>
      </c>
      <c r="G57" s="37" t="inlineStr">
        <is>
          <t>动画数据保持不变</t>
        </is>
      </c>
    </row>
    <row r="58">
      <c r="A58" s="37" t="inlineStr">
        <is>
          <t>v035</t>
        </is>
      </c>
      <c r="B58" s="37" t="inlineStr">
        <is>
          <t>2026-10-08</t>
        </is>
      </c>
      <c r="C58" s="37" t="inlineStr">
        <is>
          <t>Codex</t>
        </is>
      </c>
      <c r="D58" s="37" t="inlineStr">
        <is>
          <t>ENM-BOSS-MONITOR002-3D</t>
        </is>
      </c>
      <c r="E58" s="37" t="inlineStr">
        <is>
          <t>v035仅屏幕总成沿角色前向平移0.5米，排除下沿支杆穿插。外壳、代码与五官同步；其它骨骼矩阵、旋转/缩放、17剪辑时长、双手、特效及10米激活规则均不变。562项专项通过；真实出场214帧验证。</t>
        </is>
      </c>
      <c r="F58" s="37" t="inlineStr">
        <is>
          <t>docs/v0.1/development/2026-10-08_boss002_screen_clearance.md</t>
        </is>
      </c>
      <c r="G58" s="37" t="inlineStr">
        <is>
          <t>仅屏幕前移</t>
        </is>
      </c>
    </row>
    <row r="59">
      <c r="A59" s="37" t="inlineStr">
        <is>
          <t>v0.1.17</t>
        </is>
      </c>
      <c r="B59" s="37" t="inlineStr">
        <is>
          <t>2026-10-09</t>
        </is>
      </c>
      <c r="C59" s="37" t="inlineStr">
        <is>
          <t>胖子僵尸减面重新导入</t>
        </is>
      </c>
      <c r="D59" s="37" t="inlineStr">
        <is>
          <t>敌人</t>
        </is>
      </c>
      <c r="E59" s="37" t="inlineStr">
        <is>
          <t>2026-10-09 v012减面：5690→1979三角（减少65.22%）；脸手特征加权保留，512贴图/66骨/13段动画保留；死亡接地形态键重新拟合。模型v004/动作v009；Godot153项及死亡视野真实渲染通过。</t>
        </is>
      </c>
      <c r="F59" s="37" t="inlineStr">
        <is>
          <t>仅目标资产；动作/状态机/碰撞契约保留</t>
        </is>
      </c>
      <c r="G59" s="37" t="inlineStr">
        <is>
          <t>Codex</t>
        </is>
      </c>
    </row>
    <row r="60">
      <c r="A60" s="37" t="inlineStr">
        <is>
          <t>v0.1.18</t>
        </is>
      </c>
      <c r="B60" s="37" t="inlineStr">
        <is>
          <t>2026-10-09</t>
        </is>
      </c>
      <c r="C60" s="37" t="inlineStr">
        <is>
          <t>小僵尸减面减骨重新蒙皮</t>
        </is>
      </c>
      <c r="D60" s="37" t="inlineStr">
        <is>
          <t>敌人</t>
        </is>
      </c>
      <c r="E60" s="37" t="inlineStr">
        <is>
          <t>2026-10-09 v004减面与减骨：4552→1790三角，897顶点；36→20骨，移除16根手指骨，每手仅一根手骨；自然弯曲形状固定，手指权重合并至手骨并重新归一。512贴图/六段身体动作/12态/碰撞/受击闪色/2.4秒死亡保留。源重开、半帧蒙皮检查、运行专项及死亡视野真实渲染通过。</t>
        </is>
      </c>
      <c r="F60" s="37" t="inlineStr">
        <is>
          <t>用户授权移除手指独立动画；其余契约保留</t>
        </is>
      </c>
      <c r="G60" s="37" t="inlineStr">
        <is>
          <t>Codex</t>
        </is>
      </c>
    </row>
    <row r="61" ht="70" customHeight="1" s="38">
      <c r="A61" s="55" t="inlineStr">
        <is>
          <t>v0.1.19</t>
        </is>
      </c>
      <c r="B61" s="55" t="inlineStr">
        <is>
          <t>2026-10-16</t>
        </is>
      </c>
      <c r="C61" s="48" t="inlineStr">
        <is>
          <t>近战受击硬直</t>
        </is>
      </c>
      <c r="D61" s="48" t="inlineStr">
        <is>
          <t>近战差异 v041</t>
        </is>
      </c>
      <c r="E61" s="48" t="inlineStr">
        <is>
          <t>增加公开近战硬直接口；不改敌人模型动作源与Boss策略。</t>
        </is>
      </c>
      <c r="F61" s="48" t="inlineStr">
        <is>
          <t>docs/v0.1/development/2026-10-16_melee_styles_v041.md</t>
        </is>
      </c>
      <c r="G61" s="48" t="inlineStr">
        <is>
          <t>Codex</t>
        </is>
      </c>
    </row>
    <row r="62" s="38">
      <c r="A62" s="55" t="inlineStr">
        <is>
          <t>v0.1.20</t>
        </is>
      </c>
      <c r="B62" s="55" t="inlineStr">
        <is>
          <t>2026-10-29</t>
        </is>
      </c>
      <c r="C62" s="48" t="inlineStr">
        <is>
          <t>新增资产行（表现占位）</t>
        </is>
      </c>
      <c r="D62" s="48" t="inlineStr">
        <is>
          <t>远征03 复刻怪</t>
        </is>
      </c>
      <c r="E62" s="48" t="inlineStr">
        <is>
          <t>新增 12 行：子弹小子/头巾小子/老兵小子/红霰弹枪小子/蓝霰弹枪小子/布洛布/布洛布幼体/布洛布微体/保险销头/硝酸怪/子弹榴弹/枪歌者。全部为《挺进地牢》第一层复刻，逻辑ID 以 egt_ 前缀，表现层借既有模型或程序壳（制作状态=程序占位），数值与行为已实装并验收。</t>
        </is>
      </c>
      <c r="F62" s="48" t="inlineStr">
        <is>
          <t>仅新增行，不改既有 AssetID；查重结果公式范围扩至 R21:R32</t>
        </is>
      </c>
      <c r="G62" s="48" t="inlineStr">
        <is>
          <t>docs/v0.1/development/2026-10-29_expedition03_roster_spawn.md</t>
        </is>
      </c>
    </row>
    <row r="63" s="38">
      <c r="A63" s="95" t="inlineStr">
        <is>
          <t>v0.1.21</t>
        </is>
      </c>
      <c r="B63" s="95" t="inlineStr">
        <is>
          <t>2026-10-29</t>
        </is>
      </c>
      <c r="C63" s="96" t="inlineStr">
        <is>
          <t>新增资产行（表现占位）</t>
        </is>
      </c>
      <c r="D63" s="96" t="inlineStr">
        <is>
          <t>远征03 复刻怪</t>
        </is>
      </c>
      <c r="E63" s="96" t="inlineStr">
        <is>
          <t>新增 21 行（r33~r53）：红衣主教/空尖弹/老兵霰弹枪小子/子弹榴弹王/骰子布洛布/书怪/蓝书怪/绿书怪/学徒枪法师/吉吉/霰弹榴弹/榴弹子/螺旋转弹/钥匙小子/运气小子/已确认者/拟态怪/枪精灵/抓握大师/枪坚果/链枪手。至此《挺进地牢》第一层 33 种非 Boss 敌人全部登记（12 + 21），逻辑ID 均以 egt_ 前缀，表现层借既有模型或程序壳（制作状态=程序占位），数值按 §T0.2 幂律换算、攻击骨架与行为键已实装并经 register/visual/runtime 三重探针验收。</t>
        </is>
      </c>
      <c r="F63" s="96" t="inlineStr">
        <is>
          <t>仅新增行，不改既有 AssetID；查重结果与总览公式范围由 R6:R32 扩至 R6:R53</t>
        </is>
      </c>
      <c r="G63" s="96" t="inlineStr">
        <is>
          <t>docs/v0.1/development/2026-10-29_egt_full_monster_roster.md</t>
        </is>
      </c>
    </row>
    <row r="64" s="38">
      <c r="A64" s="95" t="inlineStr">
        <is>
          <t>v0.1.22</t>
        </is>
      </c>
      <c r="B64" s="95" t="inlineStr">
        <is>
          <t>2026-10-29</t>
        </is>
      </c>
      <c r="C64" s="96" t="inlineStr">
        <is>
          <t>数值重定标</t>
        </is>
      </c>
      <c r="D64" s="96" t="inlineStr">
        <is>
          <t>远征03 复刻怪</t>
        </is>
      </c>
      <c r="E64" s="96" t="inlineStr">
        <is>
          <t>33 只血量统一改为「EGT 血量 × 10」：系数由「保持击杀发数」反推——EGT Bullet Kin 15 血 / 初始手枪约 6 伤 ≈ 3 发，本工程初始步枪 50 伤/发 ⇒ 150 血同样 3 发，故与原作严格等比（不再做指数 0.72 的幂律压缩）。伤害统一为玩家 100 血的 1/6 = 17（对应原作「半颗心」），爆炸类 26，死亡弹幕单发按 0.30 折减。同时补齐原作 wiki 明确写出的行为差异：老兵小子改 4 连发、子弹榴弹王与枪歌者改原地不动、枪歌者补「靠近或受伤则中断施法逃跑」。并修掉「子弹飞不出来」的真因：33 只原来都没有 projectile_range ⇒ 子弹只有 1 秒寿命、飞 7 米自毁，现逐只下发 16~20 m/s 与 12~13.7 m 射程。</t>
        </is>
      </c>
      <c r="F64" s="96" t="inlineStr">
        <is>
          <t>只改数值列与规格串，AssetID/逻辑ID/路径不变；账本行数不变（48）</t>
        </is>
      </c>
      <c r="G64" s="96" t="inlineStr">
        <is>
          <t>Codex</t>
        </is>
      </c>
    </row>
    <row r="65" s="38">
      <c r="A65" s="95" t="inlineStr">
        <is>
          <t>v0.1.23</t>
        </is>
      </c>
      <c r="B65" s="95" t="inlineStr">
        <is>
          <t>2026-10-29</t>
        </is>
      </c>
      <c r="C65" s="96" t="inlineStr">
        <is>
          <t>数值对齐（弹速/伤害/方式）</t>
        </is>
      </c>
      <c r="D65" s="96" t="inlineStr">
        <is>
          <t>远征03 复刻怪</t>
        </is>
      </c>
      <c r="E65" s="96" t="inlineStr">
        <is>
          <t>重点对齐业主指定的三项。① 弹速 16→8 m/s：第二轮「玩家移速 3.5 倍」的锚点无依据，原作子弹与玩家几乎同档速（玩家 6.5、子弹约 8，wiki 有 extremely slow bullet 的描述），靠走位躲而非无敌帧穿。改为按可躲性反推——16 m/s 时 8m 处只能横移 1.12m &lt; 扇形半宽 1.99m（躲不掉），8 m/s 可移 3.38m。分 8/10(fast)/6(追踪·弹跳)/4.2(蛋)。弹程 12→22m 覆盖整间房。② 伤害统一 17（玩家 1/6 血），**爆炸不再开 26 的特例**（原作全体半颗心）；死亡弹幕恢复 17（撤回 0.30 折减，弹速降下来后可躲）。③ 攻击方式逐条对 wiki 改 5 处：老兵霰弹枪预判 0.55→1.00（原文 100% predictive aim）、老兵小子 4 连发+预判 0.62、保险销头补扑击、抓握大师补清场自动死亡+抓空3次消失+抓取改为可躲、链枪手补弹球脱手、枪坚果补撞墙炸散大弹（新增 Projectile3D.shatter_on_wall 默认关闭分支）。</t>
        </is>
      </c>
      <c r="F65" s="96" t="inlineStr">
        <is>
          <t>只改规格串与日志；AssetID/逻辑ID/路径/行数均不变（48）。数值仍由 tools/retune_egt_monsters.py 单点生成</t>
        </is>
      </c>
      <c r="G65" s="96" t="inlineStr">
        <is>
          <t>Codex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zh-CN</dc:language>
  <dcterms:created xsi:type="dcterms:W3CDTF">2026-09-18T02:30:01Z</dcterms:created>
  <dcterms:modified xsi:type="dcterms:W3CDTF">2026-10-29T14:54:27Z</dcterms:modified>
  <cp:revision>0</cp:revision>
</cp:coreProperties>
</file>