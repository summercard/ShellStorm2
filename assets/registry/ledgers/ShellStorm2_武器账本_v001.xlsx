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name="总览" sheetId="1" state="visible" r:id="rId1"/>
    <sheet name="账本说明" sheetId="2" state="visible" r:id="rId2"/>
    <sheet name="资产主表" sheetId="3" state="visible" r:id="rId3"/>
    <sheet name="3D-武器" sheetId="4" state="visible" r:id="rId4"/>
    <sheet name="域变更日志" sheetId="5" state="visible" r:id="rId5"/>
    <sheet name="背包物品调用索引" sheetId="6" state="visible" r:id="rId6"/>
  </sheets>
  <definedNames>
    <definedName name="_xlnm._FilterDatabase" localSheetId="2" hidden="1">'资产主表'!$A$5:$Y$41</definedName>
    <definedName name="_xlnm._FilterDatabase" localSheetId="3" hidden="1">'3D-武器'!$A$4:$P$53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35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Microsoft YaHei"/>
      <sz val="11"/>
    </font>
    <font>
      <name val="Microsoft YaHei"/>
      <b val="1"/>
      <color rgb="00FFFFFF"/>
      <sz val="12"/>
    </font>
    <font>
      <name val="Microsoft YaHei"/>
      <color rgb="001565C0"/>
      <sz val="11"/>
      <u val="single"/>
    </font>
    <font>
      <name val="Microsoft YaHei"/>
      <b val="1"/>
      <color rgb="00243B53"/>
      <sz val="14"/>
    </font>
  </fonts>
  <fills count="12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  <fill>
      <patternFill patternType="solid">
        <fgColor rgb="00243B53"/>
      </patternFill>
    </fill>
  </fills>
  <borders count="23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8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general" vertical="center"/>
    </xf>
    <xf numFmtId="0" fontId="27" fillId="9" borderId="0" applyAlignment="1" pivotButton="0" quotePrefix="0" xfId="20">
      <alignment horizontal="general" vertical="center" wrapText="1"/>
    </xf>
    <xf numFmtId="0" fontId="22" fillId="10" borderId="8" applyAlignment="1" pivotButton="0" quotePrefix="0" xfId="20">
      <alignment horizontal="center" vertical="center" wrapText="1"/>
    </xf>
    <xf numFmtId="0" fontId="13" fillId="10" borderId="9" applyAlignment="1" pivotButton="0" quotePrefix="0" xfId="20">
      <alignment horizontal="center" vertical="center" wrapText="1"/>
    </xf>
    <xf numFmtId="0" fontId="22" fillId="10" borderId="9" applyAlignment="1" pivotButton="0" quotePrefix="0" xfId="20">
      <alignment horizontal="center" vertical="center" wrapText="1"/>
    </xf>
    <xf numFmtId="0" fontId="13" fillId="10" borderId="10" applyAlignment="1" pivotButton="0" quotePrefix="0" xfId="20">
      <alignment horizontal="center" vertical="center" wrapText="1"/>
    </xf>
    <xf numFmtId="0" fontId="29" fillId="0" borderId="5" applyAlignment="1" pivotButton="0" quotePrefix="0" xfId="20">
      <alignment horizontal="general" vertical="top" wrapText="1"/>
    </xf>
    <xf numFmtId="0" fontId="30" fillId="0" borderId="11" applyAlignment="1" pivotButton="0" quotePrefix="0" xfId="20">
      <alignment horizontal="general" vertical="top" wrapText="1"/>
    </xf>
    <xf numFmtId="0" fontId="29" fillId="0" borderId="11" applyAlignment="1" pivotButton="0" quotePrefix="0" xfId="20">
      <alignment horizontal="general" vertical="top" wrapText="1"/>
    </xf>
    <xf numFmtId="0" fontId="30" fillId="0" borderId="12" applyAlignment="1" pivotButton="0" quotePrefix="0" xfId="20">
      <alignment horizontal="general" vertical="top" wrapText="1"/>
    </xf>
    <xf numFmtId="0" fontId="29" fillId="0" borderId="13" applyAlignment="1" pivotButton="0" quotePrefix="0" xfId="20">
      <alignment horizontal="general" vertical="top" wrapText="1"/>
    </xf>
    <xf numFmtId="0" fontId="30" fillId="0" borderId="14" applyAlignment="1" pivotButton="0" quotePrefix="0" xfId="20">
      <alignment horizontal="general" vertical="top" wrapText="1"/>
    </xf>
    <xf numFmtId="0" fontId="29" fillId="0" borderId="14" applyAlignment="1" pivotButton="0" quotePrefix="0" xfId="20">
      <alignment horizontal="general" vertical="top" wrapText="1"/>
    </xf>
    <xf numFmtId="0" fontId="30" fillId="0" borderId="15" applyAlignment="1" pivotButton="0" quotePrefix="0" xfId="20">
      <alignment horizontal="general" vertical="top" wrapText="1"/>
    </xf>
    <xf numFmtId="0" fontId="29" fillId="0" borderId="16" applyAlignment="1" pivotButton="0" quotePrefix="0" xfId="20">
      <alignment horizontal="general" vertical="top" wrapText="1"/>
    </xf>
    <xf numFmtId="0" fontId="30" fillId="0" borderId="17" applyAlignment="1" pivotButton="0" quotePrefix="0" xfId="20">
      <alignment horizontal="general" vertical="top" wrapText="1"/>
    </xf>
    <xf numFmtId="0" fontId="29" fillId="0" borderId="17" applyAlignment="1" pivotButton="0" quotePrefix="0" xfId="20">
      <alignment horizontal="general" vertical="top" wrapText="1"/>
    </xf>
    <xf numFmtId="0" fontId="30" fillId="0" borderId="18" applyAlignment="1" pivotButton="0" quotePrefix="0" xfId="2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0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2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general" vertical="center"/>
    </xf>
    <xf numFmtId="0" fontId="27" fillId="9" borderId="0" applyAlignment="1" pivotButton="0" quotePrefix="0" xfId="20">
      <alignment horizontal="general" vertical="center" wrapText="1"/>
    </xf>
    <xf numFmtId="0" fontId="22" fillId="10" borderId="8" applyAlignment="1" pivotButton="0" quotePrefix="0" xfId="20">
      <alignment horizontal="center" vertical="center" wrapText="1"/>
    </xf>
    <xf numFmtId="0" fontId="13" fillId="10" borderId="9" applyAlignment="1" pivotButton="0" quotePrefix="0" xfId="20">
      <alignment horizontal="center" vertical="center" wrapText="1"/>
    </xf>
    <xf numFmtId="0" fontId="22" fillId="10" borderId="9" applyAlignment="1" pivotButton="0" quotePrefix="0" xfId="20">
      <alignment horizontal="center" vertical="center" wrapText="1"/>
    </xf>
    <xf numFmtId="0" fontId="13" fillId="10" borderId="10" applyAlignment="1" pivotButton="0" quotePrefix="0" xfId="20">
      <alignment horizontal="center" vertical="center" wrapText="1"/>
    </xf>
    <xf numFmtId="0" fontId="29" fillId="0" borderId="5" applyAlignment="1" pivotButton="0" quotePrefix="0" xfId="20">
      <alignment horizontal="general" vertical="top" wrapText="1"/>
    </xf>
    <xf numFmtId="0" fontId="30" fillId="0" borderId="11" applyAlignment="1" pivotButton="0" quotePrefix="0" xfId="20">
      <alignment horizontal="general" vertical="top" wrapText="1"/>
    </xf>
    <xf numFmtId="0" fontId="29" fillId="0" borderId="11" applyAlignment="1" pivotButton="0" quotePrefix="0" xfId="20">
      <alignment horizontal="general" vertical="top" wrapText="1"/>
    </xf>
    <xf numFmtId="0" fontId="30" fillId="0" borderId="12" applyAlignment="1" pivotButton="0" quotePrefix="0" xfId="20">
      <alignment horizontal="general" vertical="top" wrapText="1"/>
    </xf>
    <xf numFmtId="0" fontId="29" fillId="0" borderId="13" applyAlignment="1" pivotButton="0" quotePrefix="0" xfId="20">
      <alignment horizontal="general" vertical="top" wrapText="1"/>
    </xf>
    <xf numFmtId="0" fontId="30" fillId="0" borderId="14" applyAlignment="1" pivotButton="0" quotePrefix="0" xfId="20">
      <alignment horizontal="general" vertical="top" wrapText="1"/>
    </xf>
    <xf numFmtId="0" fontId="29" fillId="0" borderId="14" applyAlignment="1" pivotButton="0" quotePrefix="0" xfId="20">
      <alignment horizontal="general" vertical="top" wrapText="1"/>
    </xf>
    <xf numFmtId="0" fontId="30" fillId="0" borderId="15" applyAlignment="1" pivotButton="0" quotePrefix="0" xfId="20">
      <alignment horizontal="general" vertical="top" wrapText="1"/>
    </xf>
    <xf numFmtId="0" fontId="29" fillId="0" borderId="16" applyAlignment="1" pivotButton="0" quotePrefix="0" xfId="20">
      <alignment horizontal="general" vertical="top" wrapText="1"/>
    </xf>
    <xf numFmtId="0" fontId="30" fillId="0" borderId="17" applyAlignment="1" pivotButton="0" quotePrefix="0" xfId="20">
      <alignment horizontal="general" vertical="top" wrapText="1"/>
    </xf>
    <xf numFmtId="0" fontId="29" fillId="0" borderId="17" applyAlignment="1" pivotButton="0" quotePrefix="0" xfId="20">
      <alignment horizontal="general" vertical="top" wrapText="1"/>
    </xf>
    <xf numFmtId="0" fontId="30" fillId="0" borderId="18" applyAlignment="1" pivotButton="0" quotePrefix="0" xfId="20">
      <alignment horizontal="general" vertical="top" wrapText="1"/>
    </xf>
    <xf numFmtId="0" fontId="32" fillId="11" borderId="0" applyAlignment="1" pivotButton="0" quotePrefix="0" xfId="0">
      <alignment vertical="top" wrapText="1"/>
    </xf>
    <xf numFmtId="0" fontId="31" fillId="0" borderId="0" applyAlignment="1" pivotButton="0" quotePrefix="0" xfId="0">
      <alignment vertical="top" wrapText="1"/>
    </xf>
    <xf numFmtId="0" fontId="33" fillId="0" borderId="0" applyAlignment="1" pivotButton="0" quotePrefix="0" xfId="0">
      <alignment vertical="top" wrapText="1"/>
    </xf>
    <xf numFmtId="0" fontId="34" fillId="0" borderId="0" applyAlignment="1" pivotButton="0" quotePrefix="0" xfId="0">
      <alignment vertical="top" wrapText="1"/>
    </xf>
    <xf numFmtId="165" fontId="4" fillId="0" borderId="0" applyAlignment="1" pivotButton="0" quotePrefix="0" xfId="2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808080"/>
      <rgbColor rgb="FF79D8E8"/>
      <rgbColor rgb="FF993366"/>
      <rgbColor rgb="FFFFF0D6"/>
      <rgbColor rgb="FFD9F3E8"/>
      <rgbColor rgb="FF660066"/>
      <rgbColor rgb="FFFF8080"/>
      <rgbColor rgb="FF1F5A78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8F5E9"/>
      <rgbColor rgb="FFDCE8EC"/>
      <rgbColor rgb="FFE5E7EB"/>
      <rgbColor rgb="FF9FBAD0"/>
      <rgbColor rgb="FFFF99CC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8A4B08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WeaponInventoryItems" displayName="WeaponInventoryItems" ref="A4:Q30" headerRowCount="1">
  <autoFilter ref="A4:Q30"/>
  <tableColumns count="17">
    <tableColumn id="1" name="内容ID"/>
    <tableColumn id="2" name="名称"/>
    <tableColumn id="3" name="种类"/>
    <tableColumn id="4" name="子类"/>
    <tableColumn id="5" name="唯一登记账本"/>
    <tableColumn id="6" name="内容定义入口"/>
    <tableColumn id="7" name="内容数据库定位"/>
    <tableColumn id="8" name="怪物掉落来源"/>
    <tableColumn id="9" name="池声明入口"/>
    <tableColumn id="10" name="背包接收入口"/>
    <tableColumn id="11" name="使用/装配入口"/>
    <tableColumn id="12" name="模型调用入口"/>
    <tableColumn id="13" name="当前模型表现"/>
    <tableColumn id="14" name="关联AssetID（引用）"/>
    <tableColumn id="15" name="资产登记定位（引用）"/>
    <tableColumn id="16" name="功能模块"/>
    <tableColumn id="17" name="审查备注"/>
  </tableColumns>
  <tableStyleInfo name="TableStyleMedium2" showRowStripes="1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..\..\..\src\base\ItemRegistry.gd" TargetMode="External" Id="rId1" /><Relationship Type="http://schemas.openxmlformats.org/officeDocument/2006/relationships/hyperlink" Target="..\..\..\docs\v0.1\data\ShellStorm2_&#28216;&#25103;&#20869;&#23481;&#25968;&#25454;&#24211;_v010.xlsx#&#25481;&#33853;&#29289;&#21697;!A33" TargetMode="External" Id="rId2" /><Relationship Type="http://schemas.openxmlformats.org/officeDocument/2006/relationships/hyperlink" Target="..\..\..\src\base\ItemRegistry.gd" TargetMode="External" Id="rId3" /><Relationship Type="http://schemas.openxmlformats.org/officeDocument/2006/relationships/hyperlink" Target="..\..\..\src\game\InventoryModule.gd" TargetMode="External" Id="rId4" /><Relationship Type="http://schemas.openxmlformats.org/officeDocument/2006/relationships/hyperlink" Target="..\..\..\src\world3d\Dungeon3D.gd" TargetMode="External" Id="rId5" /><Relationship Type="http://schemas.openxmlformats.org/officeDocument/2006/relationships/hyperlink" Target="..\..\..\src\world3d\ItemModelFactory3D.gd" TargetMode="External" Id="rId6" /><Relationship Type="http://schemas.openxmlformats.org/officeDocument/2006/relationships/hyperlink" Target="ShellStorm2_&#27494;&#22120;&#36134;&#26412;_v001.xlsx#&#36164;&#20135;&#20027;&#34920;!A6" TargetMode="External" Id="rId7" /><Relationship Type="http://schemas.openxmlformats.org/officeDocument/2006/relationships/hyperlink" Target="..\..\..\src\base\ItemRegistry.gd" TargetMode="External" Id="rId8" /><Relationship Type="http://schemas.openxmlformats.org/officeDocument/2006/relationships/hyperlink" Target="..\..\..\docs\v0.1\data\ShellStorm2_&#28216;&#25103;&#20869;&#23481;&#25968;&#25454;&#24211;_v010.xlsx#&#25481;&#33853;&#29289;&#21697;!A35" TargetMode="External" Id="rId9" /><Relationship Type="http://schemas.openxmlformats.org/officeDocument/2006/relationships/hyperlink" Target="..\..\..\src\base\ItemRegistry.gd" TargetMode="External" Id="rId10" /><Relationship Type="http://schemas.openxmlformats.org/officeDocument/2006/relationships/hyperlink" Target="..\..\..\src\game\InventoryModule.gd" TargetMode="External" Id="rId11" /><Relationship Type="http://schemas.openxmlformats.org/officeDocument/2006/relationships/hyperlink" Target="..\..\..\src\world3d\Dungeon3D.gd" TargetMode="External" Id="rId12" /><Relationship Type="http://schemas.openxmlformats.org/officeDocument/2006/relationships/hyperlink" Target="..\..\..\src\world3d\ItemModelFactory3D.gd" TargetMode="External" Id="rId13" /><Relationship Type="http://schemas.openxmlformats.org/officeDocument/2006/relationships/hyperlink" Target="ShellStorm2_&#27494;&#22120;&#36134;&#26412;_v001.xlsx#&#36164;&#20135;&#20027;&#34920;!A7" TargetMode="External" Id="rId14" /><Relationship Type="http://schemas.openxmlformats.org/officeDocument/2006/relationships/hyperlink" Target="..\..\..\src\base\ItemRegistry.gd" TargetMode="External" Id="rId15" /><Relationship Type="http://schemas.openxmlformats.org/officeDocument/2006/relationships/hyperlink" Target="..\..\..\docs\v0.1\data\ShellStorm2_&#28216;&#25103;&#20869;&#23481;&#25968;&#25454;&#24211;_v010.xlsx#&#25481;&#33853;&#29289;&#21697;!A34" TargetMode="External" Id="rId16" /><Relationship Type="http://schemas.openxmlformats.org/officeDocument/2006/relationships/hyperlink" Target="..\..\..\src\base\ItemRegistry.gd" TargetMode="External" Id="rId17" /><Relationship Type="http://schemas.openxmlformats.org/officeDocument/2006/relationships/hyperlink" Target="..\..\..\src\game\InventoryModule.gd" TargetMode="External" Id="rId18" /><Relationship Type="http://schemas.openxmlformats.org/officeDocument/2006/relationships/hyperlink" Target="..\..\..\src\world3d\Dungeon3D.gd" TargetMode="External" Id="rId19" /><Relationship Type="http://schemas.openxmlformats.org/officeDocument/2006/relationships/hyperlink" Target="..\..\..\src\world3d\ItemModelFactory3D.gd" TargetMode="External" Id="rId20" /><Relationship Type="http://schemas.openxmlformats.org/officeDocument/2006/relationships/hyperlink" Target="ShellStorm2_&#27494;&#22120;&#36134;&#26412;_v001.xlsx#&#36164;&#20135;&#20027;&#34920;!A8" TargetMode="External" Id="rId21" /><Relationship Type="http://schemas.openxmlformats.org/officeDocument/2006/relationships/hyperlink" Target="..\..\..\src\base\ItemRegistry.gd" TargetMode="External" Id="rId22" /><Relationship Type="http://schemas.openxmlformats.org/officeDocument/2006/relationships/hyperlink" Target="..\..\..\docs\v0.1\data\ShellStorm2_&#28216;&#25103;&#20869;&#23481;&#25968;&#25454;&#24211;_v010.xlsx#&#25481;&#33853;&#29289;&#21697;!A32" TargetMode="External" Id="rId23" /><Relationship Type="http://schemas.openxmlformats.org/officeDocument/2006/relationships/hyperlink" Target="..\..\..\src\base\ItemRegistry.gd" TargetMode="External" Id="rId24" /><Relationship Type="http://schemas.openxmlformats.org/officeDocument/2006/relationships/hyperlink" Target="..\..\..\src\game\InventoryModule.gd" TargetMode="External" Id="rId25" /><Relationship Type="http://schemas.openxmlformats.org/officeDocument/2006/relationships/hyperlink" Target="..\..\..\src\world3d\Dungeon3D.gd" TargetMode="External" Id="rId26" /><Relationship Type="http://schemas.openxmlformats.org/officeDocument/2006/relationships/hyperlink" Target="..\..\..\src\world3d\ItemModelFactory3D.gd" TargetMode="External" Id="rId27" /><Relationship Type="http://schemas.openxmlformats.org/officeDocument/2006/relationships/hyperlink" Target="ShellStorm2_&#27494;&#22120;&#36134;&#26412;_v001.xlsx#&#36164;&#20135;&#20027;&#34920;!A9" TargetMode="External" Id="rId28" /><Relationship Type="http://schemas.openxmlformats.org/officeDocument/2006/relationships/hyperlink" Target="..\..\..\src\base\ItemRegistry.gd" TargetMode="External" Id="rId29" /><Relationship Type="http://schemas.openxmlformats.org/officeDocument/2006/relationships/hyperlink" Target="..\..\..\src\base\ItemRegistry.gd" TargetMode="External" Id="rId30" /><Relationship Type="http://schemas.openxmlformats.org/officeDocument/2006/relationships/hyperlink" Target="..\..\..\src\game\InventoryModule.gd" TargetMode="External" Id="rId31" /><Relationship Type="http://schemas.openxmlformats.org/officeDocument/2006/relationships/hyperlink" Target="..\..\..\src\world3d\Dungeon3D.gd" TargetMode="External" Id="rId32" /><Relationship Type="http://schemas.openxmlformats.org/officeDocument/2006/relationships/hyperlink" Target="..\..\..\src\world3d\ItemModelFactory3D.gd" TargetMode="External" Id="rId33" /><Relationship Type="http://schemas.openxmlformats.org/officeDocument/2006/relationships/hyperlink" Target="..\..\..\src\base\ItemRegistry.gd" TargetMode="External" Id="rId34" /><Relationship Type="http://schemas.openxmlformats.org/officeDocument/2006/relationships/hyperlink" Target="..\..\..\docs\v0.1\data\ShellStorm2_&#28216;&#25103;&#20869;&#23481;&#25968;&#25454;&#24211;_v010.xlsx#&#25481;&#33853;&#29289;&#21697;!A50" TargetMode="External" Id="rId35" /><Relationship Type="http://schemas.openxmlformats.org/officeDocument/2006/relationships/hyperlink" Target="..\..\..\src\base\ItemRegistry.gd" TargetMode="External" Id="rId36" /><Relationship Type="http://schemas.openxmlformats.org/officeDocument/2006/relationships/hyperlink" Target="..\..\..\src\game\InventoryModule.gd" TargetMode="External" Id="rId37" /><Relationship Type="http://schemas.openxmlformats.org/officeDocument/2006/relationships/hyperlink" Target="..\..\..\src\world3d\Dungeon3D.gd" TargetMode="External" Id="rId38" /><Relationship Type="http://schemas.openxmlformats.org/officeDocument/2006/relationships/hyperlink" Target="..\..\..\src\world3d\ItemModelFactory3D.gd" TargetMode="External" Id="rId39" /><Relationship Type="http://schemas.openxmlformats.org/officeDocument/2006/relationships/hyperlink" Target="..\..\..\src\base\ItemRegistry.gd" TargetMode="External" Id="rId40" /><Relationship Type="http://schemas.openxmlformats.org/officeDocument/2006/relationships/hyperlink" Target="..\..\..\docs\v0.1\data\ShellStorm2_&#28216;&#25103;&#20869;&#23481;&#25968;&#25454;&#24211;_v010.xlsx#&#25481;&#33853;&#29289;&#21697;!A36" TargetMode="External" Id="rId41" /><Relationship Type="http://schemas.openxmlformats.org/officeDocument/2006/relationships/hyperlink" Target="..\..\..\src\base\ItemRegistry.gd" TargetMode="External" Id="rId42" /><Relationship Type="http://schemas.openxmlformats.org/officeDocument/2006/relationships/hyperlink" Target="..\..\..\src\game\InventoryModule.gd" TargetMode="External" Id="rId43" /><Relationship Type="http://schemas.openxmlformats.org/officeDocument/2006/relationships/hyperlink" Target="..\..\..\src\world3d\Dungeon3D.gd" TargetMode="External" Id="rId44" /><Relationship Type="http://schemas.openxmlformats.org/officeDocument/2006/relationships/hyperlink" Target="..\..\..\src\world3d\ItemModelFactory3D.gd" TargetMode="External" Id="rId45" /><Relationship Type="http://schemas.openxmlformats.org/officeDocument/2006/relationships/hyperlink" Target="ShellStorm2_&#27494;&#22120;&#36134;&#26412;_v001.xlsx#&#36164;&#20135;&#20027;&#34920;!A10" TargetMode="External" Id="rId46" /><Relationship Type="http://schemas.openxmlformats.org/officeDocument/2006/relationships/hyperlink" Target="..\..\..\src\base\ItemRegistry.gd" TargetMode="External" Id="rId47" /><Relationship Type="http://schemas.openxmlformats.org/officeDocument/2006/relationships/hyperlink" Target="..\..\..\docs\v0.1\data\ShellStorm2_&#28216;&#25103;&#20869;&#23481;&#25968;&#25454;&#24211;_v010.xlsx#&#25481;&#33853;&#29289;&#21697;!A31" TargetMode="External" Id="rId48" /><Relationship Type="http://schemas.openxmlformats.org/officeDocument/2006/relationships/hyperlink" Target="..\..\..\src\base\ItemRegistry.gd" TargetMode="External" Id="rId49" /><Relationship Type="http://schemas.openxmlformats.org/officeDocument/2006/relationships/hyperlink" Target="..\..\..\src\game\InventoryModule.gd" TargetMode="External" Id="rId50" /><Relationship Type="http://schemas.openxmlformats.org/officeDocument/2006/relationships/hyperlink" Target="..\..\..\src\world3d\Dungeon3D.gd" TargetMode="External" Id="rId51" /><Relationship Type="http://schemas.openxmlformats.org/officeDocument/2006/relationships/hyperlink" Target="..\..\..\src\world3d\ItemModelFactory3D.gd" TargetMode="External" Id="rId52" /><Relationship Type="http://schemas.openxmlformats.org/officeDocument/2006/relationships/hyperlink" Target="ShellStorm2_&#27494;&#22120;&#36134;&#26412;_v001.xlsx#&#36164;&#20135;&#20027;&#34920;!A11" TargetMode="External" Id="rId53" /><Relationship Type="http://schemas.openxmlformats.org/officeDocument/2006/relationships/hyperlink" Target="..\..\..\src\base\ItemRegistry.gd" TargetMode="External" Id="rId54" /><Relationship Type="http://schemas.openxmlformats.org/officeDocument/2006/relationships/hyperlink" Target="..\..\..\docs\v0.1\data\ShellStorm2_&#28216;&#25103;&#20869;&#23481;&#25968;&#25454;&#24211;_v010.xlsx#&#25481;&#33853;&#29289;&#21697;!A30" TargetMode="External" Id="rId55" /><Relationship Type="http://schemas.openxmlformats.org/officeDocument/2006/relationships/hyperlink" Target="..\..\..\src\base\ItemRegistry.gd" TargetMode="External" Id="rId56" /><Relationship Type="http://schemas.openxmlformats.org/officeDocument/2006/relationships/hyperlink" Target="..\..\..\src\game\InventoryModule.gd" TargetMode="External" Id="rId57" /><Relationship Type="http://schemas.openxmlformats.org/officeDocument/2006/relationships/hyperlink" Target="..\..\..\src\world3d\Dungeon3D.gd" TargetMode="External" Id="rId58" /><Relationship Type="http://schemas.openxmlformats.org/officeDocument/2006/relationships/hyperlink" Target="..\..\..\src\world3d\ItemModelFactory3D.gd" TargetMode="External" Id="rId59" /><Relationship Type="http://schemas.openxmlformats.org/officeDocument/2006/relationships/hyperlink" Target="ShellStorm2_&#27494;&#22120;&#36134;&#26412;_v001.xlsx#&#36164;&#20135;&#20027;&#34920;!A12" TargetMode="External" Id="rId60" /><Relationship Type="http://schemas.openxmlformats.org/officeDocument/2006/relationships/hyperlink" Target="..\..\..\src\base\ItemRegistry.gd" TargetMode="External" Id="rId61" /><Relationship Type="http://schemas.openxmlformats.org/officeDocument/2006/relationships/hyperlink" Target="..\..\..\docs\v0.1\data\ShellStorm2_&#28216;&#25103;&#20869;&#23481;&#25968;&#25454;&#24211;_v010.xlsx#&#25481;&#33853;&#29289;&#21697;!A49" TargetMode="External" Id="rId62" /><Relationship Type="http://schemas.openxmlformats.org/officeDocument/2006/relationships/hyperlink" Target="..\..\..\src\base\ItemRegistry.gd" TargetMode="External" Id="rId63" /><Relationship Type="http://schemas.openxmlformats.org/officeDocument/2006/relationships/hyperlink" Target="..\..\..\src\game\InventoryModule.gd" TargetMode="External" Id="rId64" /><Relationship Type="http://schemas.openxmlformats.org/officeDocument/2006/relationships/hyperlink" Target="..\..\..\src\world3d\Dungeon3D.gd" TargetMode="External" Id="rId65" /><Relationship Type="http://schemas.openxmlformats.org/officeDocument/2006/relationships/hyperlink" Target="..\..\..\src\world3d\ItemModelFactory3D.gd" TargetMode="External" Id="rId66" /><Relationship Type="http://schemas.openxmlformats.org/officeDocument/2006/relationships/hyperlink" Target="ShellStorm2_&#27494;&#22120;&#36134;&#26412;_v001.xlsx#&#36164;&#20135;&#20027;&#34920;!A30" TargetMode="External" Id="rId67" /><Relationship Type="http://schemas.openxmlformats.org/officeDocument/2006/relationships/hyperlink" Target="..\..\..\src\base\ItemRegistry.gd" TargetMode="External" Id="rId68" /><Relationship Type="http://schemas.openxmlformats.org/officeDocument/2006/relationships/hyperlink" Target="..\..\..\docs\v0.1\data\ShellStorm2_&#28216;&#25103;&#20869;&#23481;&#25968;&#25454;&#24211;_v010.xlsx#&#25481;&#33853;&#29289;&#21697;!A47" TargetMode="External" Id="rId69" /><Relationship Type="http://schemas.openxmlformats.org/officeDocument/2006/relationships/hyperlink" Target="..\..\..\src\base\ItemRegistry.gd" TargetMode="External" Id="rId70" /><Relationship Type="http://schemas.openxmlformats.org/officeDocument/2006/relationships/hyperlink" Target="..\..\..\src\game\InventoryModule.gd" TargetMode="External" Id="rId71" /><Relationship Type="http://schemas.openxmlformats.org/officeDocument/2006/relationships/hyperlink" Target="..\..\..\src\world3d\Dungeon3D.gd" TargetMode="External" Id="rId72" /><Relationship Type="http://schemas.openxmlformats.org/officeDocument/2006/relationships/hyperlink" Target="..\..\..\src\world3d\ItemModelFactory3D.gd" TargetMode="External" Id="rId73" /><Relationship Type="http://schemas.openxmlformats.org/officeDocument/2006/relationships/hyperlink" Target="ShellStorm2_&#27494;&#22120;&#36134;&#26412;_v001.xlsx#&#36164;&#20135;&#20027;&#34920;!A28" TargetMode="External" Id="rId74" /><Relationship Type="http://schemas.openxmlformats.org/officeDocument/2006/relationships/hyperlink" Target="..\..\..\src\base\ItemRegistry.gd" TargetMode="External" Id="rId75" /><Relationship Type="http://schemas.openxmlformats.org/officeDocument/2006/relationships/hyperlink" Target="..\..\..\docs\v0.1\data\ShellStorm2_&#28216;&#25103;&#20869;&#23481;&#25968;&#25454;&#24211;_v010.xlsx#&#25481;&#33853;&#29289;&#21697;!A48" TargetMode="External" Id="rId76" /><Relationship Type="http://schemas.openxmlformats.org/officeDocument/2006/relationships/hyperlink" Target="..\..\..\src\base\ItemRegistry.gd" TargetMode="External" Id="rId77" /><Relationship Type="http://schemas.openxmlformats.org/officeDocument/2006/relationships/hyperlink" Target="..\..\..\src\game\InventoryModule.gd" TargetMode="External" Id="rId78" /><Relationship Type="http://schemas.openxmlformats.org/officeDocument/2006/relationships/hyperlink" Target="..\..\..\src\world3d\Dungeon3D.gd" TargetMode="External" Id="rId79" /><Relationship Type="http://schemas.openxmlformats.org/officeDocument/2006/relationships/hyperlink" Target="..\..\..\src\world3d\ItemModelFactory3D.gd" TargetMode="External" Id="rId80" /><Relationship Type="http://schemas.openxmlformats.org/officeDocument/2006/relationships/hyperlink" Target="ShellStorm2_&#27494;&#22120;&#36134;&#26412;_v001.xlsx#&#36164;&#20135;&#20027;&#34920;!A29" TargetMode="External" Id="rId81" /><Relationship Type="http://schemas.openxmlformats.org/officeDocument/2006/relationships/hyperlink" Target="..\..\..\src\base\ItemRegistry.gd" TargetMode="External" Id="rId82" /><Relationship Type="http://schemas.openxmlformats.org/officeDocument/2006/relationships/hyperlink" Target="..\..\..\docs\v0.1\data\ShellStorm2_&#28216;&#25103;&#20869;&#23481;&#25968;&#25454;&#24211;_v010.xlsx#&#25481;&#33853;&#29289;&#21697;!A28" TargetMode="External" Id="rId83" /><Relationship Type="http://schemas.openxmlformats.org/officeDocument/2006/relationships/hyperlink" Target="..\..\..\src\base\ItemRegistry.gd" TargetMode="External" Id="rId84" /><Relationship Type="http://schemas.openxmlformats.org/officeDocument/2006/relationships/hyperlink" Target="..\..\..\src\game\InventoryModule.gd" TargetMode="External" Id="rId85" /><Relationship Type="http://schemas.openxmlformats.org/officeDocument/2006/relationships/hyperlink" Target="..\..\..\src\world3d\Dungeon3D.gd" TargetMode="External" Id="rId86" /><Relationship Type="http://schemas.openxmlformats.org/officeDocument/2006/relationships/hyperlink" Target="..\..\..\src\world3d\ItemModelFactory3D.gd" TargetMode="External" Id="rId87" /><Relationship Type="http://schemas.openxmlformats.org/officeDocument/2006/relationships/hyperlink" Target="ShellStorm2_&#27494;&#22120;&#36134;&#26412;_v001.xlsx#&#36164;&#20135;&#20027;&#34920;!A13" TargetMode="External" Id="rId88" /><Relationship Type="http://schemas.openxmlformats.org/officeDocument/2006/relationships/hyperlink" Target="..\..\..\src\base\ItemRegistry.gd" TargetMode="External" Id="rId89" /><Relationship Type="http://schemas.openxmlformats.org/officeDocument/2006/relationships/hyperlink" Target="..\..\..\docs\v0.1\data\ShellStorm2_&#28216;&#25103;&#20869;&#23481;&#25968;&#25454;&#24211;_v010.xlsx#&#25481;&#33853;&#29289;&#21697;!A29" TargetMode="External" Id="rId90" /><Relationship Type="http://schemas.openxmlformats.org/officeDocument/2006/relationships/hyperlink" Target="..\..\..\src\base\ItemRegistry.gd" TargetMode="External" Id="rId91" /><Relationship Type="http://schemas.openxmlformats.org/officeDocument/2006/relationships/hyperlink" Target="..\..\..\src\game\InventoryModule.gd" TargetMode="External" Id="rId92" /><Relationship Type="http://schemas.openxmlformats.org/officeDocument/2006/relationships/hyperlink" Target="..\..\..\src\world3d\Dungeon3D.gd" TargetMode="External" Id="rId93" /><Relationship Type="http://schemas.openxmlformats.org/officeDocument/2006/relationships/hyperlink" Target="..\..\..\src\world3d\ItemModelFactory3D.gd" TargetMode="External" Id="rId94" /><Relationship Type="http://schemas.openxmlformats.org/officeDocument/2006/relationships/hyperlink" Target="ShellStorm2_&#27494;&#22120;&#36134;&#26412;_v001.xlsx#&#36164;&#20135;&#20027;&#34920;!A14" TargetMode="External" Id="rId95" /><Relationship Type="http://schemas.openxmlformats.org/officeDocument/2006/relationships/hyperlink" Target="..\..\..\src\base\ItemRegistry.gd" TargetMode="External" Id="rId96" /><Relationship Type="http://schemas.openxmlformats.org/officeDocument/2006/relationships/hyperlink" Target="..\..\..\docs\v0.1\data\ShellStorm2_&#28216;&#25103;&#20869;&#23481;&#25968;&#25454;&#24211;_v010.xlsx#&#25481;&#33853;&#29289;&#21697;!A24" TargetMode="External" Id="rId97" /><Relationship Type="http://schemas.openxmlformats.org/officeDocument/2006/relationships/hyperlink" Target="..\..\..\src\base\ItemRegistry.gd" TargetMode="External" Id="rId98" /><Relationship Type="http://schemas.openxmlformats.org/officeDocument/2006/relationships/hyperlink" Target="..\..\..\src\game\InventoryModule.gd" TargetMode="External" Id="rId99" /><Relationship Type="http://schemas.openxmlformats.org/officeDocument/2006/relationships/hyperlink" Target="..\..\..\src\world3d\Dungeon3D.gd" TargetMode="External" Id="rId100" /><Relationship Type="http://schemas.openxmlformats.org/officeDocument/2006/relationships/hyperlink" Target="..\..\..\src\world3d\ItemModelFactory3D.gd" TargetMode="External" Id="rId101" /><Relationship Type="http://schemas.openxmlformats.org/officeDocument/2006/relationships/hyperlink" Target="ShellStorm2_&#27494;&#22120;&#36134;&#26412;_v001.xlsx#&#36164;&#20135;&#20027;&#34920;!A15" TargetMode="External" Id="rId102" /><Relationship Type="http://schemas.openxmlformats.org/officeDocument/2006/relationships/hyperlink" Target="..\..\..\src\base\ItemRegistry.gd" TargetMode="External" Id="rId103" /><Relationship Type="http://schemas.openxmlformats.org/officeDocument/2006/relationships/hyperlink" Target="..\..\..\docs\v0.1\data\ShellStorm2_&#28216;&#25103;&#20869;&#23481;&#25968;&#25454;&#24211;_v010.xlsx#&#25481;&#33853;&#29289;&#21697;!A27" TargetMode="External" Id="rId104" /><Relationship Type="http://schemas.openxmlformats.org/officeDocument/2006/relationships/hyperlink" Target="..\..\..\src\base\ItemRegistry.gd" TargetMode="External" Id="rId105" /><Relationship Type="http://schemas.openxmlformats.org/officeDocument/2006/relationships/hyperlink" Target="..\..\..\src\game\InventoryModule.gd" TargetMode="External" Id="rId106" /><Relationship Type="http://schemas.openxmlformats.org/officeDocument/2006/relationships/hyperlink" Target="..\..\..\src\world3d\Dungeon3D.gd" TargetMode="External" Id="rId107" /><Relationship Type="http://schemas.openxmlformats.org/officeDocument/2006/relationships/hyperlink" Target="..\..\..\src\world3d\ItemModelFactory3D.gd" TargetMode="External" Id="rId108" /><Relationship Type="http://schemas.openxmlformats.org/officeDocument/2006/relationships/hyperlink" Target="ShellStorm2_&#27494;&#22120;&#36134;&#26412;_v001.xlsx#&#36164;&#20135;&#20027;&#34920;!A16" TargetMode="External" Id="rId109" /><Relationship Type="http://schemas.openxmlformats.org/officeDocument/2006/relationships/hyperlink" Target="..\..\..\src\base\ItemRegistry.gd" TargetMode="External" Id="rId110" /><Relationship Type="http://schemas.openxmlformats.org/officeDocument/2006/relationships/hyperlink" Target="..\..\..\docs\v0.1\data\ShellStorm2_&#28216;&#25103;&#20869;&#23481;&#25968;&#25454;&#24211;_v010.xlsx#&#25481;&#33853;&#29289;&#21697;!A25" TargetMode="External" Id="rId111" /><Relationship Type="http://schemas.openxmlformats.org/officeDocument/2006/relationships/hyperlink" Target="..\..\..\src\base\ItemRegistry.gd" TargetMode="External" Id="rId112" /><Relationship Type="http://schemas.openxmlformats.org/officeDocument/2006/relationships/hyperlink" Target="..\..\..\src\game\InventoryModule.gd" TargetMode="External" Id="rId113" /><Relationship Type="http://schemas.openxmlformats.org/officeDocument/2006/relationships/hyperlink" Target="..\..\..\src\world3d\Dungeon3D.gd" TargetMode="External" Id="rId114" /><Relationship Type="http://schemas.openxmlformats.org/officeDocument/2006/relationships/hyperlink" Target="..\..\..\src\world3d\ItemModelFactory3D.gd" TargetMode="External" Id="rId115" /><Relationship Type="http://schemas.openxmlformats.org/officeDocument/2006/relationships/hyperlink" Target="ShellStorm2_&#27494;&#22120;&#36134;&#26412;_v001.xlsx#&#36164;&#20135;&#20027;&#34920;!A17" TargetMode="External" Id="rId116" /><Relationship Type="http://schemas.openxmlformats.org/officeDocument/2006/relationships/hyperlink" Target="..\..\..\src\base\ItemRegistry.gd" TargetMode="External" Id="rId117" /><Relationship Type="http://schemas.openxmlformats.org/officeDocument/2006/relationships/hyperlink" Target="..\..\..\docs\v0.1\data\ShellStorm2_&#28216;&#25103;&#20869;&#23481;&#25968;&#25454;&#24211;_v010.xlsx#&#25481;&#33853;&#29289;&#21697;!A26" TargetMode="External" Id="rId118" /><Relationship Type="http://schemas.openxmlformats.org/officeDocument/2006/relationships/hyperlink" Target="..\..\..\src\base\ItemRegistry.gd" TargetMode="External" Id="rId119" /><Relationship Type="http://schemas.openxmlformats.org/officeDocument/2006/relationships/hyperlink" Target="..\..\..\src\game\InventoryModule.gd" TargetMode="External" Id="rId120" /><Relationship Type="http://schemas.openxmlformats.org/officeDocument/2006/relationships/hyperlink" Target="..\..\..\src\world3d\Dungeon3D.gd" TargetMode="External" Id="rId121" /><Relationship Type="http://schemas.openxmlformats.org/officeDocument/2006/relationships/hyperlink" Target="..\..\..\src\world3d\ItemModelFactory3D.gd" TargetMode="External" Id="rId122" /><Relationship Type="http://schemas.openxmlformats.org/officeDocument/2006/relationships/hyperlink" Target="ShellStorm2_&#27494;&#22120;&#36134;&#26412;_v001.xlsx#&#36164;&#20135;&#20027;&#34920;!A18" TargetMode="External" Id="rId123" /><Relationship Type="http://schemas.openxmlformats.org/officeDocument/2006/relationships/hyperlink" Target="..\..\..\src\base\ItemRegistry.gd" TargetMode="External" Id="rId124" /><Relationship Type="http://schemas.openxmlformats.org/officeDocument/2006/relationships/hyperlink" Target="..\..\..\docs\v0.1\data\ShellStorm2_&#28216;&#25103;&#20869;&#23481;&#25968;&#25454;&#24211;_v010.xlsx#&#25481;&#33853;&#29289;&#21697;!A23" TargetMode="External" Id="rId125" /><Relationship Type="http://schemas.openxmlformats.org/officeDocument/2006/relationships/hyperlink" Target="..\..\..\src\base\ItemRegistry.gd" TargetMode="External" Id="rId126" /><Relationship Type="http://schemas.openxmlformats.org/officeDocument/2006/relationships/hyperlink" Target="..\..\..\src\game\InventoryModule.gd" TargetMode="External" Id="rId127" /><Relationship Type="http://schemas.openxmlformats.org/officeDocument/2006/relationships/hyperlink" Target="..\..\..\src\world3d\Dungeon3D.gd" TargetMode="External" Id="rId128" /><Relationship Type="http://schemas.openxmlformats.org/officeDocument/2006/relationships/hyperlink" Target="..\..\..\src\world3d\ItemModelFactory3D.gd" TargetMode="External" Id="rId129" /><Relationship Type="http://schemas.openxmlformats.org/officeDocument/2006/relationships/hyperlink" Target="ShellStorm2_&#27494;&#22120;&#36134;&#26412;_v001.xlsx#&#36164;&#20135;&#20027;&#34920;!A19" TargetMode="External" Id="rId130" /><Relationship Type="http://schemas.openxmlformats.org/officeDocument/2006/relationships/hyperlink" Target="..\..\..\src\base\ItemRegistry.gd" TargetMode="External" Id="rId131" /><Relationship Type="http://schemas.openxmlformats.org/officeDocument/2006/relationships/hyperlink" Target="..\..\..\docs\v0.1\data\ShellStorm2_&#28216;&#25103;&#20869;&#23481;&#25968;&#25454;&#24211;_v010.xlsx#&#25481;&#33853;&#29289;&#21697;!A22" TargetMode="External" Id="rId132" /><Relationship Type="http://schemas.openxmlformats.org/officeDocument/2006/relationships/hyperlink" Target="..\..\..\src\base\ItemRegistry.gd" TargetMode="External" Id="rId133" /><Relationship Type="http://schemas.openxmlformats.org/officeDocument/2006/relationships/hyperlink" Target="..\..\..\src\game\InventoryModule.gd" TargetMode="External" Id="rId134" /><Relationship Type="http://schemas.openxmlformats.org/officeDocument/2006/relationships/hyperlink" Target="..\..\..\src\world3d\Dungeon3D.gd" TargetMode="External" Id="rId135" /><Relationship Type="http://schemas.openxmlformats.org/officeDocument/2006/relationships/hyperlink" Target="..\..\..\src\world3d\ItemModelFactory3D.gd" TargetMode="External" Id="rId136" /><Relationship Type="http://schemas.openxmlformats.org/officeDocument/2006/relationships/hyperlink" Target="ShellStorm2_&#27494;&#22120;&#36134;&#26412;_v001.xlsx#&#36164;&#20135;&#20027;&#34920;!A20" TargetMode="External" Id="rId137" /><Relationship Type="http://schemas.openxmlformats.org/officeDocument/2006/relationships/hyperlink" Target="..\..\..\src\base\ItemRegistry.gd" TargetMode="External" Id="rId138" /><Relationship Type="http://schemas.openxmlformats.org/officeDocument/2006/relationships/hyperlink" Target="..\..\..\docs\v0.1\data\ShellStorm2_&#28216;&#25103;&#20869;&#23481;&#25968;&#25454;&#24211;_v010.xlsx#&#25481;&#33853;&#29289;&#21697;!A10" TargetMode="External" Id="rId139" /><Relationship Type="http://schemas.openxmlformats.org/officeDocument/2006/relationships/hyperlink" Target="..\..\..\src\base\ItemRegistry.gd" TargetMode="External" Id="rId140" /><Relationship Type="http://schemas.openxmlformats.org/officeDocument/2006/relationships/hyperlink" Target="..\..\..\src\game\InventoryModule.gd" TargetMode="External" Id="rId141" /><Relationship Type="http://schemas.openxmlformats.org/officeDocument/2006/relationships/hyperlink" Target="..\..\..\src\world3d\Dungeon3D.gd" TargetMode="External" Id="rId142" /><Relationship Type="http://schemas.openxmlformats.org/officeDocument/2006/relationships/hyperlink" Target="..\..\..\src\world3d\ItemModelFactory3D.gd" TargetMode="External" Id="rId143" /><Relationship Type="http://schemas.openxmlformats.org/officeDocument/2006/relationships/hyperlink" Target="ShellStorm2_&#27494;&#22120;&#36134;&#26412;_v001.xlsx#&#36164;&#20135;&#20027;&#34920;!A21" TargetMode="External" Id="rId144" /><Relationship Type="http://schemas.openxmlformats.org/officeDocument/2006/relationships/hyperlink" Target="..\..\..\src\base\ItemRegistry.gd" TargetMode="External" Id="rId145" /><Relationship Type="http://schemas.openxmlformats.org/officeDocument/2006/relationships/hyperlink" Target="..\..\..\docs\v0.1\data\ShellStorm2_&#28216;&#25103;&#20869;&#23481;&#25968;&#25454;&#24211;_v010.xlsx#&#25481;&#33853;&#29289;&#21697;!A8" TargetMode="External" Id="rId146" /><Relationship Type="http://schemas.openxmlformats.org/officeDocument/2006/relationships/hyperlink" Target="..\..\..\src\base\ItemRegistry.gd" TargetMode="External" Id="rId147" /><Relationship Type="http://schemas.openxmlformats.org/officeDocument/2006/relationships/hyperlink" Target="..\..\..\src\game\InventoryModule.gd" TargetMode="External" Id="rId148" /><Relationship Type="http://schemas.openxmlformats.org/officeDocument/2006/relationships/hyperlink" Target="..\..\..\src\world3d\Dungeon3D.gd" TargetMode="External" Id="rId149" /><Relationship Type="http://schemas.openxmlformats.org/officeDocument/2006/relationships/hyperlink" Target="..\..\..\src\world3d\ItemModelFactory3D.gd" TargetMode="External" Id="rId150" /><Relationship Type="http://schemas.openxmlformats.org/officeDocument/2006/relationships/hyperlink" Target="ShellStorm2_&#27494;&#22120;&#36134;&#26412;_v001.xlsx#&#36164;&#20135;&#20027;&#34920;!A22" TargetMode="External" Id="rId151" /><Relationship Type="http://schemas.openxmlformats.org/officeDocument/2006/relationships/hyperlink" Target="..\..\..\src\base\ItemRegistry.gd" TargetMode="External" Id="rId152" /><Relationship Type="http://schemas.openxmlformats.org/officeDocument/2006/relationships/hyperlink" Target="..\..\..\docs\v0.1\data\ShellStorm2_&#28216;&#25103;&#20869;&#23481;&#25968;&#25454;&#24211;_v010.xlsx#&#25481;&#33853;&#29289;&#21697;!A9" TargetMode="External" Id="rId153" /><Relationship Type="http://schemas.openxmlformats.org/officeDocument/2006/relationships/hyperlink" Target="..\..\..\src\base\ItemRegistry.gd" TargetMode="External" Id="rId154" /><Relationship Type="http://schemas.openxmlformats.org/officeDocument/2006/relationships/hyperlink" Target="..\..\..\src\game\InventoryModule.gd" TargetMode="External" Id="rId155" /><Relationship Type="http://schemas.openxmlformats.org/officeDocument/2006/relationships/hyperlink" Target="..\..\..\src\world3d\Dungeon3D.gd" TargetMode="External" Id="rId156" /><Relationship Type="http://schemas.openxmlformats.org/officeDocument/2006/relationships/hyperlink" Target="..\..\..\src\world3d\ItemModelFactory3D.gd" TargetMode="External" Id="rId157" /><Relationship Type="http://schemas.openxmlformats.org/officeDocument/2006/relationships/hyperlink" Target="ShellStorm2_&#27494;&#22120;&#36134;&#26412;_v001.xlsx#&#36164;&#20135;&#20027;&#34920;!A23" TargetMode="External" Id="rId158" /><Relationship Type="http://schemas.openxmlformats.org/officeDocument/2006/relationships/hyperlink" Target="..\..\..\src\base\ItemRegistry.gd" TargetMode="External" Id="rId159" /><Relationship Type="http://schemas.openxmlformats.org/officeDocument/2006/relationships/hyperlink" Target="..\..\..\docs\v0.1\data\ShellStorm2_&#28216;&#25103;&#20869;&#23481;&#25968;&#25454;&#24211;_v010.xlsx#&#25481;&#33853;&#29289;&#21697;!A5" TargetMode="External" Id="rId160" /><Relationship Type="http://schemas.openxmlformats.org/officeDocument/2006/relationships/hyperlink" Target="..\..\..\src\base\ItemRegistry.gd" TargetMode="External" Id="rId161" /><Relationship Type="http://schemas.openxmlformats.org/officeDocument/2006/relationships/hyperlink" Target="..\..\..\src\game\InventoryModule.gd" TargetMode="External" Id="rId162" /><Relationship Type="http://schemas.openxmlformats.org/officeDocument/2006/relationships/hyperlink" Target="..\..\..\src\world3d\Dungeon3D.gd" TargetMode="External" Id="rId163" /><Relationship Type="http://schemas.openxmlformats.org/officeDocument/2006/relationships/hyperlink" Target="..\..\..\src\world3d\ItemModelFactory3D.gd" TargetMode="External" Id="rId164" /><Relationship Type="http://schemas.openxmlformats.org/officeDocument/2006/relationships/hyperlink" Target="ShellStorm2_&#27494;&#22120;&#36134;&#26412;_v001.xlsx#&#36164;&#20135;&#20027;&#34920;!A24" TargetMode="External" Id="rId165" /><Relationship Type="http://schemas.openxmlformats.org/officeDocument/2006/relationships/hyperlink" Target="..\..\..\src\base\ItemRegistry.gd" TargetMode="External" Id="rId166" /><Relationship Type="http://schemas.openxmlformats.org/officeDocument/2006/relationships/hyperlink" Target="..\..\..\docs\v0.1\data\ShellStorm2_&#28216;&#25103;&#20869;&#23481;&#25968;&#25454;&#24211;_v010.xlsx#&#25481;&#33853;&#29289;&#21697;!A7" TargetMode="External" Id="rId167" /><Relationship Type="http://schemas.openxmlformats.org/officeDocument/2006/relationships/hyperlink" Target="..\..\..\src\base\ItemRegistry.gd" TargetMode="External" Id="rId168" /><Relationship Type="http://schemas.openxmlformats.org/officeDocument/2006/relationships/hyperlink" Target="..\..\..\src\game\InventoryModule.gd" TargetMode="External" Id="rId169" /><Relationship Type="http://schemas.openxmlformats.org/officeDocument/2006/relationships/hyperlink" Target="..\..\..\src\world3d\Dungeon3D.gd" TargetMode="External" Id="rId170" /><Relationship Type="http://schemas.openxmlformats.org/officeDocument/2006/relationships/hyperlink" Target="..\..\..\src\world3d\ItemModelFactory3D.gd" TargetMode="External" Id="rId171" /><Relationship Type="http://schemas.openxmlformats.org/officeDocument/2006/relationships/hyperlink" Target="ShellStorm2_&#27494;&#22120;&#36134;&#26412;_v001.xlsx#&#36164;&#20135;&#20027;&#34920;!A25" TargetMode="External" Id="rId172" /><Relationship Type="http://schemas.openxmlformats.org/officeDocument/2006/relationships/hyperlink" Target="..\..\..\src\base\ItemRegistry.gd" TargetMode="External" Id="rId173" /><Relationship Type="http://schemas.openxmlformats.org/officeDocument/2006/relationships/hyperlink" Target="..\..\..\docs\v0.1\data\ShellStorm2_&#28216;&#25103;&#20869;&#23481;&#25968;&#25454;&#24211;_v010.xlsx#&#25481;&#33853;&#29289;&#21697;!A6" TargetMode="External" Id="rId174" /><Relationship Type="http://schemas.openxmlformats.org/officeDocument/2006/relationships/hyperlink" Target="..\..\..\src\base\ItemRegistry.gd" TargetMode="External" Id="rId175" /><Relationship Type="http://schemas.openxmlformats.org/officeDocument/2006/relationships/hyperlink" Target="..\..\..\src\game\InventoryModule.gd" TargetMode="External" Id="rId176" /><Relationship Type="http://schemas.openxmlformats.org/officeDocument/2006/relationships/hyperlink" Target="..\..\..\src\world3d\Dungeon3D.gd" TargetMode="External" Id="rId177" /><Relationship Type="http://schemas.openxmlformats.org/officeDocument/2006/relationships/hyperlink" Target="..\..\..\src\world3d\ItemModelFactory3D.gd" TargetMode="External" Id="rId178" /><Relationship Type="http://schemas.openxmlformats.org/officeDocument/2006/relationships/hyperlink" Target="ShellStorm2_&#27494;&#22120;&#36134;&#26412;_v001.xlsx#&#36164;&#20135;&#20027;&#34920;!A26" TargetMode="External" Id="rId179" /><Relationship Type="http://schemas.openxmlformats.org/officeDocument/2006/relationships/table" Target="/xl/tables/table2.xml" Id="rId180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45" min="1" max="1"/>
    <col width="16.71" customWidth="1" style="45" min="2" max="3"/>
    <col width="3.58" customWidth="1" style="45" min="4" max="4"/>
    <col width="9.550000000000001" customWidth="1" style="45" min="5" max="5"/>
    <col width="35.81" customWidth="1" style="45" min="6" max="6"/>
    <col width="50.13" customWidth="1" style="45" min="7" max="7"/>
    <col width="3.58" customWidth="1" style="45" min="8" max="8"/>
    <col width="25.07" customWidth="1" style="45" min="9" max="10"/>
  </cols>
  <sheetData>
    <row r="1" ht="24.75" customHeight="1" s="46">
      <c r="A1" s="47" t="inlineStr">
        <is>
          <t>SHELLSTORM 2 · 武器美术账本 v0.1</t>
        </is>
      </c>
    </row>
    <row r="2" ht="12" customHeight="1" s="46"/>
    <row r="3" ht="22.5" customHeight="1" s="46">
      <c r="A3" s="48" t="inlineStr">
        <is>
          <t>归属域=武器｜覆盖大类=武器｜AssetID 前缀=WPN｜主账本（总目录）=assets/registry/ShellStorm2_美术资产台账_v001.xlsx；本账本可独立并行编辑，跨域契约见主账本</t>
        </is>
      </c>
    </row>
    <row r="4" ht="15" customHeight="1" s="46">
      <c r="A4" s="49" t="n"/>
      <c r="B4" s="49" t="n"/>
      <c r="C4" s="49" t="n"/>
      <c r="D4" s="49" t="n"/>
      <c r="E4" s="49" t="n"/>
      <c r="F4" s="49" t="n"/>
      <c r="G4" s="49" t="n"/>
      <c r="H4" s="49" t="n"/>
      <c r="I4" s="49" t="n"/>
      <c r="J4" s="49" t="n"/>
    </row>
    <row r="5" ht="27.6" customHeight="1" s="46">
      <c r="A5" s="50" t="inlineStr">
        <is>
          <t>资产总数</t>
        </is>
      </c>
      <c r="B5" s="50" t="n"/>
      <c r="C5" s="50" t="inlineStr">
        <is>
          <t>已完成/已接入</t>
        </is>
      </c>
      <c r="D5" s="50" t="n"/>
      <c r="E5" s="50" t="inlineStr">
        <is>
          <t>待制作/程序占位</t>
        </is>
      </c>
      <c r="F5" s="50" t="n"/>
      <c r="G5" s="50" t="inlineStr">
        <is>
          <t>重复警报</t>
        </is>
      </c>
      <c r="H5" s="50" t="n"/>
      <c r="I5" s="50" t="inlineStr">
        <is>
          <t>域内专表 / 3D Prefab 分页</t>
        </is>
      </c>
      <c r="J5" s="50" t="n"/>
    </row>
    <row r="6" ht="42" customHeight="1" s="46">
      <c r="A6" s="51">
        <f>COUNTA('资产主表'!$A$6:$A$41)</f>
        <v/>
      </c>
      <c r="B6" s="49" t="n"/>
      <c r="C6" s="51">
        <f>COUNTIF('资产主表'!$K$6:$K$41,"已完成")+COUNTIF('资产主表'!$K$6:$K$41,"原型已接入")+COUNTIF('资产主表'!$K$6:$K$41,"正式美术已接入")+COUNTIF('资产主表'!$K$6:$K$41,"已优化并正式接入")+COUNTIF('资产主表'!$K$6:$K$41,"Blender源已完成")+COUNTIF('资产主表'!$K$6:$K$41,"已导入；优化完成")+COUNTIF('资产主表'!$K$6:$K$41,"白模源已完成；QA PASS")</f>
        <v/>
      </c>
      <c r="D6" s="49" t="n"/>
      <c r="E6" s="51">
        <f>COUNTIF('资产主表'!$K$6:$K$41,"待制作")+COUNTIF('资产主表'!$K$6:$K$41,"程序占位")</f>
        <v/>
      </c>
      <c r="F6" s="49" t="n"/>
      <c r="G6" s="51">
        <f>COUNTIF('资产主表'!$S$6:$S$41,"重复")</f>
        <v/>
      </c>
      <c r="H6" s="49" t="n"/>
      <c r="I6" s="50" t="inlineStr">
        <is>
          <t>域内专表：3D-武器　|　3D Prefab 分页：3D-武器</t>
        </is>
      </c>
    </row>
    <row r="7" ht="15" customHeight="1" s="46">
      <c r="A7" s="49" t="n"/>
      <c r="B7" s="49" t="n"/>
      <c r="C7" s="49" t="n"/>
      <c r="D7" s="49" t="n"/>
      <c r="E7" s="49" t="n"/>
      <c r="F7" s="49" t="n"/>
      <c r="G7" s="49" t="n"/>
      <c r="H7" s="49" t="n"/>
      <c r="I7" s="49" t="n"/>
      <c r="J7" s="49" t="n"/>
    </row>
    <row r="8" ht="15" customHeight="1" s="46">
      <c r="A8" s="49" t="n"/>
      <c r="B8" s="49" t="n"/>
      <c r="C8" s="49" t="n"/>
      <c r="D8" s="49" t="n"/>
      <c r="E8" s="49" t="n"/>
      <c r="F8" s="49" t="n"/>
      <c r="G8" s="49" t="n"/>
      <c r="H8" s="49" t="n"/>
      <c r="I8" s="49" t="n"/>
      <c r="J8" s="49" t="n"/>
    </row>
    <row r="9" ht="31.5" customHeight="1" s="46">
      <c r="A9" s="52" t="inlineStr">
        <is>
          <t>大类</t>
        </is>
      </c>
      <c r="B9" s="52" t="inlineStr">
        <is>
          <t>资产数</t>
        </is>
      </c>
      <c r="C9" s="52" t="inlineStr">
        <is>
          <t>完成/接入</t>
        </is>
      </c>
      <c r="D9" s="52" t="n"/>
      <c r="E9" s="53" t="inlineStr">
        <is>
          <t>本账本只登记上列大类；跨域搬运资产须同步主账本《分类与编码》并重跑门禁</t>
        </is>
      </c>
      <c r="F9" s="54" t="n"/>
      <c r="G9" s="54" t="n"/>
      <c r="H9" s="54" t="n"/>
      <c r="I9" s="54" t="n"/>
      <c r="J9" s="55" t="n"/>
    </row>
    <row r="10" ht="21.75" customHeight="1" s="46">
      <c r="A10" s="56" t="inlineStr">
        <is>
          <t>武器</t>
        </is>
      </c>
      <c r="B10" s="56">
        <f>COUNTIF('资产主表'!$C$6:$C$41,A10)</f>
        <v/>
      </c>
      <c r="C10" s="56">
        <f>SUMPRODUCT(('资产主表'!$C$6:$C$41=A10)*(('资产主表'!$K$6:$K$41="已完成")+('资产主表'!$K$6:$K$41="原型已接入")+('资产主表'!$K$6:$K$41="正式美术已接入")+('资产主表'!$K$6:$K$41="已优化并正式接入")+('资产主表'!$K$6:$K$41="Blender源已完成")+('资产主表'!$K$6:$K$41="已导入；优化完成")+('资产主表'!$K$6:$K$41="白模源已完成；QA PASS")))</f>
        <v/>
      </c>
      <c r="D10" s="56" t="n"/>
      <c r="E10" s="56" t="n"/>
      <c r="F10" s="56" t="n"/>
      <c r="G10" s="56" t="n"/>
      <c r="H10" s="56" t="n"/>
      <c r="I10" s="56" t="n"/>
      <c r="J10" s="56" t="n"/>
    </row>
    <row r="11" ht="15" customHeight="1" s="46">
      <c r="A11" s="52" t="inlineStr">
        <is>
          <t>合计</t>
        </is>
      </c>
      <c r="B11" s="52">
        <f>COUNTIF('资产主表'!$C$6:$C$41,A11)</f>
        <v/>
      </c>
      <c r="C11" s="52">
        <f>SUMPRODUCT(('资产主表'!$C$6:$C$41=A11)*(('资产主表'!$K$6:$K$41="已完成")+('资产主表'!$K$6:$K$41="原型已接入")+('资产主表'!$K$6:$K$41="正式美术已接入")+('资产主表'!$K$6:$K$41="已优化并正式接入")+('资产主表'!$K$6:$K$41="Blender源已完成")+('资产主表'!$K$6:$K$41="已导入；优化完成")+('资产主表'!$K$6:$K$41="白模源已完成；QA PASS")))</f>
        <v/>
      </c>
      <c r="D11" s="52" t="n"/>
      <c r="E11" s="52" t="n"/>
      <c r="F11" s="52" t="n"/>
      <c r="G11" s="52" t="n"/>
      <c r="H11" s="52" t="n"/>
      <c r="I11" s="52" t="n"/>
      <c r="J11" s="52" t="n"/>
    </row>
    <row r="12" ht="15" customHeight="1" s="46">
      <c r="A12" s="57" t="n"/>
      <c r="B12" s="57" t="n"/>
      <c r="C12" s="57" t="n"/>
      <c r="D12" s="49" t="n"/>
      <c r="E12" s="58" t="n"/>
      <c r="F12" s="57" t="n"/>
      <c r="G12" s="57" t="n"/>
      <c r="H12" s="49" t="n"/>
      <c r="I12" s="49" t="n"/>
      <c r="J12" s="49" t="n"/>
    </row>
    <row r="13" ht="15" customHeight="1" s="46">
      <c r="A13" s="59" t="inlineStr">
        <is>
          <t>域内 3D Prefab 分页统计（快照口径与本账本分页一致；权威清单在各分页表）</t>
        </is>
      </c>
      <c r="B13" s="60" t="n"/>
      <c r="C13" s="60" t="n"/>
      <c r="D13" s="60" t="n"/>
      <c r="E13" s="60" t="n"/>
      <c r="F13" s="60" t="n"/>
      <c r="G13" s="60" t="n"/>
      <c r="H13" s="60" t="n"/>
      <c r="I13" s="60" t="n"/>
      <c r="J13" s="61" t="n"/>
    </row>
    <row r="14" ht="39.55" customHeight="1" s="46">
      <c r="A14" s="50" t="inlineStr">
        <is>
          <t>分页</t>
        </is>
      </c>
      <c r="B14" s="62" t="inlineStr">
        <is>
          <t>Prefab 数</t>
        </is>
      </c>
      <c r="C14" s="50" t="inlineStr">
        <is>
          <t>直接引用 GLB</t>
        </is>
      </c>
      <c r="D14" s="50" t="inlineStr">
        <is>
          <t>有功能脚本</t>
        </is>
      </c>
      <c r="E14" s="50" t="inlineStr">
        <is>
          <t>碰撞开启</t>
        </is>
      </c>
      <c r="F14" s="50" t="inlineStr">
        <is>
          <t>说明</t>
        </is>
      </c>
      <c r="G14" s="57" t="n"/>
      <c r="H14" s="49" t="n"/>
      <c r="I14" s="49" t="n"/>
      <c r="J14" s="49" t="n"/>
    </row>
    <row r="15" ht="15" customHeight="1" s="46">
      <c r="A15" s="63" t="inlineStr">
        <is>
          <t>3D-武器</t>
        </is>
      </c>
      <c r="B15" s="56">
        <f>COUNTA('3D-武器'!$A$5:$A$204)</f>
        <v/>
      </c>
      <c r="C15" s="56">
        <f>COUNTIF('3D-武器'!$D$5:$D$204,"&lt;&gt;")</f>
        <v/>
      </c>
      <c r="D15" s="56">
        <f>COUNTIF('3D-武器'!$G$5:$G$204,"&lt;&gt;")</f>
        <v/>
      </c>
      <c r="E15" s="56">
        <f>COUNTIF('3D-武器'!$H$5:$H$204,"开")</f>
        <v/>
      </c>
      <c r="F15" s="56" t="inlineStr">
        <is>
          <t>一行 = 一个实际存在的 Godot PackedScene</t>
        </is>
      </c>
      <c r="G15" s="56" t="n"/>
      <c r="H15" s="56" t="n"/>
      <c r="I15" s="56" t="n"/>
      <c r="J15" s="56" t="n"/>
    </row>
    <row r="16" ht="15" customHeight="1" s="46">
      <c r="A16" s="52" t="inlineStr">
        <is>
          <t>合计</t>
        </is>
      </c>
      <c r="B16" s="52">
        <f>SUM(B15)</f>
        <v/>
      </c>
      <c r="C16" s="52">
        <f>SUM(C15)</f>
        <v/>
      </c>
      <c r="D16" s="52">
        <f>SUM(D15)</f>
        <v/>
      </c>
      <c r="E16" s="52">
        <f>SUM(E15)</f>
        <v/>
      </c>
      <c r="F16" s="52" t="n"/>
      <c r="G16" s="52" t="n"/>
      <c r="H16" s="52" t="n"/>
      <c r="I16" s="52" t="n"/>
      <c r="J16" s="52" t="n"/>
    </row>
    <row r="17" ht="15" customHeight="1" s="46">
      <c r="A17" s="57" t="n"/>
      <c r="B17" s="57" t="n"/>
      <c r="C17" s="57" t="n"/>
      <c r="D17" s="49" t="n"/>
      <c r="E17" s="49" t="n"/>
      <c r="F17" s="49" t="n"/>
      <c r="G17" s="49" t="n"/>
      <c r="H17" s="49" t="n"/>
      <c r="I17" s="49" t="n"/>
      <c r="J17" s="49" t="n"/>
    </row>
    <row r="18" ht="15" customHeight="1" s="46">
      <c r="A18" s="57" t="n"/>
      <c r="B18" s="57" t="n"/>
      <c r="C18" s="57" t="n"/>
      <c r="D18" s="49" t="n"/>
      <c r="E18" s="49" t="n"/>
      <c r="F18" s="49" t="n"/>
      <c r="G18" s="49" t="n"/>
      <c r="H18" s="49" t="n"/>
      <c r="I18" s="49" t="n"/>
      <c r="J18" s="49" t="n"/>
    </row>
    <row r="19" ht="15" customHeight="1" s="46">
      <c r="A19" s="49" t="n"/>
      <c r="B19" s="49" t="n"/>
      <c r="C19" s="49" t="n"/>
      <c r="D19" s="49" t="n"/>
      <c r="E19" s="49" t="n"/>
      <c r="F19" s="49" t="n"/>
      <c r="G19" s="49" t="n"/>
      <c r="H19" s="49" t="n"/>
      <c r="I19" s="49" t="n"/>
      <c r="J19" s="49" t="n"/>
    </row>
    <row r="20" ht="15" customHeight="1" s="46">
      <c r="A20" s="49" t="n"/>
      <c r="B20" s="49" t="n"/>
      <c r="C20" s="49" t="n"/>
      <c r="D20" s="49" t="n"/>
      <c r="E20" s="49" t="n"/>
      <c r="F20" s="49" t="n"/>
      <c r="G20" s="49" t="n"/>
      <c r="H20" s="49" t="n"/>
      <c r="I20" s="49" t="n"/>
      <c r="J20" s="49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45" min="1" max="1"/>
    <col width="74" customWidth="1" style="45" min="2" max="2"/>
    <col width="40.58" customWidth="1" style="45" min="3" max="3"/>
    <col width="28.65" customWidth="1" style="45" min="4" max="6"/>
  </cols>
  <sheetData>
    <row r="1" ht="15" customHeight="1" s="46">
      <c r="A1" s="64" t="inlineStr">
        <is>
          <t>本账本说明 · 武器</t>
        </is>
      </c>
    </row>
    <row r="2" ht="15" customHeight="1" s="46"/>
    <row r="3" ht="15" customHeight="1" s="46">
      <c r="A3" s="48" t="inlineStr">
        <is>
          <t>本表是分账本自描述；机器可读真源为 assets/registry/ledger_index.json，二者不一致时以 JSON 为准</t>
        </is>
      </c>
    </row>
    <row r="5" ht="15" customHeight="1" s="46">
      <c r="A5" s="52" t="inlineStr">
        <is>
          <t>项</t>
        </is>
      </c>
      <c r="B5" s="52" t="inlineStr">
        <is>
          <t>值</t>
        </is>
      </c>
      <c r="C5" s="52" t="n"/>
      <c r="D5" s="52" t="n"/>
      <c r="E5" s="52" t="n"/>
      <c r="F5" s="52" t="n"/>
    </row>
    <row r="6" ht="30" customHeight="1" s="46">
      <c r="A6" s="56" t="inlineStr">
        <is>
          <t>账本归属域</t>
        </is>
      </c>
      <c r="B6" s="56" t="inlineStr">
        <is>
          <t>武器</t>
        </is>
      </c>
      <c r="C6" s="56" t="n"/>
      <c r="D6" s="56" t="n"/>
      <c r="E6" s="56" t="n"/>
      <c r="F6" s="56" t="n"/>
    </row>
    <row r="7" ht="30" customHeight="1" s="46">
      <c r="A7" s="56" t="inlineStr">
        <is>
          <t>分账本文件</t>
        </is>
      </c>
      <c r="B7" s="63" t="inlineStr">
        <is>
          <t>assets/registry/ledgers/ShellStorm2_武器账本_v001.xlsx</t>
        </is>
      </c>
      <c r="C7" s="56" t="n"/>
      <c r="D7" s="56" t="n"/>
      <c r="E7" s="56" t="n"/>
      <c r="F7" s="56" t="n"/>
    </row>
    <row r="8" ht="30" customHeight="1" s="46">
      <c r="A8" s="56" t="inlineStr">
        <is>
          <t>覆盖大类</t>
        </is>
      </c>
      <c r="B8" s="56" t="inlineStr">
        <is>
          <t>武器</t>
        </is>
      </c>
      <c r="C8" s="56" t="n"/>
      <c r="D8" s="56" t="n"/>
      <c r="E8" s="56" t="n"/>
      <c r="F8" s="56" t="n"/>
    </row>
    <row r="9" ht="30" customHeight="1" s="46">
      <c r="A9" s="63" t="inlineStr">
        <is>
          <t>AssetID 前缀</t>
        </is>
      </c>
      <c r="B9" s="63" t="inlineStr">
        <is>
          <t>WPN</t>
        </is>
      </c>
      <c r="C9" s="56" t="n"/>
      <c r="D9" s="56" t="n"/>
      <c r="E9" s="56" t="n"/>
      <c r="F9" s="56" t="n"/>
    </row>
    <row r="10" ht="30" customHeight="1" s="46">
      <c r="A10" s="56" t="inlineStr">
        <is>
          <t>域内专表</t>
        </is>
      </c>
      <c r="B10" s="63" t="inlineStr">
        <is>
          <t>3D-武器</t>
        </is>
      </c>
      <c r="C10" s="56" t="n"/>
      <c r="D10" s="56" t="n"/>
      <c r="E10" s="56" t="n"/>
      <c r="F10" s="56" t="n"/>
    </row>
    <row r="11" ht="30" customHeight="1" s="46">
      <c r="A11" s="63" t="inlineStr">
        <is>
          <t>3D Prefab 分页</t>
        </is>
      </c>
      <c r="B11" s="63" t="inlineStr">
        <is>
          <t>3D-武器</t>
        </is>
      </c>
      <c r="C11" s="56" t="n"/>
      <c r="D11" s="56" t="n"/>
      <c r="E11" s="56" t="n"/>
      <c r="F11" s="56" t="n"/>
    </row>
    <row r="12" ht="30" customHeight="1" s="46">
      <c r="A12" s="56" t="inlineStr">
        <is>
          <t>动画登记表</t>
        </is>
      </c>
      <c r="B12" s="56" t="inlineStr">
        <is>
          <t>无</t>
        </is>
      </c>
      <c r="C12" s="56" t="n"/>
      <c r="D12" s="56" t="n"/>
      <c r="E12" s="56" t="n"/>
      <c r="F12" s="56" t="n"/>
    </row>
    <row r="13" ht="30" customHeight="1" s="46">
      <c r="A13" s="56" t="inlineStr">
        <is>
          <t>主账本（总目录）</t>
        </is>
      </c>
      <c r="B13" s="63" t="inlineStr">
        <is>
          <t>assets/registry/ShellStorm2_美术资产台账_v001.xlsx</t>
        </is>
      </c>
      <c r="C13" s="56" t="n"/>
      <c r="D13" s="56" t="n"/>
      <c r="E13" s="56" t="n"/>
      <c r="F13" s="56" t="n"/>
    </row>
    <row r="14" ht="30" customHeight="1" s="46">
      <c r="A14" s="56" t="inlineStr">
        <is>
          <t>跨域契约</t>
        </is>
      </c>
      <c r="B14" s="56" t="inlineStr">
        <is>
          <t>分类与编码 / 命名与查重 / 版本记录 / Skill 清单 / 3D Prefab 总控 —— 全部只在主账本维护</t>
        </is>
      </c>
      <c r="C14" s="56" t="n"/>
      <c r="D14" s="56" t="n"/>
      <c r="E14" s="56" t="n"/>
      <c r="F14" s="56" t="n"/>
    </row>
    <row r="15" ht="30" customHeight="1" s="46">
      <c r="A15" s="56" t="inlineStr">
        <is>
          <t>首选制作 Skill</t>
        </is>
      </c>
      <c r="B15" s="63" t="inlineStr">
        <is>
          <t>game-weapon-model-pipeline</t>
        </is>
      </c>
      <c r="C15" s="56" t="n"/>
      <c r="D15" s="56" t="n"/>
      <c r="E15" s="56" t="n"/>
      <c r="F15" s="56" t="n"/>
    </row>
    <row r="16" ht="30" customHeight="1" s="46">
      <c r="A16" s="56" t="inlineStr">
        <is>
          <t>协作 Skill</t>
        </is>
      </c>
      <c r="B16" s="56" t="inlineStr">
        <is>
          <t>无</t>
        </is>
      </c>
      <c r="C16" s="56" t="n"/>
      <c r="D16" s="56" t="n"/>
      <c r="E16" s="56" t="n"/>
      <c r="F16" s="56" t="n"/>
    </row>
    <row r="17" ht="30" customHeight="1" s="46">
      <c r="A17" s="56" t="inlineStr">
        <is>
          <t>负责人</t>
        </is>
      </c>
      <c r="B17" s="56" t="inlineStr">
        <is>
          <t>待分配</t>
        </is>
      </c>
      <c r="C17" s="56" t="n"/>
      <c r="D17" s="56" t="n"/>
      <c r="E17" s="56" t="n"/>
      <c r="F17" s="56" t="n"/>
    </row>
    <row r="18" ht="30" customHeight="1" s="46">
      <c r="A18" s="56" t="inlineStr">
        <is>
          <t>登记范围</t>
        </is>
      </c>
      <c r="B18" s="56" t="inlineStr">
        <is>
          <t>枪械（手枪/霰弹/步枪/机枪/狙击/发射器）与近战武器（棒球棍/巨刃/战斧）、子弹模块与配件。挂点契约见该 Skill。</t>
        </is>
      </c>
      <c r="C18" s="56" t="n"/>
      <c r="D18" s="56" t="n"/>
      <c r="E18" s="56" t="n"/>
      <c r="F18" s="56" t="n"/>
    </row>
    <row r="19" ht="30" customHeight="1" s="46">
      <c r="A19" s="56" t="inlineStr">
        <is>
          <t>编辑边界</t>
        </is>
      </c>
      <c r="B19" s="56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56" t="n"/>
      <c r="D19" s="56" t="n"/>
      <c r="E19" s="56" t="n"/>
      <c r="F19" s="56" t="n"/>
    </row>
    <row r="20" ht="30" customHeight="1" s="46">
      <c r="A20" s="56" t="inlineStr">
        <is>
          <t>登记口径</t>
        </is>
      </c>
      <c r="B20" s="56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56" t="n"/>
      <c r="D20" s="56" t="n"/>
      <c r="E20" s="56" t="n"/>
      <c r="F20" s="56" t="n"/>
    </row>
    <row r="21" ht="30" customHeight="1" s="46">
      <c r="A21" s="56" t="inlineStr">
        <is>
          <t>门禁</t>
        </is>
      </c>
      <c r="B21" s="63" t="inlineStr">
        <is>
          <t>python3 scripts/check_asset_registry.py --scope structure（需 venv python + openpyxl，且在 /tmp 下跑）</t>
        </is>
      </c>
      <c r="C21" s="56" t="n"/>
      <c r="D21" s="56" t="n"/>
      <c r="E21" s="56" t="n"/>
      <c r="F21" s="56" t="n"/>
    </row>
    <row r="22" ht="30" customHeight="1" s="46">
      <c r="A22" s="56" t="inlineStr">
        <is>
          <t>无损基线</t>
        </is>
      </c>
      <c r="B22" s="63" t="inlineStr">
        <is>
          <t>assets/registry/ledger_split_baseline.json；python3 tools/asset_pipeline/verify_ledger_split.py 断言并集与拆分前逐格一致</t>
        </is>
      </c>
      <c r="C22" s="56" t="n"/>
      <c r="D22" s="56" t="n"/>
      <c r="E22" s="56" t="n"/>
      <c r="F22" s="56" t="n"/>
    </row>
    <row r="23" ht="30" customHeight="1" s="46">
      <c r="A23" s="56" t="inlineStr">
        <is>
          <t>快照日期</t>
        </is>
      </c>
      <c r="B23" s="63" t="inlineStr">
        <is>
          <t>2026-09-18</t>
        </is>
      </c>
      <c r="C23" s="56" t="n"/>
      <c r="D23" s="56" t="n"/>
      <c r="E23" s="56" t="n"/>
      <c r="F23" s="56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45" min="1" max="1"/>
    <col width="21.48" customWidth="1" style="45" min="2" max="2"/>
    <col width="11.94" customWidth="1" style="45" min="3" max="3"/>
    <col width="21.48" customWidth="1" style="45" min="4" max="4"/>
    <col width="26.26" customWidth="1" style="45" min="5" max="5"/>
    <col width="14.33" customWidth="1" style="45" min="6" max="6"/>
    <col width="29.84" customWidth="1" style="45" min="7" max="7"/>
    <col width="22.68" customWidth="1" style="45" min="8" max="8"/>
    <col width="17.9" customWidth="1" style="45" min="9" max="9"/>
    <col width="21.48" customWidth="1" style="45" min="10" max="10"/>
    <col width="14.33" customWidth="1" style="45" min="11" max="11"/>
    <col width="9.550000000000001" customWidth="1" style="45" min="12" max="12"/>
    <col width="10.74" customWidth="1" style="45" min="13" max="13"/>
    <col width="19.1" customWidth="1" style="45" min="14" max="14"/>
    <col width="42.97" customWidth="1" style="45" min="15" max="15"/>
    <col width="40.58" customWidth="1" style="45" min="16" max="16"/>
    <col width="31.03" customWidth="1" style="45" min="17" max="17"/>
    <col width="50.13" customWidth="1" style="45" min="18" max="18"/>
    <col width="14.33" customWidth="1" style="45" min="19" max="19"/>
    <col width="35.81" customWidth="1" style="45" min="20" max="20"/>
    <col width="14.33" customWidth="1" style="45" min="21" max="21"/>
    <col width="15.51" customWidth="1" style="45" min="22" max="22"/>
    <col width="19.1" customWidth="1" style="45" min="23" max="23"/>
    <col width="62.06" customWidth="1" style="45" min="24" max="24"/>
  </cols>
  <sheetData>
    <row r="1" ht="24.75" customHeight="1" s="46">
      <c r="A1" s="64" t="inlineStr">
        <is>
          <t>资产主表 · 唯一登记源</t>
        </is>
      </c>
    </row>
    <row r="2" ht="12" customHeight="1" s="46"/>
    <row r="3" ht="22.5" customHeight="1" s="46">
      <c r="A3" s="48" t="inlineStr">
        <is>
          <t>查重键由公式生成；S 列出现“重复”时禁止制作，先合并或建立变体父子关系</t>
        </is>
      </c>
    </row>
    <row r="4" ht="15" customHeight="1" s="46">
      <c r="A4" s="49" t="n"/>
      <c r="B4" s="49" t="n"/>
      <c r="C4" s="49" t="n"/>
      <c r="D4" s="49" t="n"/>
      <c r="E4" s="49" t="n"/>
      <c r="F4" s="49" t="n"/>
      <c r="G4" s="49" t="n"/>
      <c r="H4" s="49" t="n"/>
      <c r="I4" s="49" t="n"/>
      <c r="J4" s="49" t="n"/>
      <c r="K4" s="49" t="n"/>
      <c r="L4" s="49" t="n"/>
      <c r="M4" s="49" t="n"/>
      <c r="N4" s="49" t="n"/>
      <c r="O4" s="49" t="n"/>
      <c r="P4" s="49" t="n"/>
      <c r="Q4" s="49" t="n"/>
      <c r="R4" s="49" t="n"/>
      <c r="S4" s="49" t="n"/>
      <c r="T4" s="49" t="n"/>
      <c r="U4" s="49" t="n"/>
      <c r="V4" s="49" t="n"/>
      <c r="W4" s="49" t="n"/>
      <c r="Y4" s="49" t="n"/>
    </row>
    <row r="5" ht="31.5" customHeight="1" s="46">
      <c r="A5" s="65" t="inlineStr">
        <is>
          <t>AssetID</t>
        </is>
      </c>
      <c r="B5" s="66" t="inlineStr">
        <is>
          <t>中文名</t>
        </is>
      </c>
      <c r="C5" s="66" t="inlineStr">
        <is>
          <t>大类</t>
        </is>
      </c>
      <c r="D5" s="66" t="inlineStr">
        <is>
          <t>子类</t>
        </is>
      </c>
      <c r="E5" s="66" t="inlineStr">
        <is>
          <t>逻辑ID/源键</t>
        </is>
      </c>
      <c r="F5" s="66" t="inlineStr">
        <is>
          <t>组件槽</t>
        </is>
      </c>
      <c r="G5" s="66" t="inlineStr">
        <is>
          <t>变体父ID</t>
        </is>
      </c>
      <c r="H5" s="66" t="inlineStr">
        <is>
          <t>视角</t>
        </is>
      </c>
      <c r="I5" s="66" t="inlineStr">
        <is>
          <t>状态/动画</t>
        </is>
      </c>
      <c r="J5" s="66" t="inlineStr">
        <is>
          <t>复用范围</t>
        </is>
      </c>
      <c r="K5" s="66" t="inlineStr">
        <is>
          <t>制作状态</t>
        </is>
      </c>
      <c r="L5" s="66" t="inlineStr">
        <is>
          <t>优先级</t>
        </is>
      </c>
      <c r="M5" s="66" t="inlineStr">
        <is>
          <t>版本</t>
        </is>
      </c>
      <c r="N5" s="66" t="inlineStr">
        <is>
          <t>规格(px)</t>
        </is>
      </c>
      <c r="O5" s="66" t="inlineStr">
        <is>
          <t>文件路径</t>
        </is>
      </c>
      <c r="P5" s="66" t="inlineStr">
        <is>
          <t>源码/策划依据</t>
        </is>
      </c>
      <c r="Q5" s="66" t="inlineStr">
        <is>
          <t>关键词/别名</t>
        </is>
      </c>
      <c r="R5" s="66" t="inlineStr">
        <is>
          <t>查重键</t>
        </is>
      </c>
      <c r="S5" s="66" t="inlineStr">
        <is>
          <t>查重结果</t>
        </is>
      </c>
      <c r="T5" s="67" t="inlineStr">
        <is>
          <t>SHA-256</t>
        </is>
      </c>
      <c r="U5" s="66" t="inlineStr">
        <is>
          <t>负责人</t>
        </is>
      </c>
      <c r="V5" s="66" t="inlineStr">
        <is>
          <t>更新时间</t>
        </is>
      </c>
      <c r="W5" s="66" t="inlineStr">
        <is>
          <t>来源/许可</t>
        </is>
      </c>
      <c r="X5" s="68" t="inlineStr">
        <is>
          <t>源编号（Blender collection）</t>
        </is>
      </c>
      <c r="Y5" s="69" t="inlineStr">
        <is>
          <t>备注</t>
        </is>
      </c>
    </row>
    <row r="6" ht="441.75" customHeight="1" s="46">
      <c r="A6" s="70" t="inlineStr">
        <is>
          <t>WPN-GUN-BP-PISTOL</t>
        </is>
      </c>
      <c r="B6" s="57" t="inlineStr">
        <is>
          <t>豌豆手枪 / 吹风机造型</t>
        </is>
      </c>
      <c r="C6" s="57" t="inlineStr">
        <is>
          <t>武器</t>
        </is>
      </c>
      <c r="D6" s="70" t="inlineStr">
        <is>
          <t>gunbody</t>
        </is>
      </c>
      <c r="E6" s="70" t="inlineStr">
        <is>
          <t>bp_pistol</t>
        </is>
      </c>
      <c r="F6" s="70" t="inlineStr">
        <is>
          <t>root</t>
        </is>
      </c>
      <c r="G6" s="57" t="n"/>
      <c r="H6" s="57" t="inlineStr">
        <is>
          <t>俯视3D / local -Z 枪口</t>
        </is>
      </c>
      <c r="I6" s="70" t="inlineStr">
        <is>
          <t>default / 标准握把与8类挂点</t>
        </is>
      </c>
      <c r="J6" s="57" t="inlineStr">
        <is>
          <t>手持/背负/地面/UI 共用独立PackedScene</t>
        </is>
      </c>
      <c r="K6" s="57" t="inlineStr">
        <is>
          <t>已完成</t>
        </is>
      </c>
      <c r="L6" s="70" t="inlineStr">
        <is>
          <t>P0</t>
        </is>
      </c>
      <c r="M6" s="70" t="inlineStr">
        <is>
          <t>v001</t>
        </is>
      </c>
      <c r="N6" s="57" t="inlineStr">
        <is>
          <t>握把原点；local -Z枪口；3材质；独立GLB/PackedScene</t>
        </is>
      </c>
      <c r="O6" s="70" t="inlineStr">
        <is>
          <t>assets/art/weapons/weapon_3d/runtime/hair_dryer/wpn_hair_dryer_root_top3d_v001.tscn</t>
        </is>
      </c>
      <c r="P6" s="70" t="inlineStr">
        <is>
          <t>art_source/weapons/weapon_3d/source/hair_dryer/wpn_hair_dryer_source_v003.blend; src/combat3d/WeaponModel3D.gd</t>
        </is>
      </c>
      <c r="Q6" s="70" t="inlineStr">
        <is>
          <t>bp_pistol; 吹风机; 握把原点; -Z枪口; 通用挂点; 多巴胺配色</t>
        </is>
      </c>
      <c r="R6" s="57">
        <f>LOWER(TRIM(C6)&amp;"|"&amp;TRIM(D6)&amp;"|"&amp;TRIM(E6)&amp;"|"&amp;TRIM(F6)&amp;"|"&amp;TRIM(H6)&amp;"|"&amp;TRIM(I6))</f>
        <v/>
      </c>
      <c r="S6" s="57">
        <f>IF(COUNTIF($R$6:$R$41,R6)&gt;1,"重复","唯一")</f>
        <v/>
      </c>
      <c r="T6" s="70" t="inlineStr">
        <is>
          <t>2470638382999aaed09f3e141f345b3aac5173b00215a6e320d3a3e65c00271f</t>
        </is>
      </c>
      <c r="U6" s="70" t="inlineStr">
        <is>
          <t>Codex</t>
        </is>
      </c>
      <c r="V6" s="71" t="n">
        <v>46264</v>
      </c>
      <c r="W6" s="57" t="inlineStr">
        <is>
          <t>用户自制Blender资产</t>
        </is>
      </c>
      <c r="X6" s="72" t="inlineStr">
        <is>
          <t>—</t>
        </is>
      </c>
      <c r="Y6" s="57" t="inlineStr">
        <is>
          <t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t>
        </is>
      </c>
    </row>
    <row r="7" ht="240.25" customHeight="1" s="46">
      <c r="A7" s="70" t="inlineStr">
        <is>
          <t>WPN-GUN-BP-SHOTGUN</t>
        </is>
      </c>
      <c r="B7" s="57" t="inlineStr">
        <is>
          <t>散射喷壶 / 双管炮造型</t>
        </is>
      </c>
      <c r="C7" s="57" t="inlineStr">
        <is>
          <t>武器</t>
        </is>
      </c>
      <c r="D7" s="70" t="inlineStr">
        <is>
          <t>gunbody</t>
        </is>
      </c>
      <c r="E7" s="70" t="inlineStr">
        <is>
          <t>bp_shotgun</t>
        </is>
      </c>
      <c r="F7" s="70" t="inlineStr">
        <is>
          <t>root</t>
        </is>
      </c>
      <c r="G7" s="57" t="n"/>
      <c r="H7" s="57" t="inlineStr">
        <is>
          <t>俯视3D / local -Z 枪口</t>
        </is>
      </c>
      <c r="I7" s="70" t="inlineStr">
        <is>
          <t>default / 标准握把与8类挂点</t>
        </is>
      </c>
      <c r="J7" s="57" t="inlineStr">
        <is>
          <t>手持/背负/地面/UI 共用独立PackedScene</t>
        </is>
      </c>
      <c r="K7" s="57" t="inlineStr">
        <is>
          <t>已完成</t>
        </is>
      </c>
      <c r="L7" s="70" t="inlineStr">
        <is>
          <t>P0</t>
        </is>
      </c>
      <c r="M7" s="70" t="inlineStr">
        <is>
          <t>v001</t>
        </is>
      </c>
      <c r="N7" s="57" t="inlineStr">
        <is>
          <t>握把原点；local -Z枪口；3材质；独立GLB/PackedScene</t>
        </is>
      </c>
      <c r="O7" s="70" t="inlineStr">
        <is>
          <t>assets/art/weapons/weapon_3d/runtime/double_barrel_cannon/wpn_double_barrel_cannon_root_top3d_v001.tscn</t>
        </is>
      </c>
      <c r="P7" s="70" t="inlineStr">
        <is>
          <t>../ShellStorm2-backup/2026-10-11_slimming/original_tree/art_source/weapons/weapon_3d/source/double_barrel_cannon/wpn_double_barrel_cannon_source_v001.blend; src/combat3d/WeaponModel3D.gd</t>
        </is>
      </c>
      <c r="Q7" s="70" t="inlineStr">
        <is>
          <t>bp_shotgun; 双管炮; 握把原点; -Z枪口; 通用挂点; 多巴胺配色</t>
        </is>
      </c>
      <c r="R7" s="57">
        <f>LOWER(TRIM(C7)&amp;"|"&amp;TRIM(D7)&amp;"|"&amp;TRIM(E7)&amp;"|"&amp;TRIM(F7)&amp;"|"&amp;TRIM(H7)&amp;"|"&amp;TRIM(I7))</f>
        <v/>
      </c>
      <c r="S7" s="57">
        <f>IF(COUNTIF($R$6:$R$41,R7)&gt;1,"重复","唯一")</f>
        <v/>
      </c>
      <c r="T7" s="70" t="inlineStr">
        <is>
          <t>3e7dbd12824eb293a6f8e4331c3932591c172a659c47418caccf83a46e0556bb</t>
        </is>
      </c>
      <c r="U7" s="70" t="inlineStr">
        <is>
          <t>Codex</t>
        </is>
      </c>
      <c r="V7" s="71" t="n">
        <v>46264</v>
      </c>
      <c r="W7" s="57" t="inlineStr">
        <is>
          <t>用户自制Blender资产</t>
        </is>
      </c>
      <c r="X7" s="72" t="inlineStr">
        <is>
          <t>—</t>
        </is>
      </c>
      <c r="Y7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t>
        </is>
      </c>
    </row>
    <row r="8" ht="240.25" customHeight="1" s="46">
      <c r="A8" s="70" t="inlineStr">
        <is>
          <t>WPN-GUN-BP-RIFLE</t>
        </is>
      </c>
      <c r="B8" s="57" t="inlineStr">
        <is>
          <t>步枪 / 扫帚步枪造型</t>
        </is>
      </c>
      <c r="C8" s="57" t="inlineStr">
        <is>
          <t>武器</t>
        </is>
      </c>
      <c r="D8" s="70" t="inlineStr">
        <is>
          <t>gunbody</t>
        </is>
      </c>
      <c r="E8" s="70" t="inlineStr">
        <is>
          <t>bp_rifle</t>
        </is>
      </c>
      <c r="F8" s="70" t="inlineStr">
        <is>
          <t>root</t>
        </is>
      </c>
      <c r="G8" s="57" t="n"/>
      <c r="H8" s="57" t="inlineStr">
        <is>
          <t>俯视3D / local -Z 枪口</t>
        </is>
      </c>
      <c r="I8" s="70" t="inlineStr">
        <is>
          <t>default / 标准握把与8类挂点</t>
        </is>
      </c>
      <c r="J8" s="57" t="inlineStr">
        <is>
          <t>手持/背负/地面/UI 共用独立PackedScene</t>
        </is>
      </c>
      <c r="K8" s="57" t="inlineStr">
        <is>
          <t>已完成</t>
        </is>
      </c>
      <c r="L8" s="70" t="inlineStr">
        <is>
          <t>P0</t>
        </is>
      </c>
      <c r="M8" s="70" t="inlineStr">
        <is>
          <t>v001</t>
        </is>
      </c>
      <c r="N8" s="57" t="inlineStr">
        <is>
          <t>握把原点；local -Z枪口；3材质；独立GLB/PackedScene</t>
        </is>
      </c>
      <c r="O8" s="70" t="inlineStr">
        <is>
          <t>assets/art/weapons/weapon_3d/runtime/broom_rifle/wpn_broom_rifle_root_top3d_v001.tscn</t>
        </is>
      </c>
      <c r="P8" s="70" t="inlineStr">
        <is>
          <t>../ShellStorm2-backup/2026-10-11_slimming/original_tree/art_source/weapons/weapon_3d/source/broom_rifle/wpn_broom_rifle_source_v001.blend; src/combat3d/WeaponModel3D.gd</t>
        </is>
      </c>
      <c r="Q8" s="70" t="inlineStr">
        <is>
          <t>bp_rifle; 扫帚步枪; 握把原点; -Z枪口; 通用挂点; 多巴胺配色</t>
        </is>
      </c>
      <c r="R8" s="57">
        <f>LOWER(TRIM(C8)&amp;"|"&amp;TRIM(D8)&amp;"|"&amp;TRIM(E8)&amp;"|"&amp;TRIM(F8)&amp;"|"&amp;TRIM(H8)&amp;"|"&amp;TRIM(I8))</f>
        <v/>
      </c>
      <c r="S8" s="57">
        <f>IF(COUNTIF($R$6:$R$41,R8)&gt;1,"重复","唯一")</f>
        <v/>
      </c>
      <c r="T8" s="70" t="inlineStr">
        <is>
          <t>d58d0c336be59b57b77c4f2cec6f529fcb62ecb454cb3f509049136988925255</t>
        </is>
      </c>
      <c r="U8" s="70" t="inlineStr">
        <is>
          <t>Codex</t>
        </is>
      </c>
      <c r="V8" s="71" t="n">
        <v>46264</v>
      </c>
      <c r="W8" s="57" t="inlineStr">
        <is>
          <t>用户自制Blender资产</t>
        </is>
      </c>
      <c r="X8" s="72" t="inlineStr">
        <is>
          <t>—</t>
        </is>
      </c>
      <c r="Y8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t>
        </is>
      </c>
    </row>
    <row r="9" ht="240.25" customHeight="1" s="46">
      <c r="A9" s="70" t="inlineStr">
        <is>
          <t>WPN-GUN-BP-MACHINEGUN</t>
        </is>
      </c>
      <c r="B9" s="57" t="inlineStr">
        <is>
          <t>蜂窝机枪 / 水箱爆能枪造型</t>
        </is>
      </c>
      <c r="C9" s="57" t="inlineStr">
        <is>
          <t>武器</t>
        </is>
      </c>
      <c r="D9" s="70" t="inlineStr">
        <is>
          <t>gunbody</t>
        </is>
      </c>
      <c r="E9" s="70" t="inlineStr">
        <is>
          <t>bp_machinegun</t>
        </is>
      </c>
      <c r="F9" s="70" t="inlineStr">
        <is>
          <t>root</t>
        </is>
      </c>
      <c r="G9" s="57" t="n"/>
      <c r="H9" s="57" t="inlineStr">
        <is>
          <t>俯视3D / local -Z 枪口</t>
        </is>
      </c>
      <c r="I9" s="70" t="inlineStr">
        <is>
          <t>default / 标准握把与8类挂点</t>
        </is>
      </c>
      <c r="J9" s="57" t="inlineStr">
        <is>
          <t>手持/背负/地面/UI 共用独立PackedScene</t>
        </is>
      </c>
      <c r="K9" s="57" t="inlineStr">
        <is>
          <t>已完成</t>
        </is>
      </c>
      <c r="L9" s="70" t="inlineStr">
        <is>
          <t>P1</t>
        </is>
      </c>
      <c r="M9" s="70" t="inlineStr">
        <is>
          <t>v001</t>
        </is>
      </c>
      <c r="N9" s="57" t="inlineStr">
        <is>
          <t>握把原点；local -Z枪口；3材质；独立GLB/PackedScene</t>
        </is>
      </c>
      <c r="O9" s="70" t="inlineStr">
        <is>
          <t>assets/art/weapons/weapon_3d/runtime/water_tank_blaster/wpn_water_tank_blaster_root_top3d.tscn</t>
        </is>
      </c>
      <c r="P9" s="70" t="inlineStr">
        <is>
          <t>../ShellStorm2-backup/2026-10-11_slimming/original_tree/art_source/weapons/weapon_3d/source/water_tank_blaster/wpn_water_tank_blaster_source_v001.blend; src/combat3d/WeaponModel3D.gd</t>
        </is>
      </c>
      <c r="Q9" s="70" t="inlineStr">
        <is>
          <t>bp_machinegun; 水箱爆能枪; 握把原点; -Z枪口; 通用挂点; 多巴胺配色</t>
        </is>
      </c>
      <c r="R9" s="57">
        <f>LOWER(TRIM(C9)&amp;"|"&amp;TRIM(D9)&amp;"|"&amp;TRIM(E9)&amp;"|"&amp;TRIM(F9)&amp;"|"&amp;TRIM(H9)&amp;"|"&amp;TRIM(I9))</f>
        <v/>
      </c>
      <c r="S9" s="57">
        <f>IF(COUNTIF($R$6:$R$41,R9)&gt;1,"重复","唯一")</f>
        <v/>
      </c>
      <c r="T9" s="70" t="inlineStr">
        <is>
          <t>eaadde61c36370e93adbd649521bd0982e3dd95d514ec2358761853ccb9ff120</t>
        </is>
      </c>
      <c r="U9" s="70" t="inlineStr">
        <is>
          <t>Codex</t>
        </is>
      </c>
      <c r="V9" s="71" t="n">
        <v>46264</v>
      </c>
      <c r="W9" s="57" t="inlineStr">
        <is>
          <t>用户自制Blender资产</t>
        </is>
      </c>
      <c r="X9" s="72" t="inlineStr">
        <is>
          <t>—</t>
        </is>
      </c>
      <c r="Y9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t>
        </is>
      </c>
    </row>
    <row r="10" ht="240.25" customHeight="1" s="46">
      <c r="A10" s="70" t="inlineStr">
        <is>
          <t>WPN-GUN-BP-SNIPER</t>
        </is>
      </c>
      <c r="B10" s="57" t="inlineStr">
        <is>
          <t>弹弓狙击 / 糖果狙击枪造型</t>
        </is>
      </c>
      <c r="C10" s="57" t="inlineStr">
        <is>
          <t>武器</t>
        </is>
      </c>
      <c r="D10" s="70" t="inlineStr">
        <is>
          <t>gunbody</t>
        </is>
      </c>
      <c r="E10" s="70" t="inlineStr">
        <is>
          <t>bp_sniper</t>
        </is>
      </c>
      <c r="F10" s="70" t="inlineStr">
        <is>
          <t>root</t>
        </is>
      </c>
      <c r="G10" s="57" t="n"/>
      <c r="H10" s="57" t="inlineStr">
        <is>
          <t>俯视3D / local -Z 枪口</t>
        </is>
      </c>
      <c r="I10" s="70" t="inlineStr">
        <is>
          <t>default / 标准握把与8类挂点</t>
        </is>
      </c>
      <c r="J10" s="57" t="inlineStr">
        <is>
          <t>手持/背负/地面/UI 共用独立PackedScene</t>
        </is>
      </c>
      <c r="K10" s="57" t="inlineStr">
        <is>
          <t>已完成</t>
        </is>
      </c>
      <c r="L10" s="70" t="inlineStr">
        <is>
          <t>P1</t>
        </is>
      </c>
      <c r="M10" s="70" t="inlineStr">
        <is>
          <t>v001</t>
        </is>
      </c>
      <c r="N10" s="57" t="inlineStr">
        <is>
          <t>握把原点；local -Z枪口；3材质；独立GLB/PackedScene</t>
        </is>
      </c>
      <c r="O10" s="70" t="inlineStr">
        <is>
          <t>assets/art/weapons/weapon_3d/runtime/candy_sniper/wpn_candy_sniper_root_top3d_v001.tscn</t>
        </is>
      </c>
      <c r="P10" s="70" t="inlineStr">
        <is>
          <t>../ShellStorm2-backup/2026-10-11_slimming/original_tree/art_source/weapons/weapon_3d/source/candy_sniper/wpn_candy_sniper_source_v001.blend; src/combat3d/WeaponModel3D.gd</t>
        </is>
      </c>
      <c r="Q10" s="70" t="inlineStr">
        <is>
          <t>bp_sniper; 糖果狙击枪; 握把原点; -Z枪口; 通用挂点; 多巴胺配色</t>
        </is>
      </c>
      <c r="R10" s="57">
        <f>LOWER(TRIM(C10)&amp;"|"&amp;TRIM(D10)&amp;"|"&amp;TRIM(E10)&amp;"|"&amp;TRIM(F10)&amp;"|"&amp;TRIM(H10)&amp;"|"&amp;TRIM(I10))</f>
        <v/>
      </c>
      <c r="S10" s="57">
        <f>IF(COUNTIF($R$6:$R$41,R10)&gt;1,"重复","唯一")</f>
        <v/>
      </c>
      <c r="T10" s="70" t="inlineStr">
        <is>
          <t>0420a3cfa88542bb07b4491ab80e3c51ea196bdaa52af0f3345858133765e25c</t>
        </is>
      </c>
      <c r="U10" s="70" t="inlineStr">
        <is>
          <t>Codex</t>
        </is>
      </c>
      <c r="V10" s="71" t="n">
        <v>46264</v>
      </c>
      <c r="W10" s="57" t="inlineStr">
        <is>
          <t>用户自制Blender资产</t>
        </is>
      </c>
      <c r="X10" s="72" t="inlineStr">
        <is>
          <t>—</t>
        </is>
      </c>
      <c r="Y10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t>
        </is>
      </c>
    </row>
    <row r="11" ht="240.25" customHeight="1" s="46">
      <c r="A11" s="70" t="inlineStr">
        <is>
          <t>WPN-GUN-BP-LAUNCHER</t>
        </is>
      </c>
      <c r="B11" s="57" t="inlineStr">
        <is>
          <t>反胃榴弹筒 / 烤面包机造型</t>
        </is>
      </c>
      <c r="C11" s="57" t="inlineStr">
        <is>
          <t>武器</t>
        </is>
      </c>
      <c r="D11" s="70" t="inlineStr">
        <is>
          <t>gunbody</t>
        </is>
      </c>
      <c r="E11" s="70" t="inlineStr">
        <is>
          <t>bp_launcher</t>
        </is>
      </c>
      <c r="F11" s="70" t="inlineStr">
        <is>
          <t>root</t>
        </is>
      </c>
      <c r="G11" s="57" t="n"/>
      <c r="H11" s="57" t="inlineStr">
        <is>
          <t>俯视3D / local -Z 枪口</t>
        </is>
      </c>
      <c r="I11" s="70" t="inlineStr">
        <is>
          <t>default / 标准握把与8类挂点</t>
        </is>
      </c>
      <c r="J11" s="57" t="inlineStr">
        <is>
          <t>手持/背负/地面/UI 共用独立PackedScene</t>
        </is>
      </c>
      <c r="K11" s="57" t="inlineStr">
        <is>
          <t>已完成</t>
        </is>
      </c>
      <c r="L11" s="70" t="inlineStr">
        <is>
          <t>P1</t>
        </is>
      </c>
      <c r="M11" s="70" t="inlineStr">
        <is>
          <t>v001</t>
        </is>
      </c>
      <c r="N11" s="57" t="inlineStr">
        <is>
          <t>握把原点；local -Z枪口；3材质；独立GLB/PackedScene</t>
        </is>
      </c>
      <c r="O11" s="70" t="inlineStr">
        <is>
          <t>assets/art/weapons/weapon_3d/runtime/toaster_launcher/wpn_toaster_launcher_root_top3d_v001.tscn</t>
        </is>
      </c>
      <c r="P11" s="70" t="inlineStr">
        <is>
          <t>../ShellStorm2-backup/2026-10-11_slimming/original_tree/art_source/weapons/weapon_3d/source/toaster_launcher/wpn_toaster_launcher_source_v001.blend; src/combat3d/WeaponModel3D.gd</t>
        </is>
      </c>
      <c r="Q11" s="70" t="inlineStr">
        <is>
          <t>bp_launcher; 烤面包机发射器; 握把原点; -Z枪口; 通用挂点; 多巴胺配色</t>
        </is>
      </c>
      <c r="R11" s="57">
        <f>LOWER(TRIM(C11)&amp;"|"&amp;TRIM(D11)&amp;"|"&amp;TRIM(E11)&amp;"|"&amp;TRIM(F11)&amp;"|"&amp;TRIM(H11)&amp;"|"&amp;TRIM(I11))</f>
        <v/>
      </c>
      <c r="S11" s="57">
        <f>IF(COUNTIF($R$6:$R$41,R11)&gt;1,"重复","唯一")</f>
        <v/>
      </c>
      <c r="T11" s="70" t="inlineStr">
        <is>
          <t>12032855cedf0329be1addcf480b71b5d0ef59ea52c150171bc3d9ad12d2e638</t>
        </is>
      </c>
      <c r="U11" s="70" t="inlineStr">
        <is>
          <t>Codex</t>
        </is>
      </c>
      <c r="V11" s="71" t="n">
        <v>46264</v>
      </c>
      <c r="W11" s="57" t="inlineStr">
        <is>
          <t>用户自制Blender资产</t>
        </is>
      </c>
      <c r="X11" s="72" t="inlineStr">
        <is>
          <t>—</t>
        </is>
      </c>
      <c r="Y11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t>
        </is>
      </c>
    </row>
    <row r="12" ht="240.25" customHeight="1" s="46">
      <c r="A12" s="70" t="inlineStr">
        <is>
          <t>WPN-GUN-BP-CHARGE</t>
        </is>
      </c>
      <c r="B12" s="57" t="inlineStr">
        <is>
          <t>蓄力萝卜炮 / 口香糖机造型</t>
        </is>
      </c>
      <c r="C12" s="57" t="inlineStr">
        <is>
          <t>武器</t>
        </is>
      </c>
      <c r="D12" s="70" t="inlineStr">
        <is>
          <t>gunbody</t>
        </is>
      </c>
      <c r="E12" s="70" t="inlineStr">
        <is>
          <t>bp_charge</t>
        </is>
      </c>
      <c r="F12" s="70" t="inlineStr">
        <is>
          <t>root</t>
        </is>
      </c>
      <c r="G12" s="57" t="n"/>
      <c r="H12" s="57" t="inlineStr">
        <is>
          <t>俯视3D / local -Z 枪口</t>
        </is>
      </c>
      <c r="I12" s="70" t="inlineStr">
        <is>
          <t>default / 标准握把与8类挂点</t>
        </is>
      </c>
      <c r="J12" s="57" t="inlineStr">
        <is>
          <t>手持/背负/地面/UI 共用独立PackedScene</t>
        </is>
      </c>
      <c r="K12" s="57" t="inlineStr">
        <is>
          <t>已完成</t>
        </is>
      </c>
      <c r="L12" s="70" t="inlineStr">
        <is>
          <t>P2</t>
        </is>
      </c>
      <c r="M12" s="70" t="inlineStr">
        <is>
          <t>v001</t>
        </is>
      </c>
      <c r="N12" s="57" t="inlineStr">
        <is>
          <t>握把原点；local -Z枪口；3材质；独立GLB/PackedScene</t>
        </is>
      </c>
      <c r="O12" s="70" t="inlineStr">
        <is>
          <t>assets/art/weapons/weapon_3d/runtime/gumball_cannon/wpn_gumball_cannon_root_top3d_v001.tscn</t>
        </is>
      </c>
      <c r="P12" s="70" t="inlineStr">
        <is>
          <t>../ShellStorm2-backup/2026-10-11_slimming/original_tree/art_source/weapons/weapon_3d/source/gumball_cannon/wpn_gumball_cannon_source_v001.blend; src/combat3d/WeaponModel3D.gd</t>
        </is>
      </c>
      <c r="Q12" s="70" t="inlineStr">
        <is>
          <t>bp_charge; 口香糖机加农炮; 握把原点; -Z枪口; 通用挂点; 多巴胺配色</t>
        </is>
      </c>
      <c r="R12" s="57">
        <f>LOWER(TRIM(C12)&amp;"|"&amp;TRIM(D12)&amp;"|"&amp;TRIM(E12)&amp;"|"&amp;TRIM(F12)&amp;"|"&amp;TRIM(H12)&amp;"|"&amp;TRIM(I12))</f>
        <v/>
      </c>
      <c r="S12" s="57">
        <f>IF(COUNTIF($R$6:$R$41,R12)&gt;1,"重复","唯一")</f>
        <v/>
      </c>
      <c r="T12" s="70" t="inlineStr">
        <is>
          <t>0a2b6d1f567042f536a25f9e6ba692c294402595000bec1a41db938904a92119</t>
        </is>
      </c>
      <c r="U12" s="70" t="inlineStr">
        <is>
          <t>Codex</t>
        </is>
      </c>
      <c r="V12" s="71" t="n">
        <v>46264</v>
      </c>
      <c r="W12" s="57" t="inlineStr">
        <is>
          <t>用户自制Blender资产</t>
        </is>
      </c>
      <c r="X12" s="72" t="inlineStr">
        <is>
          <t>—</t>
        </is>
      </c>
      <c r="Y12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t>
        </is>
      </c>
    </row>
    <row r="13" ht="62.65" customHeight="1" s="46">
      <c r="A13" s="70" t="inlineStr">
        <is>
          <t>WPN-BUL-MOD-BULLET-STANDARD</t>
        </is>
      </c>
      <c r="B13" s="57" t="inlineStr">
        <is>
          <t>标准子弹模块</t>
        </is>
      </c>
      <c r="C13" s="57" t="inlineStr">
        <is>
          <t>武器</t>
        </is>
      </c>
      <c r="D13" s="70" t="inlineStr">
        <is>
          <t>bullet_module</t>
        </is>
      </c>
      <c r="E13" s="70" t="inlineStr">
        <is>
          <t>mod_bullet_standard</t>
        </is>
      </c>
      <c r="F13" s="70" t="inlineStr">
        <is>
          <t>root</t>
        </is>
      </c>
      <c r="G13" s="57" t="n"/>
      <c r="H13" s="57" t="inlineStr">
        <is>
          <t>top3d</t>
        </is>
      </c>
      <c r="I13" s="70" t="inlineStr">
        <is>
          <t>tier_0_static</t>
        </is>
      </c>
      <c r="J13" s="57" t="inlineStr">
        <is>
          <t>地面/图标；preview独立源；mod_bullet_standard</t>
        </is>
      </c>
      <c r="K13" s="57" t="inlineStr">
        <is>
          <t>已优化并正式接入</t>
        </is>
      </c>
      <c r="L13" s="70" t="inlineStr">
        <is>
          <t>P1</t>
        </is>
      </c>
      <c r="M13" s="70" t="inlineStr">
        <is>
          <t>v001</t>
        </is>
      </c>
      <c r="N13" s="57" t="inlineStr">
        <is>
          <t>Godot XYZ=[0.544772744178772, 0.940000057220459, 0.5501136779785156]m；ground 140三角；公共色盘；原点bottom_center</t>
        </is>
      </c>
      <c r="O13" s="57" t="inlineStr">
        <is>
          <t>assets/art/items_weapons/weapons/bullet_module_standard/runtime/wpn_bullet_module_standard_ground_root_top3d.tscn</t>
        </is>
      </c>
      <c r="P13" s="70" t="inlineStr">
        <is>
          <t>src/world3d/ItemModelFactory3D.gd; src/combat3d/WeaponModel3D.gd; docs/v0.1/design/物品道具双模型制作规范.md</t>
        </is>
      </c>
      <c r="Q13" s="57" t="inlineStr">
        <is>
          <t>标准子弹模块;mod_bullet_standard</t>
        </is>
      </c>
      <c r="R13" s="57">
        <f>LOWER(TRIM(C13)&amp;"|"&amp;TRIM(D13)&amp;"|"&amp;TRIM(E13)&amp;"|"&amp;TRIM(F13)&amp;"|"&amp;TRIM(H13)&amp;"|"&amp;TRIM(I13))</f>
        <v/>
      </c>
      <c r="S13" s="57">
        <f>IF(COUNTIF($R$6:$R$41,R13)&gt;1,"重复","唯一")</f>
        <v/>
      </c>
      <c r="T13" s="57" t="inlineStr">
        <is>
          <t>05f1372f6aa8ee1963642597f11a41fed9e19c94e2aab2ccb7e2ce26a5d67a97</t>
        </is>
      </c>
      <c r="U13" s="57" t="inlineStr">
        <is>
          <t>Codex</t>
        </is>
      </c>
      <c r="V13" s="71" t="inlineStr">
        <is>
          <t>2026-10-15</t>
        </is>
      </c>
      <c r="W13" s="57" t="inlineStr">
        <is>
          <t>用户风格延续；程序制作原创组件；项目公共色盘</t>
        </is>
      </c>
      <c r="X13" s="72" t="inlineStr">
        <is>
          <t>标准子弹模块_中文资产管理</t>
        </is>
      </c>
      <c r="Y13" s="57" t="inlineStr">
        <is>
          <t>高精度源=art_source/items_weapons/weapons/bullet_module_standard/source/wpn_bullet_module_standard_source_v001.blend；地面源=art_source/items_weapons/weapons/bullet_module_standard/source/wpn_bullet_module_standard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14" ht="62.65" customHeight="1" s="46">
      <c r="A14" s="70" t="inlineStr">
        <is>
          <t>WPN-BUL-MOD-BULLET-STICKY</t>
        </is>
      </c>
      <c r="B14" s="57" t="inlineStr">
        <is>
          <t>黏黏弹模块</t>
        </is>
      </c>
      <c r="C14" s="57" t="inlineStr">
        <is>
          <t>武器</t>
        </is>
      </c>
      <c r="D14" s="70" t="inlineStr">
        <is>
          <t>bullet_module</t>
        </is>
      </c>
      <c r="E14" s="70" t="inlineStr">
        <is>
          <t>mod_bullet_sticky</t>
        </is>
      </c>
      <c r="F14" s="70" t="inlineStr">
        <is>
          <t>root</t>
        </is>
      </c>
      <c r="G14" s="57" t="n"/>
      <c r="H14" s="57" t="inlineStr">
        <is>
          <t>top3d</t>
        </is>
      </c>
      <c r="I14" s="70" t="inlineStr">
        <is>
          <t>tier_0_static</t>
        </is>
      </c>
      <c r="J14" s="57" t="inlineStr">
        <is>
          <t>地面/图标；preview独立源；mod_bullet_sticky</t>
        </is>
      </c>
      <c r="K14" s="57" t="inlineStr">
        <is>
          <t>已优化并正式接入</t>
        </is>
      </c>
      <c r="L14" s="70" t="inlineStr">
        <is>
          <t>P1</t>
        </is>
      </c>
      <c r="M14" s="70" t="inlineStr">
        <is>
          <t>v001</t>
        </is>
      </c>
      <c r="N14" s="57" t="inlineStr">
        <is>
          <t>Godot XYZ=[0.7113512754440308, 0.9399999380111694, 0.7113512754440308]m；ground 194三角；公共色盘；原点bottom_center</t>
        </is>
      </c>
      <c r="O14" s="57" t="inlineStr">
        <is>
          <t>assets/art/items_weapons/weapons/bullet_module_sticky/runtime/wpn_bullet_module_sticky_ground_root_top3d.tscn</t>
        </is>
      </c>
      <c r="P14" s="70" t="inlineStr">
        <is>
          <t>src/world3d/ItemModelFactory3D.gd; src/combat3d/WeaponModel3D.gd; docs/v0.1/design/物品道具双模型制作规范.md</t>
        </is>
      </c>
      <c r="Q14" s="57" t="inlineStr">
        <is>
          <t>黏黏弹模块;mod_bullet_sticky</t>
        </is>
      </c>
      <c r="R14" s="57">
        <f>LOWER(TRIM(C14)&amp;"|"&amp;TRIM(D14)&amp;"|"&amp;TRIM(E14)&amp;"|"&amp;TRIM(F14)&amp;"|"&amp;TRIM(H14)&amp;"|"&amp;TRIM(I14))</f>
        <v/>
      </c>
      <c r="S14" s="57">
        <f>IF(COUNTIF($R$6:$R$41,R14)&gt;1,"重复","唯一")</f>
        <v/>
      </c>
      <c r="T14" s="57" t="inlineStr">
        <is>
          <t>8804c79a0e38ef5644b6e5e13d159e2d850d2a692da5435cc2cafb8b30705590</t>
        </is>
      </c>
      <c r="U14" s="57" t="inlineStr">
        <is>
          <t>Codex</t>
        </is>
      </c>
      <c r="V14" s="71" t="inlineStr">
        <is>
          <t>2026-10-15</t>
        </is>
      </c>
      <c r="W14" s="57" t="inlineStr">
        <is>
          <t>用户风格延续；程序制作原创组件；项目公共色盘</t>
        </is>
      </c>
      <c r="X14" s="72" t="inlineStr">
        <is>
          <t>黏黏弹模块_中文资产管理</t>
        </is>
      </c>
      <c r="Y14" s="57" t="inlineStr">
        <is>
          <t>高精度源=art_source/items_weapons/weapons/bullet_module_sticky/source/wpn_bullet_module_sticky_source_v001.blend；地面源=art_source/items_weapons/weapons/bullet_module_sticky/source/wpn_bullet_module_sticky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15" ht="62.65" customHeight="1" s="46">
      <c r="A15" s="70" t="inlineStr">
        <is>
          <t>WPN-BUL-MOD-BULLET-BOUNCE</t>
        </is>
      </c>
      <c r="B15" s="57" t="inlineStr">
        <is>
          <t>回旋镖弹模块</t>
        </is>
      </c>
      <c r="C15" s="57" t="inlineStr">
        <is>
          <t>武器</t>
        </is>
      </c>
      <c r="D15" s="70" t="inlineStr">
        <is>
          <t>bullet_module</t>
        </is>
      </c>
      <c r="E15" s="70" t="inlineStr">
        <is>
          <t>mod_bullet_bounce</t>
        </is>
      </c>
      <c r="F15" s="70" t="inlineStr">
        <is>
          <t>root</t>
        </is>
      </c>
      <c r="G15" s="57" t="n"/>
      <c r="H15" s="57" t="inlineStr">
        <is>
          <t>top3d</t>
        </is>
      </c>
      <c r="I15" s="70" t="inlineStr">
        <is>
          <t>tier_0_static</t>
        </is>
      </c>
      <c r="J15" s="57" t="inlineStr">
        <is>
          <t>地面/图标；preview独立源；mod_bullet_bounce</t>
        </is>
      </c>
      <c r="K15" s="57" t="inlineStr">
        <is>
          <t>已优化并正式接入</t>
        </is>
      </c>
      <c r="L15" s="70" t="inlineStr">
        <is>
          <t>P1</t>
        </is>
      </c>
      <c r="M15" s="70" t="inlineStr">
        <is>
          <t>v001</t>
        </is>
      </c>
      <c r="N15" s="57" t="inlineStr">
        <is>
          <t>Godot XYZ=[0.8982222080230713, 0.9399999976158142, 0.5222222208976746]m；ground 124三角；公共色盘；原点bottom_center</t>
        </is>
      </c>
      <c r="O15" s="57" t="inlineStr">
        <is>
          <t>assets/art/items_weapons/weapons/bullet_module_bounce/runtime/wpn_bullet_module_bounce_ground_root_top3d.tscn</t>
        </is>
      </c>
      <c r="P15" s="70" t="inlineStr">
        <is>
          <t>src/world3d/ItemModelFactory3D.gd; src/combat3d/WeaponModel3D.gd; docs/v0.1/design/物品道具双模型制作规范.md</t>
        </is>
      </c>
      <c r="Q15" s="57" t="inlineStr">
        <is>
          <t>回旋镖弹模块;mod_bullet_bounce</t>
        </is>
      </c>
      <c r="R15" s="57">
        <f>LOWER(TRIM(C15)&amp;"|"&amp;TRIM(D15)&amp;"|"&amp;TRIM(E15)&amp;"|"&amp;TRIM(F15)&amp;"|"&amp;TRIM(H15)&amp;"|"&amp;TRIM(I15))</f>
        <v/>
      </c>
      <c r="S15" s="57">
        <f>IF(COUNTIF($R$6:$R$41,R15)&gt;1,"重复","唯一")</f>
        <v/>
      </c>
      <c r="T15" s="57" t="inlineStr">
        <is>
          <t>4c9b4298a79d572beaac51ab6132b09c3ceb9b641f0f0fa36623bfb2cd44ba5c</t>
        </is>
      </c>
      <c r="U15" s="57" t="inlineStr">
        <is>
          <t>Codex</t>
        </is>
      </c>
      <c r="V15" s="71" t="inlineStr">
        <is>
          <t>2026-10-15</t>
        </is>
      </c>
      <c r="W15" s="57" t="inlineStr">
        <is>
          <t>用户风格延续；程序制作原创组件；项目公共色盘</t>
        </is>
      </c>
      <c r="X15" s="72" t="inlineStr">
        <is>
          <t>回旋镖弹模块_中文资产管理</t>
        </is>
      </c>
      <c r="Y15" s="57" t="inlineStr">
        <is>
          <t>高精度源=art_source/items_weapons/weapons/bullet_module_bounce/source/wpn_bullet_module_bounce_source_v001.blend；地面源=art_source/items_weapons/weapons/bullet_module_bounce/source/wpn_bullet_module_bounce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16" ht="62.65" customHeight="1" s="46">
      <c r="A16" s="70" t="inlineStr">
        <is>
          <t>WPN-BUL-MOD-BULLET-PIERCING</t>
        </is>
      </c>
      <c r="B16" s="57" t="inlineStr">
        <is>
          <t>穿甲弹模块</t>
        </is>
      </c>
      <c r="C16" s="57" t="inlineStr">
        <is>
          <t>武器</t>
        </is>
      </c>
      <c r="D16" s="70" t="inlineStr">
        <is>
          <t>bullet_module</t>
        </is>
      </c>
      <c r="E16" s="70" t="inlineStr">
        <is>
          <t>mod_bullet_piercing</t>
        </is>
      </c>
      <c r="F16" s="70" t="inlineStr">
        <is>
          <t>root</t>
        </is>
      </c>
      <c r="G16" s="57" t="n"/>
      <c r="H16" s="57" t="inlineStr">
        <is>
          <t>top3d</t>
        </is>
      </c>
      <c r="I16" s="70" t="inlineStr">
        <is>
          <t>tier_0_static</t>
        </is>
      </c>
      <c r="J16" s="57" t="inlineStr">
        <is>
          <t>地面/图标；preview独立源；mod_bullet_piercing</t>
        </is>
      </c>
      <c r="K16" s="57" t="inlineStr">
        <is>
          <t>已优化并正式接入</t>
        </is>
      </c>
      <c r="L16" s="70" t="inlineStr">
        <is>
          <t>P1</t>
        </is>
      </c>
      <c r="M16" s="70" t="inlineStr">
        <is>
          <t>v001</t>
        </is>
      </c>
      <c r="N16" s="57" t="inlineStr">
        <is>
          <t>Godot XYZ=[0.5293203592300415, 0.9399999976158142, 0.4563106894493103]m；ground 144三角；公共色盘；原点bottom_center</t>
        </is>
      </c>
      <c r="O16" s="57" t="inlineStr">
        <is>
          <t>assets/art/items_weapons/weapons/bullet_module_piercing/runtime/wpn_bullet_module_piercing_ground_root_top3d.tscn</t>
        </is>
      </c>
      <c r="P16" s="70" t="inlineStr">
        <is>
          <t>src/world3d/ItemModelFactory3D.gd; src/combat3d/WeaponModel3D.gd; docs/v0.1/design/物品道具双模型制作规范.md</t>
        </is>
      </c>
      <c r="Q16" s="57" t="inlineStr">
        <is>
          <t>穿甲弹模块;mod_bullet_piercing</t>
        </is>
      </c>
      <c r="R16" s="57">
        <f>LOWER(TRIM(C16)&amp;"|"&amp;TRIM(D16)&amp;"|"&amp;TRIM(E16)&amp;"|"&amp;TRIM(F16)&amp;"|"&amp;TRIM(H16)&amp;"|"&amp;TRIM(I16))</f>
        <v/>
      </c>
      <c r="S16" s="57">
        <f>IF(COUNTIF($R$6:$R$41,R16)&gt;1,"重复","唯一")</f>
        <v/>
      </c>
      <c r="T16" s="57" t="inlineStr">
        <is>
          <t>442eb9c2265e1a2b1e14000cbe093c6643d7b9d5028481d2617ef4e17ff1622c</t>
        </is>
      </c>
      <c r="U16" s="57" t="inlineStr">
        <is>
          <t>Codex</t>
        </is>
      </c>
      <c r="V16" s="71" t="inlineStr">
        <is>
          <t>2026-10-15</t>
        </is>
      </c>
      <c r="W16" s="57" t="inlineStr">
        <is>
          <t>用户风格延续；程序制作原创组件；项目公共色盘</t>
        </is>
      </c>
      <c r="X16" s="72" t="inlineStr">
        <is>
          <t>穿甲弹模块_中文资产管理</t>
        </is>
      </c>
      <c r="Y16" s="57" t="inlineStr">
        <is>
          <t>高精度源=art_source/items_weapons/weapons/bullet_module_piercing/source/wpn_bullet_module_piercing_source_v001.blend；地面源=art_source/items_weapons/weapons/bullet_module_piercing/source/wpn_bullet_module_piercing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17" ht="62.65" customHeight="1" s="46">
      <c r="A17" s="70" t="inlineStr">
        <is>
          <t>WPN-BUL-MOD-BULLET-EXPLOSIVE</t>
        </is>
      </c>
      <c r="B17" s="57" t="inlineStr">
        <is>
          <t>爆炸弹模块</t>
        </is>
      </c>
      <c r="C17" s="57" t="inlineStr">
        <is>
          <t>武器</t>
        </is>
      </c>
      <c r="D17" s="70" t="inlineStr">
        <is>
          <t>bullet_module</t>
        </is>
      </c>
      <c r="E17" s="70" t="inlineStr">
        <is>
          <t>mod_bullet_explosive</t>
        </is>
      </c>
      <c r="F17" s="70" t="inlineStr">
        <is>
          <t>root</t>
        </is>
      </c>
      <c r="G17" s="57" t="n"/>
      <c r="H17" s="57" t="inlineStr">
        <is>
          <t>top3d</t>
        </is>
      </c>
      <c r="I17" s="70" t="inlineStr">
        <is>
          <t>tier_0_static</t>
        </is>
      </c>
      <c r="J17" s="57" t="inlineStr">
        <is>
          <t>地面/图标；preview独立源；mod_bullet_explosive</t>
        </is>
      </c>
      <c r="K17" s="57" t="inlineStr">
        <is>
          <t>已优化并正式接入</t>
        </is>
      </c>
      <c r="L17" s="70" t="inlineStr">
        <is>
          <t>P1</t>
        </is>
      </c>
      <c r="M17" s="70" t="inlineStr">
        <is>
          <t>v001</t>
        </is>
      </c>
      <c r="N17" s="57" t="inlineStr">
        <is>
          <t>Godot XYZ=[0.6087619662284851, 0.940000057220459, 0.622190535068512]m；ground 180三角；公共色盘；原点bottom_center</t>
        </is>
      </c>
      <c r="O17" s="57" t="inlineStr">
        <is>
          <t>assets/art/items_weapons/weapons/bullet_module_explosive/runtime/wpn_bullet_module_explosive_ground_root_top3d.tscn</t>
        </is>
      </c>
      <c r="P17" s="70" t="inlineStr">
        <is>
          <t>src/world3d/ItemModelFactory3D.gd; src/combat3d/WeaponModel3D.gd; docs/v0.1/design/物品道具双模型制作规范.md</t>
        </is>
      </c>
      <c r="Q17" s="57" t="inlineStr">
        <is>
          <t>爆炸弹模块;mod_bullet_explosive</t>
        </is>
      </c>
      <c r="R17" s="57">
        <f>LOWER(TRIM(C17)&amp;"|"&amp;TRIM(D17)&amp;"|"&amp;TRIM(E17)&amp;"|"&amp;TRIM(F17)&amp;"|"&amp;TRIM(H17)&amp;"|"&amp;TRIM(I17))</f>
        <v/>
      </c>
      <c r="S17" s="57">
        <f>IF(COUNTIF($R$6:$R$41,R17)&gt;1,"重复","唯一")</f>
        <v/>
      </c>
      <c r="T17" s="57" t="inlineStr">
        <is>
          <t>1d05f672d11fd878b108e941cde5530a4a13705402bc493dd84068e444ccf2b9</t>
        </is>
      </c>
      <c r="U17" s="57" t="inlineStr">
        <is>
          <t>Codex</t>
        </is>
      </c>
      <c r="V17" s="71" t="inlineStr">
        <is>
          <t>2026-10-15</t>
        </is>
      </c>
      <c r="W17" s="57" t="inlineStr">
        <is>
          <t>用户风格延续；程序制作原创组件；项目公共色盘</t>
        </is>
      </c>
      <c r="X17" s="72" t="inlineStr">
        <is>
          <t>爆炸弹模块_中文资产管理</t>
        </is>
      </c>
      <c r="Y17" s="57" t="inlineStr">
        <is>
          <t>高精度源=art_source/items_weapons/weapons/bullet_module_explosive/source/wpn_bullet_module_explosive_source_v001.blend；地面源=art_source/items_weapons/weapons/bullet_module_explosive/source/wpn_bullet_module_explosive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18" ht="62.65" customHeight="1" s="46">
      <c r="A18" s="70" t="inlineStr">
        <is>
          <t>WPN-BUL-MOD-BULLET-HOMING</t>
        </is>
      </c>
      <c r="B18" s="57" t="inlineStr">
        <is>
          <t>蜂卵弹模块</t>
        </is>
      </c>
      <c r="C18" s="57" t="inlineStr">
        <is>
          <t>武器</t>
        </is>
      </c>
      <c r="D18" s="70" t="inlineStr">
        <is>
          <t>bullet_module</t>
        </is>
      </c>
      <c r="E18" s="70" t="inlineStr">
        <is>
          <t>mod_bullet_homing</t>
        </is>
      </c>
      <c r="F18" s="70" t="inlineStr">
        <is>
          <t>root</t>
        </is>
      </c>
      <c r="G18" s="57" t="n"/>
      <c r="H18" s="57" t="inlineStr">
        <is>
          <t>top3d</t>
        </is>
      </c>
      <c r="I18" s="70" t="inlineStr">
        <is>
          <t>tier_0_static</t>
        </is>
      </c>
      <c r="J18" s="57" t="inlineStr">
        <is>
          <t>地面/图标；preview独立源；mod_bullet_homing</t>
        </is>
      </c>
      <c r="K18" s="57" t="inlineStr">
        <is>
          <t>已优化并正式接入</t>
        </is>
      </c>
      <c r="L18" s="70" t="inlineStr">
        <is>
          <t>P1</t>
        </is>
      </c>
      <c r="M18" s="70" t="inlineStr">
        <is>
          <t>v001</t>
        </is>
      </c>
      <c r="N18" s="57" t="inlineStr">
        <is>
          <t>Godot XYZ=[0.7946391701698303, 0.9399999976158142, 0.5930721759796143]m；ground 194三角；公共色盘；原点bottom_center</t>
        </is>
      </c>
      <c r="O18" s="57" t="inlineStr">
        <is>
          <t>assets/art/items_weapons/weapons/bullet_module_homing/runtime/wpn_bullet_module_homing_ground_root_top3d.tscn</t>
        </is>
      </c>
      <c r="P18" s="70" t="inlineStr">
        <is>
          <t>src/world3d/ItemModelFactory3D.gd; src/combat3d/WeaponModel3D.gd; docs/v0.1/design/物品道具双模型制作规范.md</t>
        </is>
      </c>
      <c r="Q18" s="57" t="inlineStr">
        <is>
          <t>蜂卵弹模块;mod_bullet_homing</t>
        </is>
      </c>
      <c r="R18" s="57">
        <f>LOWER(TRIM(C18)&amp;"|"&amp;TRIM(D18)&amp;"|"&amp;TRIM(E18)&amp;"|"&amp;TRIM(F18)&amp;"|"&amp;TRIM(H18)&amp;"|"&amp;TRIM(I18))</f>
        <v/>
      </c>
      <c r="S18" s="57">
        <f>IF(COUNTIF($R$6:$R$41,R18)&gt;1,"重复","唯一")</f>
        <v/>
      </c>
      <c r="T18" s="57" t="inlineStr">
        <is>
          <t>e84776963544adb2baa7da0b45f65d85f31925b3801ba230c89c3b4eebf29303</t>
        </is>
      </c>
      <c r="U18" s="57" t="inlineStr">
        <is>
          <t>Codex</t>
        </is>
      </c>
      <c r="V18" s="71" t="inlineStr">
        <is>
          <t>2026-10-15</t>
        </is>
      </c>
      <c r="W18" s="57" t="inlineStr">
        <is>
          <t>用户风格延续；程序制作原创组件；项目公共色盘</t>
        </is>
      </c>
      <c r="X18" s="72" t="inlineStr">
        <is>
          <t>蜂卵弹模块_中文资产管理</t>
        </is>
      </c>
      <c r="Y18" s="57" t="inlineStr">
        <is>
          <t>高精度源=art_source/items_weapons/weapons/bullet_module_homing/source/wpn_bullet_module_homing_source_v001.blend；地面源=art_source/items_weapons/weapons/bullet_module_homing/source/wpn_bullet_module_homing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19" ht="62.65" customHeight="1" s="46">
      <c r="A19" s="70" t="inlineStr">
        <is>
          <t>WPN-BUL-MOD-BULLET-BLACKHOLE</t>
        </is>
      </c>
      <c r="B19" s="57" t="inlineStr">
        <is>
          <t>黑洞弹模块</t>
        </is>
      </c>
      <c r="C19" s="57" t="inlineStr">
        <is>
          <t>武器</t>
        </is>
      </c>
      <c r="D19" s="70" t="inlineStr">
        <is>
          <t>bullet_module</t>
        </is>
      </c>
      <c r="E19" s="70" t="inlineStr">
        <is>
          <t>mod_bullet_blackhole</t>
        </is>
      </c>
      <c r="F19" s="70" t="inlineStr">
        <is>
          <t>root</t>
        </is>
      </c>
      <c r="G19" s="57" t="n"/>
      <c r="H19" s="57" t="inlineStr">
        <is>
          <t>top3d</t>
        </is>
      </c>
      <c r="I19" s="70" t="inlineStr">
        <is>
          <t>tier_0_static</t>
        </is>
      </c>
      <c r="J19" s="57" t="inlineStr">
        <is>
          <t>地面/图标；preview独立源；mod_bullet_blackhole</t>
        </is>
      </c>
      <c r="K19" s="57" t="inlineStr">
        <is>
          <t>已优化并正式接入</t>
        </is>
      </c>
      <c r="L19" s="70" t="inlineStr">
        <is>
          <t>P1</t>
        </is>
      </c>
      <c r="M19" s="70" t="inlineStr">
        <is>
          <t>v001</t>
        </is>
      </c>
      <c r="N19" s="57" t="inlineStr">
        <is>
          <t>Godot XYZ=[0.7773077487945557, 0.9399999976158142, 0.5242307782173157]m；ground 194三角；公共色盘；原点bottom_center</t>
        </is>
      </c>
      <c r="O19" s="57" t="inlineStr">
        <is>
          <t>assets/art/items_weapons/weapons/bullet_module_blackhole/runtime/wpn_bullet_module_blackhole_ground_root_top3d.tscn</t>
        </is>
      </c>
      <c r="P19" s="70" t="inlineStr">
        <is>
          <t>src/world3d/ItemModelFactory3D.gd; src/combat3d/WeaponModel3D.gd; docs/v0.1/design/物品道具双模型制作规范.md</t>
        </is>
      </c>
      <c r="Q19" s="57" t="inlineStr">
        <is>
          <t>黑洞弹模块;mod_bullet_blackhole</t>
        </is>
      </c>
      <c r="R19" s="57">
        <f>LOWER(TRIM(C19)&amp;"|"&amp;TRIM(D19)&amp;"|"&amp;TRIM(E19)&amp;"|"&amp;TRIM(F19)&amp;"|"&amp;TRIM(H19)&amp;"|"&amp;TRIM(I19))</f>
        <v/>
      </c>
      <c r="S19" s="57">
        <f>IF(COUNTIF($R$6:$R$41,R19)&gt;1,"重复","唯一")</f>
        <v/>
      </c>
      <c r="T19" s="57" t="inlineStr">
        <is>
          <t>142fa92b45d252d6738fda877f724672eebc6d9053281b75bea15aebcd1c2b07</t>
        </is>
      </c>
      <c r="U19" s="57" t="inlineStr">
        <is>
          <t>Codex</t>
        </is>
      </c>
      <c r="V19" s="71" t="inlineStr">
        <is>
          <t>2026-10-15</t>
        </is>
      </c>
      <c r="W19" s="57" t="inlineStr">
        <is>
          <t>用户风格延续；程序制作原创组件；项目公共色盘</t>
        </is>
      </c>
      <c r="X19" s="72" t="inlineStr">
        <is>
          <t>黑洞弹模块_中文资产管理</t>
        </is>
      </c>
      <c r="Y19" s="57" t="inlineStr">
        <is>
          <t>高精度源=art_source/items_weapons/weapons/bullet_module_blackhole/source/wpn_bullet_module_blackhole_source_v001.blend；地面源=art_source/items_weapons/weapons/bullet_module_blackhole/source/wpn_bullet_module_blackhole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20" ht="62.65" customHeight="1" s="46">
      <c r="A20" s="70" t="inlineStr">
        <is>
          <t>WPN-BUL-MOD-BULLET-BALLOON</t>
        </is>
      </c>
      <c r="B20" s="57" t="inlineStr">
        <is>
          <t>气球弹模块</t>
        </is>
      </c>
      <c r="C20" s="57" t="inlineStr">
        <is>
          <t>武器</t>
        </is>
      </c>
      <c r="D20" s="70" t="inlineStr">
        <is>
          <t>bullet_module</t>
        </is>
      </c>
      <c r="E20" s="70" t="inlineStr">
        <is>
          <t>mod_bullet_balloon</t>
        </is>
      </c>
      <c r="F20" s="70" t="inlineStr">
        <is>
          <t>root</t>
        </is>
      </c>
      <c r="G20" s="57" t="n"/>
      <c r="H20" s="57" t="inlineStr">
        <is>
          <t>top3d</t>
        </is>
      </c>
      <c r="I20" s="70" t="inlineStr">
        <is>
          <t>tier_0_static</t>
        </is>
      </c>
      <c r="J20" s="57" t="inlineStr">
        <is>
          <t>地面/图标；preview独立源；mod_bullet_balloon</t>
        </is>
      </c>
      <c r="K20" s="57" t="inlineStr">
        <is>
          <t>已优化并正式接入</t>
        </is>
      </c>
      <c r="L20" s="70" t="inlineStr">
        <is>
          <t>P1</t>
        </is>
      </c>
      <c r="M20" s="70" t="inlineStr">
        <is>
          <t>v001</t>
        </is>
      </c>
      <c r="N20" s="57" t="inlineStr">
        <is>
          <t>Godot XYZ=[0.6207547187805176, 0.9399999976158142, 0.6207547187805176]m；ground 168三角；公共色盘；原点bottom_center</t>
        </is>
      </c>
      <c r="O20" s="57" t="inlineStr">
        <is>
          <t>assets/art/items_weapons/weapons/bullet_module_balloon/runtime/wpn_bullet_module_balloon_ground_root_top3d.tscn</t>
        </is>
      </c>
      <c r="P20" s="70" t="inlineStr">
        <is>
          <t>src/world3d/ItemModelFactory3D.gd; src/combat3d/WeaponModel3D.gd; docs/v0.1/design/物品道具双模型制作规范.md</t>
        </is>
      </c>
      <c r="Q20" s="57" t="inlineStr">
        <is>
          <t>气球弹模块;mod_bullet_balloon</t>
        </is>
      </c>
      <c r="R20" s="57">
        <f>LOWER(TRIM(C20)&amp;"|"&amp;TRIM(D20)&amp;"|"&amp;TRIM(E20)&amp;"|"&amp;TRIM(F20)&amp;"|"&amp;TRIM(H20)&amp;"|"&amp;TRIM(I20))</f>
        <v/>
      </c>
      <c r="S20" s="57">
        <f>IF(COUNTIF($R$6:$R$41,R20)&gt;1,"重复","唯一")</f>
        <v/>
      </c>
      <c r="T20" s="57" t="inlineStr">
        <is>
          <t>e9a0d40db8d7783b720e26b554bd67e1b24d29c1a5200d3ce38b0bcdd98267d4</t>
        </is>
      </c>
      <c r="U20" s="57" t="inlineStr">
        <is>
          <t>Codex</t>
        </is>
      </c>
      <c r="V20" s="71" t="inlineStr">
        <is>
          <t>2026-10-15</t>
        </is>
      </c>
      <c r="W20" s="57" t="inlineStr">
        <is>
          <t>用户风格延续；程序制作原创组件；项目公共色盘</t>
        </is>
      </c>
      <c r="X20" s="72" t="inlineStr">
        <is>
          <t>气球弹模块_中文资产管理</t>
        </is>
      </c>
      <c r="Y20" s="57" t="inlineStr">
        <is>
          <t>高精度源=art_source/items_weapons/weapons/bullet_module_balloon/source/wpn_bullet_module_balloon_source_v001.blend；地面源=art_source/items_weapons/weapons/bullet_module_balloon/source/wpn_bullet_module_balloon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21" ht="52.2" customHeight="1" s="46">
      <c r="A21" s="70" t="inlineStr">
        <is>
          <t>WPN-ATT-ATTACH-TRIPLE-MUZZLE</t>
        </is>
      </c>
      <c r="B21" s="57" t="inlineStr">
        <is>
          <t>三叉枪口</t>
        </is>
      </c>
      <c r="C21" s="57" t="inlineStr">
        <is>
          <t>武器</t>
        </is>
      </c>
      <c r="D21" s="70" t="inlineStr">
        <is>
          <t>attachment</t>
        </is>
      </c>
      <c r="E21" s="70" t="inlineStr">
        <is>
          <t>attach_triple_muzzle</t>
        </is>
      </c>
      <c r="F21" s="70" t="inlineStr">
        <is>
          <t>root</t>
        </is>
      </c>
      <c r="G21" s="57" t="n"/>
      <c r="H21" s="57" t="inlineStr">
        <is>
          <t>挂点中心原点；Blender +Y 对应 Godot -Z 枪口，+Z向上</t>
        </is>
      </c>
      <c r="I21" s="70" t="inlineStr">
        <is>
          <t>tier_0_static</t>
        </is>
      </c>
      <c r="J21" s="57" t="inlineStr">
        <is>
          <t>ground地面简模已接线；preview高模待导入；枪上装配保持原表现</t>
        </is>
      </c>
      <c r="K21" s="57" t="inlineStr">
        <is>
          <t>exported_pending_godot_validation</t>
        </is>
      </c>
      <c r="L21" s="70" t="inlineStr">
        <is>
          <t>P2</t>
        </is>
      </c>
      <c r="M21" s="70" t="inlineStr">
        <is>
          <t>v001</t>
        </is>
      </c>
      <c r="N21" s="57" t="inlineStr">
        <is>
          <t>0.1404×0.1600×0.1460m；单位米；根缩放1；场景四材质/公共色盘/PaletteUV；实测快照见asset_contract.json；preview高模；ground 198三角面（100–200预算）</t>
        </is>
      </c>
      <c r="O21" s="57" t="inlineStr">
        <is>
          <t>assets/art/items_weapons/weapons/triple_muzzle/runtime/wpn_triple_muzzle_ground_root_top3d.tscn</t>
        </is>
      </c>
      <c r="P21" s="70" t="inlineStr">
        <is>
          <t>src/world3d/ItemModelFactory3D.gd; src/world3d/GroundLootPickup3D.gd; docs/v0.1/design/物品道具双模型制作规范.md</t>
        </is>
      </c>
      <c r="Q21" s="57" t="inlineStr">
        <is>
          <t>attach_triple_muzzle;三叉枪口</t>
        </is>
      </c>
      <c r="R21" s="57">
        <f>LOWER(TRIM(C21)&amp;"|"&amp;TRIM(D21)&amp;"|"&amp;TRIM(E21)&amp;"|"&amp;TRIM(F21)&amp;"|"&amp;TRIM(H21)&amp;"|"&amp;TRIM(I21))</f>
        <v/>
      </c>
      <c r="S21" s="57">
        <f>IF(COUNTIF($R$6:$R$41,R21)&gt;1,"重复","唯一")</f>
        <v/>
      </c>
      <c r="T21" s="57" t="inlineStr">
        <is>
          <t>dc29f696a3a6ba10438dd5bdb8ea0c0dfde55ded2bbb30dd8a1c45355286cef5</t>
        </is>
      </c>
      <c r="U21" s="57" t="inlineStr">
        <is>
          <t>Codex</t>
        </is>
      </c>
      <c r="V21" s="71" t="inlineStr">
        <is>
          <t>2026-10-15</t>
        </is>
      </c>
      <c r="W21" s="57" t="inlineStr">
        <is>
          <t>用户提供参考图重建；项目公共色盘</t>
        </is>
      </c>
      <c r="X21" s="72" t="inlineStr">
        <is>
          <t>WPN_三叉枪口_中文资产管理</t>
        </is>
      </c>
      <c r="Y21" s="57" t="inlineStr">
        <is>
          <t>ground=198三角；GLB=assets/art/items_weapons/weapons/triple_muzzle/components/wpn_triple_muzzle_ground_visual_top3d.glb；ground源=art_source/items_weapons/weapons/triple_muzzle/source/wpn_triple_muzzle_ground_source_v001.blend SHA256=73485f827928da5f98c7971b726a8d8eb4c75a2d21fa94ae8eeaacfab405e852；preview源=art_source/items_weapons/weapons/triple_muzzle/source/wpn_triple_muzzle_source_v001.blend SHA256=880e8cc432c602a28f85985594a4835d5e08f0ae1ab12b478f4814fa344e5816；源不变；资源已导入且地面入口已接线，运行/视觉验收未执行，未签署正式可用。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22" ht="52.2" customHeight="1" s="46">
      <c r="A22" s="70" t="inlineStr">
        <is>
          <t>WPN-ATT-ATTACH-RUBBER-STOCK</t>
        </is>
      </c>
      <c r="B22" s="57" t="inlineStr">
        <is>
          <t>橡皮枪托</t>
        </is>
      </c>
      <c r="C22" s="57" t="inlineStr">
        <is>
          <t>武器</t>
        </is>
      </c>
      <c r="D22" s="70" t="inlineStr">
        <is>
          <t>attachment</t>
        </is>
      </c>
      <c r="E22" s="70" t="inlineStr">
        <is>
          <t>attach_rubber_stock</t>
        </is>
      </c>
      <c r="F22" s="70" t="inlineStr">
        <is>
          <t>root</t>
        </is>
      </c>
      <c r="G22" s="57" t="n"/>
      <c r="H22" s="57" t="inlineStr">
        <is>
          <t>挂点中心原点；Blender +Y 对应 Godot -Z 枪口，+Z向上</t>
        </is>
      </c>
      <c r="I22" s="70" t="inlineStr">
        <is>
          <t>tier_0_static</t>
        </is>
      </c>
      <c r="J22" s="57" t="inlineStr">
        <is>
          <t>ground地面简模已接线；preview高模待导入；枪上装配保持原表现</t>
        </is>
      </c>
      <c r="K22" s="57" t="inlineStr">
        <is>
          <t>exported_pending_godot_validation</t>
        </is>
      </c>
      <c r="L22" s="70" t="inlineStr">
        <is>
          <t>P2</t>
        </is>
      </c>
      <c r="M22" s="70" t="inlineStr">
        <is>
          <t>v001</t>
        </is>
      </c>
      <c r="N22" s="57" t="inlineStr">
        <is>
          <t>0.1246×0.3200×0.2222m；单位米；根缩放1；场景四材质/公共色盘/PaletteUV；实测快照见asset_contract.json；preview高模；ground 145三角面（100–200预算）</t>
        </is>
      </c>
      <c r="O22" s="57" t="inlineStr">
        <is>
          <t>assets/art/items_weapons/weapons/rubber_stock/runtime/wpn_rubber_stock_ground_root_top3d.tscn</t>
        </is>
      </c>
      <c r="P22" s="70" t="inlineStr">
        <is>
          <t>src/world3d/ItemModelFactory3D.gd; src/world3d/GroundLootPickup3D.gd; docs/v0.1/design/物品道具双模型制作规范.md</t>
        </is>
      </c>
      <c r="Q22" s="57" t="inlineStr">
        <is>
          <t>attach_rubber_stock;橡皮枪托</t>
        </is>
      </c>
      <c r="R22" s="57">
        <f>LOWER(TRIM(C22)&amp;"|"&amp;TRIM(D22)&amp;"|"&amp;TRIM(E22)&amp;"|"&amp;TRIM(F22)&amp;"|"&amp;TRIM(H22)&amp;"|"&amp;TRIM(I22))</f>
        <v/>
      </c>
      <c r="S22" s="57">
        <f>IF(COUNTIF($R$6:$R$41,R22)&gt;1,"重复","唯一")</f>
        <v/>
      </c>
      <c r="T22" s="57" t="inlineStr">
        <is>
          <t>a4ccb5d3e2bf5bcf6bb921068be1de6e5c97db871024d0e8bdaa42bdb2dd19ce</t>
        </is>
      </c>
      <c r="U22" s="57" t="inlineStr">
        <is>
          <t>Codex</t>
        </is>
      </c>
      <c r="V22" s="71" t="inlineStr">
        <is>
          <t>2026-10-15</t>
        </is>
      </c>
      <c r="W22" s="57" t="inlineStr">
        <is>
          <t>用户提供参考图重建；项目公共色盘</t>
        </is>
      </c>
      <c r="X22" s="72" t="inlineStr">
        <is>
          <t>WPN_橡皮枪托_中文资产管理</t>
        </is>
      </c>
      <c r="Y22" s="57" t="inlineStr">
        <is>
          <t>ground=145三角；GLB=assets/art/items_weapons/weapons/rubber_stock/components/wpn_rubber_stock_ground_visual_top3d.glb；ground源=art_source/items_weapons/weapons/rubber_stock/source/wpn_rubber_stock_ground_source_v001.blend SHA256=85bc63326868d201f9a592aca38826406dbcb160c1962d008dedaeab5103bfcc；preview源=art_source/items_weapons/weapons/rubber_stock/source/wpn_rubber_stock_source_v001.blend SHA256=9b678c44eb85edef527ce2cc504fc7e11ad396a0242147c6d31470b19b874eaf；源不变；资源已导入且地面入口已接线，运行/视觉验收未执行，未签署正式可用。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23" ht="52.2" customHeight="1" s="46">
      <c r="A23" s="70" t="inlineStr">
        <is>
          <t>WPN-ATT-ATTACH-SCOPE</t>
        </is>
      </c>
      <c r="B23" s="57" t="inlineStr">
        <is>
          <t>放大镜瞄具</t>
        </is>
      </c>
      <c r="C23" s="57" t="inlineStr">
        <is>
          <t>武器</t>
        </is>
      </c>
      <c r="D23" s="70" t="inlineStr">
        <is>
          <t>attachment</t>
        </is>
      </c>
      <c r="E23" s="70" t="inlineStr">
        <is>
          <t>attach_scope</t>
        </is>
      </c>
      <c r="F23" s="70" t="inlineStr">
        <is>
          <t>root</t>
        </is>
      </c>
      <c r="G23" s="57" t="n"/>
      <c r="H23" s="57" t="inlineStr">
        <is>
          <t>挂点中心原点；Blender +Y 对应 Godot -Z 枪口，+Z向上</t>
        </is>
      </c>
      <c r="I23" s="70" t="inlineStr">
        <is>
          <t>tier_0_static</t>
        </is>
      </c>
      <c r="J23" s="57" t="inlineStr">
        <is>
          <t>ground地面简模已接线；preview高模待导入；枪上装配保持原表现</t>
        </is>
      </c>
      <c r="K23" s="57" t="inlineStr">
        <is>
          <t>exported_pending_godot_validation</t>
        </is>
      </c>
      <c r="L23" s="70" t="inlineStr">
        <is>
          <t>P2</t>
        </is>
      </c>
      <c r="M23" s="70" t="inlineStr">
        <is>
          <t>v001</t>
        </is>
      </c>
      <c r="N23" s="57" t="inlineStr">
        <is>
          <t>0.1346×0.2800×0.1806m；单位米；根缩放1；场景四材质/公共色盘/PaletteUV；实测快照见asset_contract.json；preview高模；ground 198三角面（100–200预算）</t>
        </is>
      </c>
      <c r="O23" s="57" t="inlineStr">
        <is>
          <t>assets/art/items_weapons/weapons/scope/runtime/wpn_scope_ground_root_top3d.tscn</t>
        </is>
      </c>
      <c r="P23" s="70" t="inlineStr">
        <is>
          <t>src/world3d/ItemModelFactory3D.gd; src/world3d/GroundLootPickup3D.gd; docs/v0.1/design/物品道具双模型制作规范.md</t>
        </is>
      </c>
      <c r="Q23" s="57" t="inlineStr">
        <is>
          <t>attach_scope;放大镜瞄具</t>
        </is>
      </c>
      <c r="R23" s="57">
        <f>LOWER(TRIM(C23)&amp;"|"&amp;TRIM(D23)&amp;"|"&amp;TRIM(E23)&amp;"|"&amp;TRIM(F23)&amp;"|"&amp;TRIM(H23)&amp;"|"&amp;TRIM(I23))</f>
        <v/>
      </c>
      <c r="S23" s="57">
        <f>IF(COUNTIF($R$6:$R$41,R23)&gt;1,"重复","唯一")</f>
        <v/>
      </c>
      <c r="T23" s="57" t="inlineStr">
        <is>
          <t>d962c82f52ea48e01a84d91e781af87e55ee6936c8280c1b5a7242f4ea0beb1d</t>
        </is>
      </c>
      <c r="U23" s="57" t="inlineStr">
        <is>
          <t>Codex</t>
        </is>
      </c>
      <c r="V23" s="71" t="inlineStr">
        <is>
          <t>2026-10-15</t>
        </is>
      </c>
      <c r="W23" s="57" t="inlineStr">
        <is>
          <t>用户提供参考图重建；项目公共色盘</t>
        </is>
      </c>
      <c r="X23" s="72" t="inlineStr">
        <is>
          <t>WPN_放大镜瞄具_中文资产管理</t>
        </is>
      </c>
      <c r="Y23" s="57" t="inlineStr">
        <is>
          <t>ground=198三角；GLB=assets/art/items_weapons/weapons/scope/components/wpn_scope_ground_visual_top3d.glb；ground源=art_source/items_weapons/weapons/scope/source/wpn_scope_ground_source_v001.blend SHA256=61aa67a95319747a9e55aeaa3b8615050a1c873d3e57eca3cf99d0c5fe0ff468；preview源=art_source/items_weapons/weapons/scope/source/wpn_scope_source_v001.blend SHA256=f9f437a06931bc40eb3540b98a0cc36592204d6a424bdf1f27e5289fc91c2319；源不变；资源已导入且地面入口已接线，运行/视觉验收未执行，未签署正式可用。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24" ht="52.2" customHeight="1" s="46">
      <c r="A24" s="70" t="inlineStr">
        <is>
          <t>WPN-ATT-ATTACH-BIG-MAG</t>
        </is>
      </c>
      <c r="B24" s="57" t="inlineStr">
        <is>
          <t>肉质弹匣</t>
        </is>
      </c>
      <c r="C24" s="57" t="inlineStr">
        <is>
          <t>武器</t>
        </is>
      </c>
      <c r="D24" s="70" t="inlineStr">
        <is>
          <t>attachment</t>
        </is>
      </c>
      <c r="E24" s="70" t="inlineStr">
        <is>
          <t>attach_big_mag</t>
        </is>
      </c>
      <c r="F24" s="70" t="inlineStr">
        <is>
          <t>root</t>
        </is>
      </c>
      <c r="G24" s="57" t="n"/>
      <c r="H24" s="57" t="inlineStr">
        <is>
          <t>挂点中心原点；Blender +Y 对应 Godot -Z 枪口，+Z向上</t>
        </is>
      </c>
      <c r="I24" s="70" t="inlineStr">
        <is>
          <t>tier_0_static</t>
        </is>
      </c>
      <c r="J24" s="57" t="inlineStr">
        <is>
          <t>ground地面简模已接线；preview高模待导入；枪上装配保持原表现</t>
        </is>
      </c>
      <c r="K24" s="57" t="inlineStr">
        <is>
          <t>exported_pending_godot_validation</t>
        </is>
      </c>
      <c r="L24" s="70" t="inlineStr">
        <is>
          <t>P2</t>
        </is>
      </c>
      <c r="M24" s="70" t="inlineStr">
        <is>
          <t>v001</t>
        </is>
      </c>
      <c r="N24" s="57" t="inlineStr">
        <is>
          <t>0.1101×0.0705×0.2400m；单位米；根缩放1；场景四材质/公共色盘/PaletteUV；实测快照见asset_contract.json；preview高模；ground 192三角面（100–200预算）</t>
        </is>
      </c>
      <c r="O24" s="57" t="inlineStr">
        <is>
          <t>assets/art/items_weapons/weapons/big_mag/runtime/wpn_big_mag_ground_root_top3d.tscn</t>
        </is>
      </c>
      <c r="P24" s="70" t="inlineStr">
        <is>
          <t>src/world3d/ItemModelFactory3D.gd; src/world3d/GroundLootPickup3D.gd; docs/v0.1/design/物品道具双模型制作规范.md</t>
        </is>
      </c>
      <c r="Q24" s="57" t="inlineStr">
        <is>
          <t>attach_big_mag;肉质弹匣</t>
        </is>
      </c>
      <c r="R24" s="57">
        <f>LOWER(TRIM(C24)&amp;"|"&amp;TRIM(D24)&amp;"|"&amp;TRIM(E24)&amp;"|"&amp;TRIM(F24)&amp;"|"&amp;TRIM(H24)&amp;"|"&amp;TRIM(I24))</f>
        <v/>
      </c>
      <c r="S24" s="57">
        <f>IF(COUNTIF($R$6:$R$41,R24)&gt;1,"重复","唯一")</f>
        <v/>
      </c>
      <c r="T24" s="57" t="inlineStr">
        <is>
          <t>5de5c693bc21fb7f09a618ccab95c4830ca88902da8844dc1be885928072a775</t>
        </is>
      </c>
      <c r="U24" s="57" t="inlineStr">
        <is>
          <t>Codex</t>
        </is>
      </c>
      <c r="V24" s="71" t="inlineStr">
        <is>
          <t>2026-10-15</t>
        </is>
      </c>
      <c r="W24" s="57" t="inlineStr">
        <is>
          <t>用户提供参考图重建；项目公共色盘</t>
        </is>
      </c>
      <c r="X24" s="72" t="inlineStr">
        <is>
          <t>WPN_肉质弹匣_中文资产管理</t>
        </is>
      </c>
      <c r="Y24" s="57" t="inlineStr">
        <is>
          <t>ground=192三角；GLB=assets/art/items_weapons/weapons/big_mag/components/wpn_big_mag_ground_visual_top3d.glb；ground源=art_source/items_weapons/weapons/big_mag/source/wpn_big_mag_ground_source_v001.blend SHA256=920a6d65a25b72fca3cbffd95f58ab94f84f2b40113b6b746c911369baca3971；preview源=art_source/items_weapons/weapons/big_mag/source/wpn_big_mag_source_v001.blend SHA256=c69fcea3a4bbb66326d6426818267854141d152ee6479cd7fa5fe845e714b6a3；源不变；资源已导入且地面入口已接线，运行/视觉验收未执行，未签署正式可用。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25" ht="52.2" customHeight="1" s="46">
      <c r="A25" s="70" t="inlineStr">
        <is>
          <t>WPN-ATT-ATTACH-FAN</t>
        </is>
      </c>
      <c r="B25" s="57" t="inlineStr">
        <is>
          <t>小风扇</t>
        </is>
      </c>
      <c r="C25" s="57" t="inlineStr">
        <is>
          <t>武器</t>
        </is>
      </c>
      <c r="D25" s="70" t="inlineStr">
        <is>
          <t>item</t>
        </is>
      </c>
      <c r="E25" s="70" t="inlineStr">
        <is>
          <t>attach_fan</t>
        </is>
      </c>
      <c r="F25" s="70" t="inlineStr">
        <is>
          <t>root</t>
        </is>
      </c>
      <c r="G25" s="57" t="n"/>
      <c r="H25" s="57" t="inlineStr">
        <is>
          <t>top3d</t>
        </is>
      </c>
      <c r="I25" s="70" t="inlineStr">
        <is>
          <t>tier_0_static</t>
        </is>
      </c>
      <c r="J25" s="57" t="inlineStr">
        <is>
          <t>地面/图标；preview独立源；attach_fan</t>
        </is>
      </c>
      <c r="K25" s="57" t="inlineStr">
        <is>
          <t>已优化并正式接入</t>
        </is>
      </c>
      <c r="L25" s="70" t="inlineStr">
        <is>
          <t>P1</t>
        </is>
      </c>
      <c r="M25" s="70" t="inlineStr">
        <is>
          <t>v001</t>
        </is>
      </c>
      <c r="N25" s="57" t="inlineStr">
        <is>
          <t>Godot XYZ=[0.4676923155784607, 0.6399999856948853, 0.20615386962890625]m；ground 144三角；公共色盘；原点bottom_center</t>
        </is>
      </c>
      <c r="O25" s="57" t="inlineStr">
        <is>
          <t>assets/art/items_weapons/weapons/attachment_fan/runtime/wpn_attachment_fan_ground_root_top3d.tscn</t>
        </is>
      </c>
      <c r="P25" s="70" t="inlineStr">
        <is>
          <t>src/world3d/ItemModelFactory3D.gd; src/combat3d/WeaponModel3D.gd; docs/v0.1/design/物品道具双模型制作规范.md</t>
        </is>
      </c>
      <c r="Q25" s="57" t="inlineStr">
        <is>
          <t>小风扇;attach_fan</t>
        </is>
      </c>
      <c r="R25" s="57">
        <f>LOWER(TRIM(C25)&amp;"|"&amp;TRIM(D25)&amp;"|"&amp;TRIM(E25)&amp;"|"&amp;TRIM(F25)&amp;"|"&amp;TRIM(H25)&amp;"|"&amp;TRIM(I25))</f>
        <v/>
      </c>
      <c r="S25" s="57">
        <f>IF(COUNTIF($R$6:$R$41,R25)&gt;1,"重复","唯一")</f>
        <v/>
      </c>
      <c r="T25" s="57" t="inlineStr">
        <is>
          <t>53bc8cda8d205eb3e02eaf1544c008a39bba81ba327b2c49cbc913fd9640454b</t>
        </is>
      </c>
      <c r="U25" s="57" t="inlineStr">
        <is>
          <t>Codex</t>
        </is>
      </c>
      <c r="V25" s="71" t="inlineStr">
        <is>
          <t>2026-10-15</t>
        </is>
      </c>
      <c r="W25" s="57" t="inlineStr">
        <is>
          <t>用户风格延续；程序制作原创组件；项目公共色盘</t>
        </is>
      </c>
      <c r="X25" s="72" t="inlineStr">
        <is>
          <t>小风扇_中文资产管理</t>
        </is>
      </c>
      <c r="Y25" s="57" t="inlineStr">
        <is>
          <t>高精度源=art_source/items_weapons/weapons/attachment_fan/source/wpn_attachment_fan_source_v001.blend；地面源=art_source/items_weapons/weapons/attachment_fan/source/wpn_attachment_fan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26" ht="52.2" customHeight="1" s="46">
      <c r="A26" s="70" t="inlineStr">
        <is>
          <t>WPN-ATT-ATTACH-COPY-STICKER</t>
        </is>
      </c>
      <c r="B26" s="57" t="inlineStr">
        <is>
          <t>复制贴纸</t>
        </is>
      </c>
      <c r="C26" s="57" t="inlineStr">
        <is>
          <t>武器</t>
        </is>
      </c>
      <c r="D26" s="70" t="inlineStr">
        <is>
          <t>item</t>
        </is>
      </c>
      <c r="E26" s="70" t="inlineStr">
        <is>
          <t>attach_copy_sticker</t>
        </is>
      </c>
      <c r="F26" s="70" t="inlineStr">
        <is>
          <t>root</t>
        </is>
      </c>
      <c r="G26" s="57" t="n"/>
      <c r="H26" s="57" t="inlineStr">
        <is>
          <t>top3d</t>
        </is>
      </c>
      <c r="I26" s="70" t="inlineStr">
        <is>
          <t>tier_0_static</t>
        </is>
      </c>
      <c r="J26" s="57" t="inlineStr">
        <is>
          <t>地面/图标；preview独立源；attach_copy_sticker</t>
        </is>
      </c>
      <c r="K26" s="57" t="inlineStr">
        <is>
          <t>已优化并正式接入</t>
        </is>
      </c>
      <c r="L26" s="70" t="inlineStr">
        <is>
          <t>P1</t>
        </is>
      </c>
      <c r="M26" s="70" t="inlineStr">
        <is>
          <t>v001</t>
        </is>
      </c>
      <c r="N26" s="57" t="inlineStr">
        <is>
          <t>Godot XYZ=[0.7014707326889038, 0.6399999260902405, 0.25417670607566833]m；ground 150三角；公共色盘；原点bottom_center</t>
        </is>
      </c>
      <c r="O26" s="57" t="inlineStr">
        <is>
          <t>assets/art/items_weapons/weapons/copy_sticker/runtime/wpn_copy_sticker_ground_root_top3d.tscn</t>
        </is>
      </c>
      <c r="P26" s="70" t="inlineStr">
        <is>
          <t>src/world3d/ItemModelFactory3D.gd; src/combat3d/WeaponModel3D.gd; docs/v0.1/design/物品道具双模型制作规范.md</t>
        </is>
      </c>
      <c r="Q26" s="57" t="inlineStr">
        <is>
          <t>复制贴纸;attach_copy_sticker</t>
        </is>
      </c>
      <c r="R26" s="57">
        <f>LOWER(TRIM(C26)&amp;"|"&amp;TRIM(D26)&amp;"|"&amp;TRIM(E26)&amp;"|"&amp;TRIM(F26)&amp;"|"&amp;TRIM(H26)&amp;"|"&amp;TRIM(I26))</f>
        <v/>
      </c>
      <c r="S26" s="57">
        <f>IF(COUNTIF($R$6:$R$41,R26)&gt;1,"重复","唯一")</f>
        <v/>
      </c>
      <c r="T26" s="57" t="inlineStr">
        <is>
          <t>f81d20391e0f0a608a426177d73fd91f0373137b12a7b4a04b7460992b21f93a</t>
        </is>
      </c>
      <c r="U26" s="57" t="inlineStr">
        <is>
          <t>Codex</t>
        </is>
      </c>
      <c r="V26" s="71" t="inlineStr">
        <is>
          <t>2026-10-15</t>
        </is>
      </c>
      <c r="W26" s="57" t="inlineStr">
        <is>
          <t>用户风格延续；程序制作原创组件；项目公共色盘</t>
        </is>
      </c>
      <c r="X26" s="72" t="inlineStr">
        <is>
          <t>复制贴纸_中文资产管理</t>
        </is>
      </c>
      <c r="Y26" s="57" t="inlineStr">
        <is>
          <t>高精度源=art_source/items_weapons/weapons/copy_sticker/source/wpn_copy_sticker_source_v001.blend；地面源=art_source/items_weapons/weapons/copy_sticker/source/wpn_copy_sticker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27" ht="383.55" customHeight="1" s="46">
      <c r="A27" s="73" t="inlineStr">
        <is>
          <t>WPN-GUN-KIT-3D</t>
        </is>
      </c>
      <c r="B27" s="49" t="inlineStr">
        <is>
          <t>枪械3D通用模型套件</t>
        </is>
      </c>
      <c r="C27" s="49" t="inlineStr">
        <is>
          <t>武器</t>
        </is>
      </c>
      <c r="D27" s="73" t="inlineStr">
        <is>
          <t>gunbody</t>
        </is>
      </c>
      <c r="E27" s="73" t="inlineStr">
        <is>
          <t>blueprint_gun_catalog</t>
        </is>
      </c>
      <c r="F27" s="73" t="inlineStr">
        <is>
          <t>root_3d</t>
        </is>
      </c>
      <c r="G27" s="73" t="n"/>
      <c r="H27" s="49" t="inlineStr">
        <is>
          <t>俯视3D</t>
        </is>
      </c>
      <c r="I27" s="73" t="inlineStr">
        <is>
          <t>default</t>
        </is>
      </c>
      <c r="J27" s="49" t="inlineStr">
        <is>
          <t>玩家/靶场/全部副本</t>
        </is>
      </c>
      <c r="K27" s="49" t="inlineStr">
        <is>
          <t>原型已接入</t>
        </is>
      </c>
      <c r="L27" s="73" t="inlineStr">
        <is>
          <t>P0</t>
        </is>
      </c>
      <c r="M27" s="73" t="inlineStr">
        <is>
          <t>v001</t>
        </is>
      </c>
      <c r="N27" s="73" t="inlineStr">
        <is>
          <t>PackedScene/7枪配置模型</t>
        </is>
      </c>
      <c r="O27" s="73" t="inlineStr">
        <is>
          <t>assets/art/weapons/weapon_3d/wpn_gun_kit_root_top3d_v001.tscn</t>
        </is>
      </c>
      <c r="P27" s="73" t="inlineStr">
        <is>
          <t>src/combat3d/WeaponModel3D.gd</t>
        </is>
      </c>
      <c r="Q27" s="49" t="inlineStr">
        <is>
          <t>枪械;7枪身;8弹药;后坐力;枪口</t>
        </is>
      </c>
      <c r="R27" s="73">
        <f>LOWER(TRIM(C27)&amp;"|"&amp;TRIM(D27)&amp;"|"&amp;TRIM(E27)&amp;"|"&amp;TRIM(F27)&amp;"|"&amp;TRIM(H27)&amp;"|"&amp;TRIM(I27))</f>
        <v/>
      </c>
      <c r="S27" s="49">
        <f>IF(COUNTIF($R$6:$R$41,R27)&gt;1,"重复","唯一")</f>
        <v/>
      </c>
      <c r="T27" s="73" t="inlineStr">
        <is>
          <t>ca471a3f8f041a7061f31ab7279ff9a976a0d9d182d0d0fd3c8e1437fe704bf4</t>
        </is>
      </c>
      <c r="U27" s="73" t="inlineStr">
        <is>
          <t>Codex</t>
        </is>
      </c>
      <c r="V27" s="74" t="n">
        <v>46225</v>
      </c>
      <c r="W27" s="49" t="inlineStr">
        <is>
          <t>原创程序几何</t>
        </is>
      </c>
      <c r="X27" s="72" t="inlineStr">
        <is>
          <t>—</t>
        </is>
      </c>
      <c r="Y27" s="49" t="inlineStr">
        <is>
          <t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t>
        </is>
      </c>
    </row>
    <row r="28" ht="141" customHeight="1" s="46">
      <c r="A28" s="73" t="inlineStr">
        <is>
          <t>WPN-MELEE-BP-GREATBLADE</t>
        </is>
      </c>
      <c r="B28" s="49" t="inlineStr">
        <is>
          <t>巨型工业断刃</t>
        </is>
      </c>
      <c r="C28" s="49" t="inlineStr">
        <is>
          <t>武器</t>
        </is>
      </c>
      <c r="D28" s="73" t="inlineStr">
        <is>
          <t>melee</t>
        </is>
      </c>
      <c r="E28" s="73" t="inlineStr">
        <is>
          <t>bp_greatblade</t>
        </is>
      </c>
      <c r="F28" s="73" t="inlineStr">
        <is>
          <t>root</t>
        </is>
      </c>
      <c r="G28" s="73" t="n"/>
      <c r="H28" s="49" t="inlineStr">
        <is>
          <t>top3d</t>
        </is>
      </c>
      <c r="I28" s="73" t="inlineStr">
        <is>
          <t>tier_0_static</t>
        </is>
      </c>
      <c r="J28" s="49" t="inlineStr">
        <is>
          <t>地面/图标；preview独立源；weapon_greatblade</t>
        </is>
      </c>
      <c r="K28" s="49" t="inlineStr">
        <is>
          <t>已优化并正式接入</t>
        </is>
      </c>
      <c r="L28" s="73" t="inlineStr">
        <is>
          <t>P1</t>
        </is>
      </c>
      <c r="M28" s="73" t="inlineStr">
        <is>
          <t>v001</t>
        </is>
      </c>
      <c r="N28" s="49" t="inlineStr">
        <is>
          <t>Godot XYZ=[1.1473641395568848, 0.407951682806015, 2.9194042682647705]m；ground 168三角；公共色盘；原点existing_grip</t>
        </is>
      </c>
      <c r="O28" s="73" t="inlineStr">
        <is>
          <t>assets/art/items_weapons/weapons/melee_greatblade/runtime/wpn_melee_greatblade_ground_root_top3d.tscn</t>
        </is>
      </c>
      <c r="P28" s="73" t="inlineStr">
        <is>
          <t>src/world3d/ItemModelFactory3D.gd; src/combat3d/WeaponModel3D.gd; docs/v0.1/design/物品道具双模型制作规范.md</t>
        </is>
      </c>
      <c r="Q28" s="49" t="inlineStr">
        <is>
          <t>巨型工业断刃;weapon_greatblade</t>
        </is>
      </c>
      <c r="R28" s="73">
        <f>LOWER(TRIM(C28)&amp;"|"&amp;TRIM(D28)&amp;"|"&amp;TRIM(E28)&amp;"|"&amp;TRIM(F28)&amp;"|"&amp;TRIM(H28)&amp;"|"&amp;TRIM(I28))</f>
        <v/>
      </c>
      <c r="S28" s="49">
        <f>IF(COUNTIF($R$6:$R$41,R28)&gt;1,"重复","唯一")</f>
        <v/>
      </c>
      <c r="T28" s="73" t="inlineStr">
        <is>
          <t>850065e0aec45baf4979bd3146e068fe7ee1d1f6f5cb24d4cc79f5ceae857093</t>
        </is>
      </c>
      <c r="U28" s="73" t="inlineStr">
        <is>
          <t>Codex</t>
        </is>
      </c>
      <c r="V28" s="74" t="n">
        <v>46311</v>
      </c>
      <c r="W28" s="49" t="inlineStr">
        <is>
          <t>用户风格延续；程序制作原创组件；项目公共色盘</t>
        </is>
      </c>
      <c r="X28" s="72" t="inlineStr">
        <is>
          <t>巨型工业断刃_中文资产管理</t>
        </is>
      </c>
      <c r="Y28" s="49" t="inlineStr">
        <is>
          <t>高精度源=art_source/items_weapons/weapons/melee_greatblade/source/wpn_melee_greatblade_source_v001.blend；地面源=art_source/items_weapons/weapons/melee_greatblade/source/wpn_melee_greatblade_ground_source_v001.blend；清单包含两角色哈希与派生关系；Godot实际工厂/图标/28内容映射通过；近战保持握点、伤害归原玩法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；2026-10-16角色动作v041：点按左右交替三连；按住0.35秒旋风，0.55秒一圈/0.25秒伤害；松开结束；横扫/旋风特效；模型版本不变；docs/v0.1/development/2026-10-16_melee_styles_v041.md</t>
        </is>
      </c>
    </row>
    <row r="29" ht="128.35" customHeight="1" s="46">
      <c r="A29" s="73" t="inlineStr">
        <is>
          <t>WPN-MELEE-BP-WARAXE</t>
        </is>
      </c>
      <c r="B29" s="49" t="inlineStr">
        <is>
          <t>攻城裂甲斧</t>
        </is>
      </c>
      <c r="C29" s="49" t="inlineStr">
        <is>
          <t>武器</t>
        </is>
      </c>
      <c r="D29" s="73" t="inlineStr">
        <is>
          <t>melee</t>
        </is>
      </c>
      <c r="E29" s="73" t="inlineStr">
        <is>
          <t>bp_waraxe</t>
        </is>
      </c>
      <c r="F29" s="73" t="inlineStr">
        <is>
          <t>root</t>
        </is>
      </c>
      <c r="G29" s="73" t="n"/>
      <c r="H29" s="49" t="inlineStr">
        <is>
          <t>top3d</t>
        </is>
      </c>
      <c r="I29" s="73" t="inlineStr">
        <is>
          <t>tier_0_static</t>
        </is>
      </c>
      <c r="J29" s="49" t="inlineStr">
        <is>
          <t>地面/图标；preview独立源；weapon_waraxe</t>
        </is>
      </c>
      <c r="K29" s="49" t="inlineStr">
        <is>
          <t>已优化并正式接入</t>
        </is>
      </c>
      <c r="L29" s="73" t="inlineStr">
        <is>
          <t>P1</t>
        </is>
      </c>
      <c r="M29" s="73" t="inlineStr">
        <is>
          <t>v001</t>
        </is>
      </c>
      <c r="N29" s="49" t="inlineStr">
        <is>
          <t>Godot XYZ=[1.6731491088867188, 0.45187240839004517, 2.8700003623962402]m；ground 152三角；公共色盘；原点existing_grip</t>
        </is>
      </c>
      <c r="O29" s="73" t="inlineStr">
        <is>
          <t>assets/art/items_weapons/weapons/melee_waraxe/runtime/wpn_melee_waraxe_ground_root_top3d.tscn</t>
        </is>
      </c>
      <c r="P29" s="73" t="inlineStr">
        <is>
          <t>src/world3d/ItemModelFactory3D.gd; src/combat3d/WeaponModel3D.gd; docs/v0.1/design/物品道具双模型制作规范.md</t>
        </is>
      </c>
      <c r="Q29" s="49" t="inlineStr">
        <is>
          <t>攻城裂甲斧;weapon_waraxe</t>
        </is>
      </c>
      <c r="R29" s="73">
        <f>LOWER(TRIM(C29)&amp;"|"&amp;TRIM(D29)&amp;"|"&amp;TRIM(E29)&amp;"|"&amp;TRIM(F29)&amp;"|"&amp;TRIM(H29)&amp;"|"&amp;TRIM(I29))</f>
        <v/>
      </c>
      <c r="S29" s="49">
        <f>IF(COUNTIF($R$6:$R$41,R29)&gt;1,"重复","唯一")</f>
        <v/>
      </c>
      <c r="T29" s="73" t="inlineStr">
        <is>
          <t>baa91469acf229a4a604fba6d8d4f0c98e17191503ddcd671196792d3d7535bc</t>
        </is>
      </c>
      <c r="U29" s="73" t="inlineStr">
        <is>
          <t>Codex</t>
        </is>
      </c>
      <c r="V29" s="74" t="n">
        <v>46312</v>
      </c>
      <c r="W29" s="49" t="inlineStr">
        <is>
          <t>用户风格延续；程序制作原创组件；项目公共色盘</t>
        </is>
      </c>
      <c r="X29" s="72" t="inlineStr">
        <is>
          <t>攻城裂甲斧_中文资产管理</t>
        </is>
      </c>
      <c r="Y29" s="49" t="inlineStr">
        <is>
          <t>高精度源=art_source/items_weapons/weapons/melee_waraxe/source/wpn_melee_waraxe_source_v001.blend；地面源=art_source/items_weapons/weapons/melee_waraxe/source/wpn_melee_waraxe_ground_source_v001.blend；清单包含两角色哈希与派生关系；Godot实际工厂/图标/28内容映射通过；近战保持握点、伤害归原玩法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；2026-10-16角色动作v041：慢速头顶下劈；按住1秒蓄满，松开强击退；普通2帧/蓄力4帧停顿；蓄力环/竖劈/冲击；模型版本不变；docs/v0.1/development/2026-10-16_melee_styles_v041.md；2026-10-17角色动作v042修正握持绕柄-90°，银刃沿下劈领先；武器模型未改；docs/v0.1/development/2026-10-17_axe_edge_v042.md</t>
        </is>
      </c>
    </row>
    <row r="30" ht="128.35" customHeight="1" s="46">
      <c r="A30" s="73" t="inlineStr">
        <is>
          <t>WPN-MELEE-BP-BASEBALL-BAT</t>
        </is>
      </c>
      <c r="B30" s="49" t="inlineStr">
        <is>
          <t>废土棒球棍</t>
        </is>
      </c>
      <c r="C30" s="49" t="inlineStr">
        <is>
          <t>武器</t>
        </is>
      </c>
      <c r="D30" s="73" t="inlineStr">
        <is>
          <t>melee</t>
        </is>
      </c>
      <c r="E30" s="73" t="inlineStr">
        <is>
          <t>bp_baseball_bat</t>
        </is>
      </c>
      <c r="F30" s="73" t="inlineStr">
        <is>
          <t>root</t>
        </is>
      </c>
      <c r="G30" s="73" t="n"/>
      <c r="H30" s="49" t="inlineStr">
        <is>
          <t>top3d</t>
        </is>
      </c>
      <c r="I30" s="73" t="inlineStr">
        <is>
          <t>tier_0_static</t>
        </is>
      </c>
      <c r="J30" s="49" t="inlineStr">
        <is>
          <t>地面/图标；preview独立源；weapon_baseball_bat</t>
        </is>
      </c>
      <c r="K30" s="49" t="inlineStr">
        <is>
          <t>已优化并正式接入</t>
        </is>
      </c>
      <c r="L30" s="73" t="inlineStr">
        <is>
          <t>P1</t>
        </is>
      </c>
      <c r="M30" s="73" t="inlineStr">
        <is>
          <t>v001</t>
        </is>
      </c>
      <c r="N30" s="49" t="inlineStr">
        <is>
          <t>Godot XYZ=[0.46580973267555237, 0.46580973267555237, 1.7349998950958252]m；ground 194三角；公共色盘；原点existing_grip</t>
        </is>
      </c>
      <c r="O30" s="73" t="inlineStr">
        <is>
          <t>assets/art/items_weapons/weapons/melee_baseball_bat/runtime/wpn_melee_baseball_bat_ground_root_top3d.tscn</t>
        </is>
      </c>
      <c r="P30" s="73" t="inlineStr">
        <is>
          <t>src/world3d/ItemModelFactory3D.gd; src/combat3d/WeaponModel3D.gd; docs/v0.1/design/物品道具双模型制作规范.md</t>
        </is>
      </c>
      <c r="Q30" s="49" t="inlineStr">
        <is>
          <t>废土棒球棍;weapon_baseball_bat</t>
        </is>
      </c>
      <c r="R30" s="73">
        <f>LOWER(TRIM(C30)&amp;"|"&amp;TRIM(D30)&amp;"|"&amp;TRIM(E30)&amp;"|"&amp;TRIM(F30)&amp;"|"&amp;TRIM(H30)&amp;"|"&amp;TRIM(I30))</f>
        <v/>
      </c>
      <c r="S30" s="49">
        <f>IF(COUNTIF($R$6:$R$41,R30)&gt;1,"重复","唯一")</f>
        <v/>
      </c>
      <c r="T30" s="73" t="inlineStr">
        <is>
          <t>de0fc3fad9fb694a52ad3304dde8c9e10275c7626e4d675caa584df1524637e8</t>
        </is>
      </c>
      <c r="U30" s="73" t="inlineStr">
        <is>
          <t>Codex</t>
        </is>
      </c>
      <c r="V30" s="97" t="n">
        <v>46311</v>
      </c>
      <c r="W30" s="49" t="inlineStr">
        <is>
          <t>用户风格延续；程序制作原创组件；项目公共色盘</t>
        </is>
      </c>
      <c r="X30" s="72" t="inlineStr">
        <is>
          <t>废土棒球棍_中文资产管理</t>
        </is>
      </c>
      <c r="Y30" s="49" t="inlineStr">
        <is>
          <t>高精度源=art_source/items_weapons/weapons/melee_baseball_bat/source/wpn_melee_baseball_bat_source_v001.blend；地面源=art_source/items_weapons/weapons/melee_baseball_bat/source/wpn_melee_baseball_bat_ground_source_v001.blend；清单包含两角色哈希与派生关系；Godot实际工厂/图标/28内容映射通过；近战保持握点、伤害归原玩法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；2026-10-16角色动作v041：普通三连挥棒；1帧停顿；现有风痕；模型版本不变；docs/v0.1/development/2026-10-16_melee_styles_v041.md</t>
        </is>
      </c>
    </row>
    <row r="31" ht="276.1" customHeight="1" s="46">
      <c r="A31" s="70" t="inlineStr">
        <is>
          <t>WPN-GUN-FUTURE-MEGAPHONE-CANNON-3D</t>
        </is>
      </c>
      <c r="B31" s="57" t="inlineStr">
        <is>
          <t>扩音器加农炮</t>
        </is>
      </c>
      <c r="C31" s="57" t="inlineStr">
        <is>
          <t>武器</t>
        </is>
      </c>
      <c r="D31" s="70" t="inlineStr">
        <is>
          <t>gunbody</t>
        </is>
      </c>
      <c r="E31" s="70" t="inlineStr">
        <is>
          <t>future_megaphone_cannon</t>
        </is>
      </c>
      <c r="F31" s="70" t="inlineStr">
        <is>
          <t>root</t>
        </is>
      </c>
      <c r="G31" s="57" t="n"/>
      <c r="H31" s="57" t="inlineStr">
        <is>
          <t>俯视3D / local -Z 枪口</t>
        </is>
      </c>
      <c r="I31" s="70" t="inlineStr">
        <is>
          <t>default / 标准握把与8类挂点</t>
        </is>
      </c>
      <c r="J31" s="57" t="inlineStr">
        <is>
          <t>未来枪械池/独立资产</t>
        </is>
      </c>
      <c r="K31" s="57" t="inlineStr">
        <is>
          <t>已完成</t>
        </is>
      </c>
      <c r="L31" s="70" t="inlineStr">
        <is>
          <t>P2</t>
        </is>
      </c>
      <c r="M31" s="70" t="inlineStr">
        <is>
          <t>v001</t>
        </is>
      </c>
      <c r="N31" s="57" t="inlineStr">
        <is>
          <t>握把原点；local -Z枪口；3材质；独立GLB/PackedScene</t>
        </is>
      </c>
      <c r="O31" s="70" t="inlineStr">
        <is>
          <t>assets/art/weapons/weapon_3d/runtime/megaphone_cannon/wpn_megaphone_cannon_root_top3d_v001.tscn</t>
        </is>
      </c>
      <c r="P31" s="70" t="inlineStr">
        <is>
          <t>../ShellStorm2-backup/2026-10-11_slimming/original_tree/art_source/weapons/weapon_3d/source/megaphone_cannon/wpn_megaphone_cannon_source_v001.blend</t>
        </is>
      </c>
      <c r="Q31" s="70" t="inlineStr">
        <is>
          <t>megaphone_cannon; 扩音器加农炮; 未来枪械; 通用挂点; 多巴胺配色</t>
        </is>
      </c>
      <c r="R31" s="57">
        <f>LOWER(TRIM(C31)&amp;"|"&amp;TRIM(D31)&amp;"|"&amp;TRIM(E31)&amp;"|"&amp;TRIM(F31)&amp;"|"&amp;TRIM(H31)&amp;"|"&amp;TRIM(I31))</f>
        <v/>
      </c>
      <c r="S31" s="57">
        <f>IF(COUNTIF($R$6:$R$41,R31)&gt;1,"重复","唯一")</f>
        <v/>
      </c>
      <c r="T31" s="70" t="inlineStr">
        <is>
          <t>05d5f8631ae0e809f42dc4c103dae5eba8613929a0ce019b8ee17f0a508fb6e7</t>
        </is>
      </c>
      <c r="U31" s="70" t="inlineStr">
        <is>
          <t>Codex</t>
        </is>
      </c>
      <c r="V31" s="71" t="n">
        <v>46264</v>
      </c>
      <c r="W31" s="57" t="inlineStr">
        <is>
          <t>用户自制Blender资产</t>
        </is>
      </c>
      <c r="X31" s="72" t="inlineStr">
        <is>
          <t>—</t>
        </is>
      </c>
      <c r="Y31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t>
        </is>
      </c>
    </row>
    <row r="32" ht="276.1" customHeight="1" s="46">
      <c r="A32" s="70" t="inlineStr">
        <is>
          <t>WPN-GUN-FUTURE-GUITAR-BLASTER-3D</t>
        </is>
      </c>
      <c r="B32" s="57" t="inlineStr">
        <is>
          <t>吉他爆能枪</t>
        </is>
      </c>
      <c r="C32" s="57" t="inlineStr">
        <is>
          <t>武器</t>
        </is>
      </c>
      <c r="D32" s="70" t="inlineStr">
        <is>
          <t>gunbody</t>
        </is>
      </c>
      <c r="E32" s="70" t="inlineStr">
        <is>
          <t>future_guitar_blaster</t>
        </is>
      </c>
      <c r="F32" s="70" t="inlineStr">
        <is>
          <t>root</t>
        </is>
      </c>
      <c r="G32" s="57" t="n"/>
      <c r="H32" s="57" t="inlineStr">
        <is>
          <t>俯视3D / local -Z 枪口</t>
        </is>
      </c>
      <c r="I32" s="70" t="inlineStr">
        <is>
          <t>default / 标准握把与8类挂点</t>
        </is>
      </c>
      <c r="J32" s="57" t="inlineStr">
        <is>
          <t>未来枪械池/独立资产</t>
        </is>
      </c>
      <c r="K32" s="57" t="inlineStr">
        <is>
          <t>已完成</t>
        </is>
      </c>
      <c r="L32" s="70" t="inlineStr">
        <is>
          <t>P2</t>
        </is>
      </c>
      <c r="M32" s="70" t="inlineStr">
        <is>
          <t>v001</t>
        </is>
      </c>
      <c r="N32" s="57" t="inlineStr">
        <is>
          <t>握把原点；local -Z枪口；3材质；独立GLB/PackedScene</t>
        </is>
      </c>
      <c r="O32" s="70" t="inlineStr">
        <is>
          <t>assets/art/weapons/weapon_3d/runtime/guitar_blaster/wpn_guitar_blaster_root_top3d_v001.tscn</t>
        </is>
      </c>
      <c r="P32" s="70" t="inlineStr">
        <is>
          <t>../ShellStorm2-backup/2026-10-11_slimming/original_tree/art_source/weapons/weapon_3d/source/guitar_blaster/wpn_guitar_blaster_source_v001.blend</t>
        </is>
      </c>
      <c r="Q32" s="70" t="inlineStr">
        <is>
          <t>guitar_blaster; 吉他爆能枪; 未来枪械; 通用挂点; 多巴胺配色</t>
        </is>
      </c>
      <c r="R32" s="57">
        <f>LOWER(TRIM(C32)&amp;"|"&amp;TRIM(D32)&amp;"|"&amp;TRIM(E32)&amp;"|"&amp;TRIM(F32)&amp;"|"&amp;TRIM(H32)&amp;"|"&amp;TRIM(I32))</f>
        <v/>
      </c>
      <c r="S32" s="57">
        <f>IF(COUNTIF($R$6:$R$41,R32)&gt;1,"重复","唯一")</f>
        <v/>
      </c>
      <c r="T32" s="70" t="inlineStr">
        <is>
          <t>1f91e9e4d2a54e82d5ebfc0b5099a7e65c91eb32e86e8c1c8f52afa2df52c264</t>
        </is>
      </c>
      <c r="U32" s="70" t="inlineStr">
        <is>
          <t>Codex</t>
        </is>
      </c>
      <c r="V32" s="71" t="n">
        <v>46264</v>
      </c>
      <c r="W32" s="57" t="inlineStr">
        <is>
          <t>用户自制Blender资产</t>
        </is>
      </c>
      <c r="X32" s="72" t="inlineStr">
        <is>
          <t>—</t>
        </is>
      </c>
      <c r="Y32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t>
        </is>
      </c>
    </row>
    <row r="33" ht="276.1" customHeight="1" s="46">
      <c r="A33" s="70" t="inlineStr">
        <is>
          <t>WPN-GUN-FUTURE-SPATULA-RIFLE-3D</t>
        </is>
      </c>
      <c r="B33" s="57" t="inlineStr">
        <is>
          <t>锅铲步枪</t>
        </is>
      </c>
      <c r="C33" s="57" t="inlineStr">
        <is>
          <t>武器</t>
        </is>
      </c>
      <c r="D33" s="70" t="inlineStr">
        <is>
          <t>gunbody</t>
        </is>
      </c>
      <c r="E33" s="70" t="inlineStr">
        <is>
          <t>future_spatula_rifle</t>
        </is>
      </c>
      <c r="F33" s="70" t="inlineStr">
        <is>
          <t>root</t>
        </is>
      </c>
      <c r="G33" s="57" t="n"/>
      <c r="H33" s="57" t="inlineStr">
        <is>
          <t>俯视3D / local -Z 枪口</t>
        </is>
      </c>
      <c r="I33" s="70" t="inlineStr">
        <is>
          <t>default / 标准握把与8类挂点</t>
        </is>
      </c>
      <c r="J33" s="57" t="inlineStr">
        <is>
          <t>未来枪械池/独立资产</t>
        </is>
      </c>
      <c r="K33" s="57" t="inlineStr">
        <is>
          <t>已完成</t>
        </is>
      </c>
      <c r="L33" s="70" t="inlineStr">
        <is>
          <t>P2</t>
        </is>
      </c>
      <c r="M33" s="70" t="inlineStr">
        <is>
          <t>v001</t>
        </is>
      </c>
      <c r="N33" s="57" t="inlineStr">
        <is>
          <t>握把原点；local -Z枪口；3材质；独立GLB/PackedScene</t>
        </is>
      </c>
      <c r="O33" s="70" t="inlineStr">
        <is>
          <t>assets/art/weapons/weapon_3d/runtime/spatula_rifle/wpn_spatula_rifle_root_top3d_v001.tscn</t>
        </is>
      </c>
      <c r="P33" s="70" t="inlineStr">
        <is>
          <t>../ShellStorm2-backup/2026-10-11_slimming/original_tree/art_source/weapons/weapon_3d/source/spatula_rifle/wpn_spatula_rifle_source_v001.blend</t>
        </is>
      </c>
      <c r="Q33" s="70" t="inlineStr">
        <is>
          <t>spatula_rifle; 锅铲步枪; 未来枪械; 通用挂点; 多巴胺配色</t>
        </is>
      </c>
      <c r="R33" s="57">
        <f>LOWER(TRIM(C33)&amp;"|"&amp;TRIM(D33)&amp;"|"&amp;TRIM(E33)&amp;"|"&amp;TRIM(F33)&amp;"|"&amp;TRIM(H33)&amp;"|"&amp;TRIM(I33))</f>
        <v/>
      </c>
      <c r="S33" s="57">
        <f>IF(COUNTIF($R$6:$R$41,R33)&gt;1,"重复","唯一")</f>
        <v/>
      </c>
      <c r="T33" s="70" t="inlineStr">
        <is>
          <t>3e833ff63ebff0575600f0da74b12bdea155598fa239834294968f411495c426</t>
        </is>
      </c>
      <c r="U33" s="70" t="inlineStr">
        <is>
          <t>Codex</t>
        </is>
      </c>
      <c r="V33" s="71" t="n">
        <v>46264</v>
      </c>
      <c r="W33" s="57" t="inlineStr">
        <is>
          <t>用户自制Blender资产</t>
        </is>
      </c>
      <c r="X33" s="72" t="inlineStr">
        <is>
          <t>—</t>
        </is>
      </c>
      <c r="Y33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t>
        </is>
      </c>
    </row>
    <row r="34" ht="276.1" customHeight="1" s="46">
      <c r="A34" s="70" t="inlineStr">
        <is>
          <t>WPN-GUN-FUTURE-FRYING-PAN-CANNON-3D</t>
        </is>
      </c>
      <c r="B34" s="57" t="inlineStr">
        <is>
          <t>平底锅加农炮</t>
        </is>
      </c>
      <c r="C34" s="57" t="inlineStr">
        <is>
          <t>武器</t>
        </is>
      </c>
      <c r="D34" s="70" t="inlineStr">
        <is>
          <t>gunbody</t>
        </is>
      </c>
      <c r="E34" s="70" t="inlineStr">
        <is>
          <t>future_frying_pan_cannon</t>
        </is>
      </c>
      <c r="F34" s="70" t="inlineStr">
        <is>
          <t>root</t>
        </is>
      </c>
      <c r="G34" s="57" t="n"/>
      <c r="H34" s="57" t="inlineStr">
        <is>
          <t>俯视3D / local -Z 枪口</t>
        </is>
      </c>
      <c r="I34" s="70" t="inlineStr">
        <is>
          <t>default / 标准握把与8类挂点</t>
        </is>
      </c>
      <c r="J34" s="57" t="inlineStr">
        <is>
          <t>未来枪械池/独立资产</t>
        </is>
      </c>
      <c r="K34" s="57" t="inlineStr">
        <is>
          <t>已完成</t>
        </is>
      </c>
      <c r="L34" s="70" t="inlineStr">
        <is>
          <t>P2</t>
        </is>
      </c>
      <c r="M34" s="70" t="inlineStr">
        <is>
          <t>v001</t>
        </is>
      </c>
      <c r="N34" s="57" t="inlineStr">
        <is>
          <t>握把原点；local -Z枪口；3材质；独立GLB/PackedScene</t>
        </is>
      </c>
      <c r="O34" s="70" t="inlineStr">
        <is>
          <t>assets/art/weapons/weapon_3d/runtime/frying_pan_cannon/wpn_frying_pan_cannon_root_top3d_v001.tscn</t>
        </is>
      </c>
      <c r="P34" s="70" t="inlineStr">
        <is>
          <t>../ShellStorm2-backup/2026-10-11_slimming/original_tree/art_source/weapons/weapon_3d/source/frying_pan_cannon/wpn_frying_pan_cannon_source_v001.blend</t>
        </is>
      </c>
      <c r="Q34" s="70" t="inlineStr">
        <is>
          <t>frying_pan_cannon; 平底锅加农炮; 未来枪械; 通用挂点; 多巴胺配色</t>
        </is>
      </c>
      <c r="R34" s="57">
        <f>LOWER(TRIM(C34)&amp;"|"&amp;TRIM(D34)&amp;"|"&amp;TRIM(E34)&amp;"|"&amp;TRIM(F34)&amp;"|"&amp;TRIM(H34)&amp;"|"&amp;TRIM(I34))</f>
        <v/>
      </c>
      <c r="S34" s="57">
        <f>IF(COUNTIF($R$6:$R$41,R34)&gt;1,"重复","唯一")</f>
        <v/>
      </c>
      <c r="T34" s="70" t="inlineStr">
        <is>
          <t>d1fd5653d2d9e5b834f6d4e7327159e49c2810fff46a38a93da80a7d72a6848c</t>
        </is>
      </c>
      <c r="U34" s="70" t="inlineStr">
        <is>
          <t>Codex</t>
        </is>
      </c>
      <c r="V34" s="71" t="n">
        <v>46264</v>
      </c>
      <c r="W34" s="57" t="inlineStr">
        <is>
          <t>用户自制Blender资产</t>
        </is>
      </c>
      <c r="X34" s="72" t="inlineStr">
        <is>
          <t>—</t>
        </is>
      </c>
      <c r="Y34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t>
        </is>
      </c>
    </row>
    <row r="35" ht="276.1" customHeight="1" s="46">
      <c r="A35" s="70" t="inlineStr">
        <is>
          <t>WPN-GUN-FUTURE-SCOPE-CANNON-3D</t>
        </is>
      </c>
      <c r="B35" s="57" t="inlineStr">
        <is>
          <t>瞄准镜加农炮</t>
        </is>
      </c>
      <c r="C35" s="57" t="inlineStr">
        <is>
          <t>武器</t>
        </is>
      </c>
      <c r="D35" s="70" t="inlineStr">
        <is>
          <t>gunbody</t>
        </is>
      </c>
      <c r="E35" s="70" t="inlineStr">
        <is>
          <t>future_scope_cannon</t>
        </is>
      </c>
      <c r="F35" s="70" t="inlineStr">
        <is>
          <t>root</t>
        </is>
      </c>
      <c r="G35" s="57" t="n"/>
      <c r="H35" s="57" t="inlineStr">
        <is>
          <t>俯视3D / local -Z 枪口</t>
        </is>
      </c>
      <c r="I35" s="70" t="inlineStr">
        <is>
          <t>default / 标准握把与8类挂点</t>
        </is>
      </c>
      <c r="J35" s="57" t="inlineStr">
        <is>
          <t>未来枪械池/独立资产</t>
        </is>
      </c>
      <c r="K35" s="57" t="inlineStr">
        <is>
          <t>已完成</t>
        </is>
      </c>
      <c r="L35" s="70" t="inlineStr">
        <is>
          <t>P2</t>
        </is>
      </c>
      <c r="M35" s="70" t="inlineStr">
        <is>
          <t>v001</t>
        </is>
      </c>
      <c r="N35" s="57" t="inlineStr">
        <is>
          <t>握把原点；local -Z枪口；3材质；独立GLB/PackedScene</t>
        </is>
      </c>
      <c r="O35" s="70" t="inlineStr">
        <is>
          <t>assets/art/weapons/weapon_3d/runtime/scope_cannon/wpn_scope_cannon_root_top3d_v001.tscn</t>
        </is>
      </c>
      <c r="P35" s="70" t="inlineStr">
        <is>
          <t>../ShellStorm2-backup/2026-10-11_slimming/original_tree/art_source/weapons/weapon_3d/source/scope_cannon/wpn_scope_cannon_source_v001.blend</t>
        </is>
      </c>
      <c r="Q35" s="70" t="inlineStr">
        <is>
          <t>scope_cannon; 瞄准镜加农炮; 未来枪械; 通用挂点; 多巴胺配色</t>
        </is>
      </c>
      <c r="R35" s="57">
        <f>LOWER(TRIM(C35)&amp;"|"&amp;TRIM(D35)&amp;"|"&amp;TRIM(E35)&amp;"|"&amp;TRIM(F35)&amp;"|"&amp;TRIM(H35)&amp;"|"&amp;TRIM(I35))</f>
        <v/>
      </c>
      <c r="S35" s="57">
        <f>IF(COUNTIF($R$6:$R$41,R35)&gt;1,"重复","唯一")</f>
        <v/>
      </c>
      <c r="T35" s="70" t="inlineStr">
        <is>
          <t>a30e709f22c4e33f99398b002307af2d27c2f4dd3aca10bf192921c063223aa4</t>
        </is>
      </c>
      <c r="U35" s="70" t="inlineStr">
        <is>
          <t>Codex</t>
        </is>
      </c>
      <c r="V35" s="71" t="n">
        <v>46264</v>
      </c>
      <c r="W35" s="57" t="inlineStr">
        <is>
          <t>用户自制Blender资产</t>
        </is>
      </c>
      <c r="X35" s="72" t="inlineStr">
        <is>
          <t>—</t>
        </is>
      </c>
      <c r="Y35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t>
        </is>
      </c>
    </row>
    <row r="36" ht="276.1" customHeight="1" s="46">
      <c r="A36" s="70" t="inlineStr">
        <is>
          <t>WPN-GUN-FUTURE-POPCORN-BLASTER-3D</t>
        </is>
      </c>
      <c r="B36" s="57" t="inlineStr">
        <is>
          <t>爆米花爆能枪</t>
        </is>
      </c>
      <c r="C36" s="57" t="inlineStr">
        <is>
          <t>武器</t>
        </is>
      </c>
      <c r="D36" s="70" t="inlineStr">
        <is>
          <t>gunbody</t>
        </is>
      </c>
      <c r="E36" s="70" t="inlineStr">
        <is>
          <t>future_popcorn_blaster</t>
        </is>
      </c>
      <c r="F36" s="70" t="inlineStr">
        <is>
          <t>root</t>
        </is>
      </c>
      <c r="G36" s="57" t="n"/>
      <c r="H36" s="57" t="inlineStr">
        <is>
          <t>俯视3D / local -Z 枪口</t>
        </is>
      </c>
      <c r="I36" s="70" t="inlineStr">
        <is>
          <t>default / 标准握把与8类挂点</t>
        </is>
      </c>
      <c r="J36" s="57" t="inlineStr">
        <is>
          <t>未来枪械池/独立资产</t>
        </is>
      </c>
      <c r="K36" s="57" t="inlineStr">
        <is>
          <t>已完成</t>
        </is>
      </c>
      <c r="L36" s="70" t="inlineStr">
        <is>
          <t>P2</t>
        </is>
      </c>
      <c r="M36" s="70" t="inlineStr">
        <is>
          <t>v001</t>
        </is>
      </c>
      <c r="N36" s="57" t="inlineStr">
        <is>
          <t>握把原点；local -Z枪口；3材质；独立GLB/PackedScene</t>
        </is>
      </c>
      <c r="O36" s="70" t="inlineStr">
        <is>
          <t>assets/art/weapons/weapon_3d/runtime/popcorn_blaster/wpn_popcorn_blaster_root_top3d_v001.tscn</t>
        </is>
      </c>
      <c r="P36" s="70" t="inlineStr">
        <is>
          <t>../ShellStorm2-backup/2026-10-11_slimming/original_tree/art_source/weapons/weapon_3d/source/popcorn_blaster/wpn_popcorn_blaster_source_v001.blend</t>
        </is>
      </c>
      <c r="Q36" s="70" t="inlineStr">
        <is>
          <t>popcorn_blaster; 爆米花爆能枪; 未来枪械; 通用挂点; 多巴胺配色</t>
        </is>
      </c>
      <c r="R36" s="57">
        <f>LOWER(TRIM(C36)&amp;"|"&amp;TRIM(D36)&amp;"|"&amp;TRIM(E36)&amp;"|"&amp;TRIM(F36)&amp;"|"&amp;TRIM(H36)&amp;"|"&amp;TRIM(I36))</f>
        <v/>
      </c>
      <c r="S36" s="57">
        <f>IF(COUNTIF($R$6:$R$41,R36)&gt;1,"重复","唯一")</f>
        <v/>
      </c>
      <c r="T36" s="70" t="inlineStr">
        <is>
          <t>dbcc9441cc5f5c2df19d1b745850072880ca1abf39030ed90353999828eec57a</t>
        </is>
      </c>
      <c r="U36" s="70" t="inlineStr">
        <is>
          <t>Codex</t>
        </is>
      </c>
      <c r="V36" s="71" t="n">
        <v>46264</v>
      </c>
      <c r="W36" s="57" t="inlineStr">
        <is>
          <t>用户自制Blender资产</t>
        </is>
      </c>
      <c r="X36" s="72" t="inlineStr">
        <is>
          <t>—</t>
        </is>
      </c>
      <c r="Y36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t>
        </is>
      </c>
    </row>
    <row r="37" ht="276.1" customHeight="1" s="46">
      <c r="A37" s="70" t="inlineStr">
        <is>
          <t>WPN-GUN-FUTURE-SODA-STRAW-BLASTER-3D</t>
        </is>
      </c>
      <c r="B37" s="57" t="inlineStr">
        <is>
          <t>饮料管爆能枪</t>
        </is>
      </c>
      <c r="C37" s="57" t="inlineStr">
        <is>
          <t>武器</t>
        </is>
      </c>
      <c r="D37" s="70" t="inlineStr">
        <is>
          <t>gunbody</t>
        </is>
      </c>
      <c r="E37" s="70" t="inlineStr">
        <is>
          <t>future_soda_straw_blaster</t>
        </is>
      </c>
      <c r="F37" s="70" t="inlineStr">
        <is>
          <t>root</t>
        </is>
      </c>
      <c r="G37" s="57" t="n"/>
      <c r="H37" s="57" t="inlineStr">
        <is>
          <t>俯视3D / local -Z 枪口</t>
        </is>
      </c>
      <c r="I37" s="70" t="inlineStr">
        <is>
          <t>default / 标准握把与8类挂点</t>
        </is>
      </c>
      <c r="J37" s="57" t="inlineStr">
        <is>
          <t>未来枪械池/独立资产</t>
        </is>
      </c>
      <c r="K37" s="57" t="inlineStr">
        <is>
          <t>已完成</t>
        </is>
      </c>
      <c r="L37" s="70" t="inlineStr">
        <is>
          <t>P2</t>
        </is>
      </c>
      <c r="M37" s="70" t="inlineStr">
        <is>
          <t>v001</t>
        </is>
      </c>
      <c r="N37" s="57" t="inlineStr">
        <is>
          <t>握把原点；local -Z枪口；3材质；独立GLB/PackedScene</t>
        </is>
      </c>
      <c r="O37" s="70" t="inlineStr">
        <is>
          <t>assets/art/weapons/weapon_3d/runtime/soda_straw_blaster/wpn_soda_straw_blaster_root_top3d_v001.tscn</t>
        </is>
      </c>
      <c r="P37" s="70" t="inlineStr">
        <is>
          <t>../ShellStorm2-backup/2026-10-11_slimming/original_tree/art_source/weapons/weapon_3d/source/soda_straw_blaster/wpn_soda_straw_blaster_source_v001.blend</t>
        </is>
      </c>
      <c r="Q37" s="70" t="inlineStr">
        <is>
          <t>soda_straw_blaster; 饮料管爆能枪; 未来枪械; 通用挂点; 多巴胺配色</t>
        </is>
      </c>
      <c r="R37" s="57">
        <f>LOWER(TRIM(C37)&amp;"|"&amp;TRIM(D37)&amp;"|"&amp;TRIM(E37)&amp;"|"&amp;TRIM(F37)&amp;"|"&amp;TRIM(H37)&amp;"|"&amp;TRIM(I37))</f>
        <v/>
      </c>
      <c r="S37" s="57">
        <f>IF(COUNTIF($R$6:$R$41,R37)&gt;1,"重复","唯一")</f>
        <v/>
      </c>
      <c r="T37" s="70" t="inlineStr">
        <is>
          <t>b8c6a97267f825937f58851aad49588de64c1d3e713526a26f275306413b702f</t>
        </is>
      </c>
      <c r="U37" s="70" t="inlineStr">
        <is>
          <t>Codex</t>
        </is>
      </c>
      <c r="V37" s="71" t="n">
        <v>46264</v>
      </c>
      <c r="W37" s="57" t="inlineStr">
        <is>
          <t>用户自制Blender资产</t>
        </is>
      </c>
      <c r="X37" s="72" t="inlineStr">
        <is>
          <t>—</t>
        </is>
      </c>
      <c r="Y37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t>
        </is>
      </c>
    </row>
    <row r="38" ht="276.1" customHeight="1" s="46">
      <c r="A38" s="70" t="inlineStr">
        <is>
          <t>WPN-GUN-FUTURE-CROCODILE-CANNON-3D</t>
        </is>
      </c>
      <c r="B38" s="57" t="inlineStr">
        <is>
          <t>鳄鱼加农炮</t>
        </is>
      </c>
      <c r="C38" s="57" t="inlineStr">
        <is>
          <t>武器</t>
        </is>
      </c>
      <c r="D38" s="70" t="inlineStr">
        <is>
          <t>gunbody</t>
        </is>
      </c>
      <c r="E38" s="70" t="inlineStr">
        <is>
          <t>future_crocodile_cannon</t>
        </is>
      </c>
      <c r="F38" s="70" t="inlineStr">
        <is>
          <t>root</t>
        </is>
      </c>
      <c r="G38" s="57" t="n"/>
      <c r="H38" s="57" t="inlineStr">
        <is>
          <t>俯视3D / local -Z 枪口</t>
        </is>
      </c>
      <c r="I38" s="70" t="inlineStr">
        <is>
          <t>default / 标准握把与8类挂点</t>
        </is>
      </c>
      <c r="J38" s="57" t="inlineStr">
        <is>
          <t>未来枪械池/独立资产</t>
        </is>
      </c>
      <c r="K38" s="57" t="inlineStr">
        <is>
          <t>已完成</t>
        </is>
      </c>
      <c r="L38" s="70" t="inlineStr">
        <is>
          <t>P2</t>
        </is>
      </c>
      <c r="M38" s="70" t="inlineStr">
        <is>
          <t>v001</t>
        </is>
      </c>
      <c r="N38" s="57" t="inlineStr">
        <is>
          <t>握把原点；local -Z枪口；3材质；独立GLB/PackedScene</t>
        </is>
      </c>
      <c r="O38" s="70" t="inlineStr">
        <is>
          <t>assets/art/weapons/weapon_3d/runtime/crocodile_cannon/wpn_crocodile_cannon_root_top3d_v001.tscn</t>
        </is>
      </c>
      <c r="P38" s="70" t="inlineStr">
        <is>
          <t>../ShellStorm2-backup/2026-10-11_slimming/original_tree/art_source/weapons/weapon_3d/source/crocodile_cannon/wpn_crocodile_cannon_source_v001.blend</t>
        </is>
      </c>
      <c r="Q38" s="70" t="inlineStr">
        <is>
          <t>crocodile_cannon; 鳄鱼加农炮; 未来枪械; 通用挂点; 多巴胺配色</t>
        </is>
      </c>
      <c r="R38" s="57">
        <f>LOWER(TRIM(C38)&amp;"|"&amp;TRIM(D38)&amp;"|"&amp;TRIM(E38)&amp;"|"&amp;TRIM(F38)&amp;"|"&amp;TRIM(H38)&amp;"|"&amp;TRIM(I38))</f>
        <v/>
      </c>
      <c r="S38" s="57">
        <f>IF(COUNTIF($R$6:$R$41,R38)&gt;1,"重复","唯一")</f>
        <v/>
      </c>
      <c r="T38" s="70" t="inlineStr">
        <is>
          <t>c0e1abe37949f4aee0619e04f40104b4bcf0c59f4269ddc64f4f10df4733416b</t>
        </is>
      </c>
      <c r="U38" s="70" t="inlineStr">
        <is>
          <t>Codex</t>
        </is>
      </c>
      <c r="V38" s="71" t="n">
        <v>46264</v>
      </c>
      <c r="W38" s="57" t="inlineStr">
        <is>
          <t>用户自制Blender资产</t>
        </is>
      </c>
      <c r="X38" s="72" t="inlineStr">
        <is>
          <t>—</t>
        </is>
      </c>
      <c r="Y38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t>
        </is>
      </c>
    </row>
    <row r="39" ht="276.1" customHeight="1" s="46">
      <c r="A39" s="70" t="inlineStr">
        <is>
          <t>WPN-GUN-FUTURE-CAMERA-BLASTER-3D</t>
        </is>
      </c>
      <c r="B39" s="57" t="inlineStr">
        <is>
          <t>相机爆能枪</t>
        </is>
      </c>
      <c r="C39" s="57" t="inlineStr">
        <is>
          <t>武器</t>
        </is>
      </c>
      <c r="D39" s="70" t="inlineStr">
        <is>
          <t>gunbody</t>
        </is>
      </c>
      <c r="E39" s="70" t="inlineStr">
        <is>
          <t>future_camera_blaster</t>
        </is>
      </c>
      <c r="F39" s="70" t="inlineStr">
        <is>
          <t>root</t>
        </is>
      </c>
      <c r="G39" s="57" t="n"/>
      <c r="H39" s="57" t="inlineStr">
        <is>
          <t>俯视3D / local -Z 枪口</t>
        </is>
      </c>
      <c r="I39" s="70" t="inlineStr">
        <is>
          <t>default / 标准握把与8类挂点</t>
        </is>
      </c>
      <c r="J39" s="57" t="inlineStr">
        <is>
          <t>未来枪械池/独立资产</t>
        </is>
      </c>
      <c r="K39" s="57" t="inlineStr">
        <is>
          <t>已完成</t>
        </is>
      </c>
      <c r="L39" s="70" t="inlineStr">
        <is>
          <t>P2</t>
        </is>
      </c>
      <c r="M39" s="70" t="inlineStr">
        <is>
          <t>v001</t>
        </is>
      </c>
      <c r="N39" s="57" t="inlineStr">
        <is>
          <t>握把原点；local -Z枪口；3材质；独立GLB/PackedScene</t>
        </is>
      </c>
      <c r="O39" s="70" t="inlineStr">
        <is>
          <t>assets/art/weapons/weapon_3d/runtime/camera_blaster/wpn_camera_blaster_root_top3d_v001.tscn</t>
        </is>
      </c>
      <c r="P39" s="70" t="inlineStr">
        <is>
          <t>../ShellStorm2-backup/2026-10-11_slimming/original_tree/art_source/weapons/weapon_3d/source/camera_blaster/wpn_camera_blaster_source_v001.blend</t>
        </is>
      </c>
      <c r="Q39" s="70" t="inlineStr">
        <is>
          <t>camera_blaster; 相机爆能枪; 未来枪械; 通用挂点; 多巴胺配色</t>
        </is>
      </c>
      <c r="R39" s="57">
        <f>LOWER(TRIM(C39)&amp;"|"&amp;TRIM(D39)&amp;"|"&amp;TRIM(E39)&amp;"|"&amp;TRIM(F39)&amp;"|"&amp;TRIM(H39)&amp;"|"&amp;TRIM(I39))</f>
        <v/>
      </c>
      <c r="S39" s="57">
        <f>IF(COUNTIF($R$6:$R$41,R39)&gt;1,"重复","唯一")</f>
        <v/>
      </c>
      <c r="T39" s="70" t="inlineStr">
        <is>
          <t>e4afd543d2e1be93ac923edc02ba570611ca0ee73fe3a0764ff0f7677ead1968</t>
        </is>
      </c>
      <c r="U39" s="70" t="inlineStr">
        <is>
          <t>Codex</t>
        </is>
      </c>
      <c r="V39" s="71" t="n">
        <v>46264</v>
      </c>
      <c r="W39" s="57" t="inlineStr">
        <is>
          <t>用户自制Blender资产</t>
        </is>
      </c>
      <c r="X39" s="72" t="inlineStr">
        <is>
          <t>—</t>
        </is>
      </c>
      <c r="Y39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t>
        </is>
      </c>
    </row>
    <row r="40" ht="276.1" customHeight="1" s="46">
      <c r="A40" s="70" t="inlineStr">
        <is>
          <t>WPN-GUN-FUTURE-TISSUE-BOX-CANNON-3D</t>
        </is>
      </c>
      <c r="B40" s="57" t="inlineStr">
        <is>
          <t>纸巾盒加农炮</t>
        </is>
      </c>
      <c r="C40" s="57" t="inlineStr">
        <is>
          <t>武器</t>
        </is>
      </c>
      <c r="D40" s="70" t="inlineStr">
        <is>
          <t>gunbody</t>
        </is>
      </c>
      <c r="E40" s="70" t="inlineStr">
        <is>
          <t>future_tissue_box_cannon</t>
        </is>
      </c>
      <c r="F40" s="70" t="inlineStr">
        <is>
          <t>root</t>
        </is>
      </c>
      <c r="G40" s="57" t="n"/>
      <c r="H40" s="57" t="inlineStr">
        <is>
          <t>俯视3D / local -Z 枪口</t>
        </is>
      </c>
      <c r="I40" s="70" t="inlineStr">
        <is>
          <t>default / 标准握把与8类挂点</t>
        </is>
      </c>
      <c r="J40" s="57" t="inlineStr">
        <is>
          <t>未来枪械池/独立资产</t>
        </is>
      </c>
      <c r="K40" s="57" t="inlineStr">
        <is>
          <t>已完成</t>
        </is>
      </c>
      <c r="L40" s="70" t="inlineStr">
        <is>
          <t>P2</t>
        </is>
      </c>
      <c r="M40" s="70" t="inlineStr">
        <is>
          <t>v001</t>
        </is>
      </c>
      <c r="N40" s="57" t="inlineStr">
        <is>
          <t>握把原点；local -Z枪口；3材质；独立GLB/PackedScene</t>
        </is>
      </c>
      <c r="O40" s="70" t="inlineStr">
        <is>
          <t>assets/art/weapons/weapon_3d/runtime/tissue_box_cannon/wpn_tissue_box_cannon_root_top3d_v001.tscn</t>
        </is>
      </c>
      <c r="P40" s="70" t="inlineStr">
        <is>
          <t>../ShellStorm2-backup/2026-10-11_slimming/original_tree/art_source/weapons/weapon_3d/source/tissue_box_cannon/wpn_tissue_box_cannon_source_v001.blend</t>
        </is>
      </c>
      <c r="Q40" s="70" t="inlineStr">
        <is>
          <t>tissue_box_cannon; 纸巾盒加农炮; 未来枪械; 通用挂点; 多巴胺配色</t>
        </is>
      </c>
      <c r="R40" s="57">
        <f>LOWER(TRIM(C40)&amp;"|"&amp;TRIM(D40)&amp;"|"&amp;TRIM(E40)&amp;"|"&amp;TRIM(F40)&amp;"|"&amp;TRIM(H40)&amp;"|"&amp;TRIM(I40))</f>
        <v/>
      </c>
      <c r="S40" s="57">
        <f>IF(COUNTIF($R$6:$R$41,R40)&gt;1,"重复","唯一")</f>
        <v/>
      </c>
      <c r="T40" s="70" t="inlineStr">
        <is>
          <t>d4acc27b57bae6f0d1688365d8bbba123fa6e174b9f2acce02173853513659f7</t>
        </is>
      </c>
      <c r="U40" s="70" t="inlineStr">
        <is>
          <t>Codex</t>
        </is>
      </c>
      <c r="V40" s="71" t="n">
        <v>46264</v>
      </c>
      <c r="W40" s="57" t="inlineStr">
        <is>
          <t>用户自制Blender资产</t>
        </is>
      </c>
      <c r="X40" s="72" t="inlineStr">
        <is>
          <t>—</t>
        </is>
      </c>
      <c r="Y40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t>
        </is>
      </c>
    </row>
    <row r="41" ht="276.1" customHeight="1" s="46">
      <c r="A41" s="70" t="inlineStr">
        <is>
          <t>WPN-GUN-FUTURE-FAN-BLASTER-3D</t>
        </is>
      </c>
      <c r="B41" s="57" t="inlineStr">
        <is>
          <t>风扇爆能枪</t>
        </is>
      </c>
      <c r="C41" s="57" t="inlineStr">
        <is>
          <t>武器</t>
        </is>
      </c>
      <c r="D41" s="70" t="inlineStr">
        <is>
          <t>gunbody</t>
        </is>
      </c>
      <c r="E41" s="70" t="inlineStr">
        <is>
          <t>future_fan_blaster</t>
        </is>
      </c>
      <c r="F41" s="70" t="inlineStr">
        <is>
          <t>root</t>
        </is>
      </c>
      <c r="G41" s="57" t="n"/>
      <c r="H41" s="57" t="inlineStr">
        <is>
          <t>俯视3D / local -Z 枪口</t>
        </is>
      </c>
      <c r="I41" s="70" t="inlineStr">
        <is>
          <t>default / 标准握把与8类挂点</t>
        </is>
      </c>
      <c r="J41" s="57" t="inlineStr">
        <is>
          <t>未来枪械池/独立资产</t>
        </is>
      </c>
      <c r="K41" s="57" t="inlineStr">
        <is>
          <t>已完成</t>
        </is>
      </c>
      <c r="L41" s="70" t="inlineStr">
        <is>
          <t>P2</t>
        </is>
      </c>
      <c r="M41" s="70" t="inlineStr">
        <is>
          <t>v001</t>
        </is>
      </c>
      <c r="N41" s="57" t="inlineStr">
        <is>
          <t>握把原点；local -Z枪口；3材质；独立GLB/PackedScene</t>
        </is>
      </c>
      <c r="O41" s="70" t="inlineStr">
        <is>
          <t>assets/art/weapons/weapon_3d/runtime/fan_blaster/wpn_fan_blaster_root_top3d_v001.tscn</t>
        </is>
      </c>
      <c r="P41" s="70" t="inlineStr">
        <is>
          <t>../ShellStorm2-backup/2026-10-11_slimming/original_tree/art_source/weapons/weapon_3d/source/fan_blaster/wpn_fan_blaster_source_v001.blend</t>
        </is>
      </c>
      <c r="Q41" s="70" t="inlineStr">
        <is>
          <t>fan_blaster; 风扇爆能枪; 未来枪械; 通用挂点; 多巴胺配色</t>
        </is>
      </c>
      <c r="R41" s="57">
        <f>LOWER(TRIM(C41)&amp;"|"&amp;TRIM(D41)&amp;"|"&amp;TRIM(E41)&amp;"|"&amp;TRIM(F41)&amp;"|"&amp;TRIM(H41)&amp;"|"&amp;TRIM(I41))</f>
        <v/>
      </c>
      <c r="S41" s="57">
        <f>IF(COUNTIF($R$6:$R$41,R41)&gt;1,"重复","唯一")</f>
        <v/>
      </c>
      <c r="T41" s="70" t="inlineStr">
        <is>
          <t>3ef7b483eb98314077ee9a014c6b6de00dddf66509f8d35ab78aec539958fe18</t>
        </is>
      </c>
      <c r="U41" s="70" t="inlineStr">
        <is>
          <t>Codex</t>
        </is>
      </c>
      <c r="V41" s="71" t="n">
        <v>46264</v>
      </c>
      <c r="W41" s="57" t="inlineStr">
        <is>
          <t>用户自制Blender资产</t>
        </is>
      </c>
      <c r="X41" s="72" t="inlineStr">
        <is>
          <t>—</t>
        </is>
      </c>
      <c r="Y41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t>
        </is>
      </c>
    </row>
    <row r="79" ht="154.5" customHeight="1" s="46"/>
    <row r="113" ht="154.5" customHeight="1" s="46"/>
    <row r="120" ht="154.5" customHeight="1" s="46"/>
    <row r="123" ht="154.5" customHeight="1" s="46"/>
    <row r="124" ht="33.75" customHeight="1" s="46"/>
    <row r="125" ht="33.75" customHeight="1" s="46"/>
    <row r="126" ht="33.75" customHeight="1" s="46"/>
    <row r="127" ht="33.75" customHeight="1" s="46"/>
    <row r="128" ht="154.5" customHeight="1" s="46"/>
    <row r="129" ht="33.75" customHeight="1" s="46"/>
    <row r="130" ht="33.75" customHeight="1" s="46"/>
    <row r="131" ht="33.75" customHeight="1" s="46"/>
    <row r="132" ht="33.75" customHeight="1" s="46"/>
    <row r="133" ht="33.75" customHeight="1" s="46"/>
    <row r="134" ht="33.75" customHeight="1" s="46"/>
    <row r="135" ht="33.75" customHeight="1" s="46"/>
    <row r="136" ht="33.75" customHeight="1" s="46"/>
    <row r="137" ht="33.75" customHeight="1" s="46"/>
    <row r="138" ht="33.75" customHeight="1" s="46"/>
    <row r="139" ht="33.75" customHeight="1" s="46"/>
    <row r="143" ht="154.5" customHeight="1" s="46"/>
    <row r="146" ht="43.5" customHeight="1" s="46"/>
    <row r="147" ht="43.5" customHeight="1" s="46"/>
    <row r="148" ht="43.5" customHeight="1" s="46"/>
    <row r="149" ht="43.5" customHeight="1" s="46"/>
    <row r="150" ht="43.5" customHeight="1" s="46"/>
    <row r="151" ht="43.5" customHeight="1" s="46"/>
    <row r="152" ht="43.5" customHeight="1" s="46"/>
    <row r="153" ht="43.5" customHeight="1" s="46"/>
    <row r="154" ht="43.5" customHeight="1" s="46"/>
    <row r="155" ht="43.5" customHeight="1" s="46"/>
    <row r="156" ht="132" customHeight="1" s="46"/>
    <row r="157" ht="117.75" customHeight="1" s="46"/>
    <row r="158" ht="117.75" customHeight="1" s="46"/>
    <row r="159" ht="117.75" customHeight="1" s="46"/>
    <row r="160" ht="117.75" customHeight="1" s="46"/>
    <row r="161" ht="132" customHeight="1" s="46"/>
    <row r="162" ht="132" customHeight="1" s="46"/>
    <row r="163" ht="154.5" customHeight="1" s="46"/>
    <row r="164" ht="132" customHeight="1" s="46"/>
    <row r="165" ht="132" customHeight="1" s="46"/>
    <row r="166" ht="132" customHeight="1" s="46"/>
    <row r="167" ht="154.5" customHeight="1" s="46"/>
    <row r="168" ht="219.75" customHeight="1" s="46"/>
    <row r="169" ht="219.75" customHeight="1" s="46"/>
    <row r="172" ht="42" customHeight="1" s="46"/>
    <row r="173" ht="42" customHeight="1" s="46"/>
    <row r="174" ht="43.5" customHeight="1" s="46"/>
    <row r="175" ht="43.5" customHeight="1" s="46"/>
    <row r="176" ht="43.5" customHeight="1" s="46"/>
    <row r="177" ht="43.5" customHeight="1" s="46"/>
    <row r="178" ht="43.5" customHeight="1" s="46"/>
    <row r="179" ht="43.5" customHeight="1" s="46"/>
    <row r="180" ht="43.5" customHeight="1" s="46"/>
    <row r="181" ht="43.5" customHeight="1" s="46"/>
    <row r="182" ht="43.5" customHeight="1" s="46"/>
    <row r="183" ht="43.5" customHeight="1" s="46"/>
    <row r="184" ht="43.5" customHeight="1" s="46"/>
    <row r="185" ht="43.5" customHeight="1" s="46"/>
    <row r="186" ht="43.5" customHeight="1" s="46"/>
    <row r="187" ht="43.5" customHeight="1" s="46"/>
    <row r="188" ht="43.5" customHeight="1" s="46"/>
    <row r="189" ht="43.5" customHeight="1" s="46"/>
    <row r="190" ht="43.5" customHeight="1" s="46"/>
    <row r="191" ht="43.5" customHeight="1" s="46"/>
    <row r="192" ht="43.5" customHeight="1" s="46"/>
    <row r="193" ht="43.5" customHeight="1" s="46"/>
    <row r="194" ht="43.5" customHeight="1" s="46"/>
    <row r="195" ht="43.5" customHeight="1" s="46"/>
    <row r="196" ht="43.5" customHeight="1" s="46"/>
    <row r="197" ht="43.5" customHeight="1" s="46"/>
    <row r="198" ht="43.5" customHeight="1" s="46"/>
    <row r="199" ht="43.5" customHeight="1" s="46"/>
    <row r="200" ht="43.5" customHeight="1" s="46"/>
    <row r="201" ht="43.5" customHeight="1" s="46"/>
    <row r="202" ht="43.5" customHeight="1" s="46"/>
    <row r="203" ht="43.5" customHeight="1" s="46"/>
    <row r="204" ht="43.5" customHeight="1" s="46"/>
    <row r="240" ht="255" customHeight="1" s="46"/>
    <row r="281" ht="66" customHeight="1" s="46"/>
    <row r="282" ht="66" customHeight="1" s="46"/>
    <row r="283" ht="66" customHeight="1" s="46"/>
    <row r="284" ht="66" customHeight="1" s="46"/>
    <row r="285" ht="66" customHeight="1" s="46"/>
    <row r="286" ht="66" customHeight="1" s="46"/>
    <row r="287" ht="55.5" customHeight="1" s="46"/>
    <row r="301" ht="132" customHeight="1" s="46"/>
    <row r="302" ht="54" customHeight="1" s="46"/>
    <row r="303" ht="54" customHeight="1" s="46"/>
    <row r="304" ht="54" customHeight="1" s="46"/>
    <row r="305" ht="54" customHeight="1" s="46"/>
    <row r="306" ht="54" customHeight="1" s="46"/>
    <row r="307" ht="54" customHeight="1" s="46"/>
    <row r="308" ht="54" customHeight="1" s="46"/>
    <row r="309" ht="54" customHeight="1" s="46"/>
    <row r="310" ht="54" customHeight="1" s="46"/>
    <row r="311" ht="72" customHeight="1" s="46"/>
    <row r="312" ht="54" customHeight="1" s="46"/>
    <row r="313" ht="54" customHeight="1" s="46"/>
    <row r="314" ht="54" customHeight="1" s="46"/>
    <row r="315" ht="54" customHeight="1" s="46"/>
    <row r="316" ht="54" customHeight="1" s="46"/>
    <row r="317" ht="54" customHeight="1" s="46"/>
    <row r="318" ht="54" customHeight="1" s="46"/>
    <row r="319" ht="54" customHeight="1" s="46"/>
    <row r="320" ht="54" customHeight="1" s="46"/>
    <row r="321" ht="54" customHeight="1" s="46"/>
    <row r="322" ht="54" customHeight="1" s="46"/>
    <row r="323" ht="54" customHeight="1" s="46"/>
    <row r="324" ht="54" customHeight="1" s="46"/>
    <row r="325" ht="54" customHeight="1" s="46"/>
    <row r="326" ht="54" customHeight="1" s="46"/>
    <row r="327" ht="54" customHeight="1" s="46"/>
    <row r="328" ht="54" customHeight="1" s="46"/>
    <row r="329" ht="54" customHeight="1" s="46"/>
    <row r="330" ht="54" customHeight="1" s="46"/>
    <row r="331" ht="54" customHeight="1" s="46"/>
    <row r="332" ht="54" customHeight="1" s="46"/>
    <row r="333" ht="54" customHeight="1" s="46"/>
    <row r="334" ht="54" customHeight="1" s="46"/>
    <row r="335" ht="54" customHeight="1" s="46"/>
    <row r="336" ht="54" customHeight="1" s="46"/>
    <row r="337" ht="54" customHeight="1" s="46"/>
    <row r="338" ht="54" customHeight="1" s="46"/>
    <row r="339" ht="54" customHeight="1" s="46"/>
    <row r="340" ht="54" customHeight="1" s="46"/>
    <row r="341" ht="54" customHeight="1" s="46"/>
    <row r="342" ht="54" customHeight="1" s="46"/>
    <row r="343" ht="54" customHeight="1" s="46"/>
    <row r="344" ht="54" customHeight="1" s="46"/>
    <row r="345" ht="54" customHeight="1" s="46"/>
    <row r="346" ht="54" customHeight="1" s="46"/>
    <row r="347" ht="54" customHeight="1" s="46"/>
    <row r="348" ht="54" customHeight="1" s="46"/>
    <row r="349" ht="54" customHeight="1" s="46"/>
    <row r="350" ht="54" customHeight="1" s="46"/>
    <row r="351" ht="54" customHeight="1" s="46"/>
    <row r="352" ht="54" customHeight="1" s="46"/>
    <row r="353" ht="54" customHeight="1" s="46"/>
    <row r="354" ht="54" customHeight="1" s="46"/>
    <row r="355" ht="54" customHeight="1" s="46"/>
    <row r="356" ht="54" customHeight="1" s="46"/>
    <row r="357" ht="54" customHeight="1" s="46"/>
    <row r="358" ht="54" customHeight="1" s="46"/>
    <row r="359" ht="72" customHeight="1" s="46"/>
    <row r="360" ht="54" customHeight="1" s="46"/>
    <row r="361" ht="54" customHeight="1" s="46"/>
    <row r="362" ht="54" customHeight="1" s="46"/>
    <row r="363" ht="54" customHeight="1" s="46"/>
    <row r="364" ht="54" customHeight="1" s="46"/>
    <row r="365" ht="54" customHeight="1" s="46"/>
    <row r="366" ht="54" customHeight="1" s="46"/>
    <row r="367" ht="54" customHeight="1" s="46"/>
    <row r="368" ht="72" customHeight="1" s="46"/>
    <row r="369" ht="54" customHeight="1" s="46"/>
    <row r="370" ht="54" customHeight="1" s="46"/>
    <row r="371" ht="54" customHeight="1" s="46"/>
    <row r="372" ht="54" customHeight="1" s="46"/>
    <row r="373" ht="54" customHeight="1" s="46"/>
    <row r="374" ht="54" customHeight="1" s="46"/>
    <row r="375" ht="54" customHeight="1" s="46"/>
    <row r="376" ht="54" customHeight="1" s="46"/>
    <row r="377" ht="54" customHeight="1" s="46"/>
    <row r="378" ht="54" customHeight="1" s="46"/>
    <row r="379" ht="54" customHeight="1" s="46"/>
    <row r="380" ht="54" customHeight="1" s="46"/>
    <row r="381" ht="54" customHeight="1" s="46"/>
    <row r="382" ht="54" customHeight="1" s="46"/>
    <row r="383" ht="54" customHeight="1" s="46"/>
    <row r="384" ht="54" customHeight="1" s="46"/>
    <row r="385" ht="54" customHeight="1" s="46"/>
    <row r="386" ht="54" customHeight="1" s="46"/>
    <row r="387" ht="54" customHeight="1" s="46"/>
    <row r="388" ht="54" customHeight="1" s="46"/>
    <row r="389" ht="54" customHeight="1" s="46"/>
    <row r="390" ht="54" customHeight="1" s="46"/>
    <row r="391" ht="54" customHeight="1" s="46"/>
    <row r="392" ht="54" customHeight="1" s="46"/>
    <row r="393" ht="54" customHeight="1" s="46"/>
    <row r="394" ht="54" customHeight="1" s="46"/>
    <row r="395" ht="54" customHeight="1" s="46"/>
    <row r="396" ht="54" customHeight="1" s="46"/>
    <row r="397" ht="54" customHeight="1" s="46"/>
    <row r="398" ht="54" customHeight="1" s="46"/>
    <row r="399" ht="54" customHeight="1" s="46"/>
    <row r="400" ht="54" customHeight="1" s="46"/>
    <row r="401" ht="54" customHeight="1" s="46"/>
    <row r="402" ht="54" customHeight="1" s="46"/>
    <row r="403" ht="54" customHeight="1" s="46"/>
    <row r="404" ht="54" customHeight="1" s="46"/>
    <row r="405" ht="54" customHeight="1" s="46"/>
    <row r="406" ht="54" customHeight="1" s="46"/>
    <row r="407" ht="54" customHeight="1" s="46"/>
    <row r="408" ht="54" customHeight="1" s="46"/>
    <row r="409" ht="54" customHeight="1" s="46"/>
    <row r="410" ht="54" customHeight="1" s="46"/>
    <row r="411" ht="54" customHeight="1" s="46"/>
    <row r="412" ht="54" customHeight="1" s="46"/>
    <row r="413" ht="75.75" customHeight="1" s="46"/>
    <row r="414" ht="72" customHeight="1" s="46"/>
    <row r="415" ht="72" customHeight="1" s="46"/>
    <row r="416" ht="72" customHeight="1" s="46"/>
    <row r="424" ht="84.75" customHeight="1" s="46"/>
    <row r="425" ht="84.75" customHeight="1" s="46"/>
    <row r="426" ht="84.75" customHeight="1" s="46"/>
    <row r="427" ht="84.75" customHeight="1" s="46"/>
    <row r="429" ht="120" customHeight="1" s="46"/>
  </sheetData>
  <autoFilter ref="A5:Y41"/>
  <mergeCells count="2">
    <mergeCell ref="A1:X2"/>
    <mergeCell ref="A3:X3"/>
  </mergeCells>
  <conditionalFormatting sqref="S6:S41">
    <cfRule type="containsText" rank="0" priority="2" equalAverage="0" operator="containsText" aboveAverage="0" dxfId="6" text="重复" percent="0" bottom="0">
      <formula>NOT(ISERROR(SEARCH("重复",S6)))</formula>
    </cfRule>
  </conditionalFormatting>
  <conditionalFormatting sqref="K6:K41">
    <cfRule type="containsText" rank="0" priority="3" equalAverage="0" operator="containsText" aboveAverage="0" dxfId="7" text="已完成" percent="0" bottom="0">
      <formula>NOT(ISERROR(SEARCH("已完成",K6)))</formula>
    </cfRule>
    <cfRule type="containsText" rank="0" priority="4" equalAverage="0" operator="containsText" aboveAverage="0" dxfId="8" text="待制作" percent="0" bottom="0">
      <formula>NOT(ISERROR(SEARCH("待制作",K6)))</formula>
    </cfRule>
  </conditionalFormatting>
  <dataValidations count="3">
    <dataValidation sqref="C6:C41" showDropDown="0" showInputMessage="0" showErrorMessage="0" allowBlank="1" type="list" errorStyle="stop" operator="between">
      <formula1>"角色,敌人,武器,道具,场景,场景道具,基地资产包,UI,特效,音频"</formula1>
      <formula2>0</formula2>
    </dataValidation>
    <dataValidation sqref="K6:K41" showDropDown="0" showInputMessage="0" showErrorMessage="0" allowBlank="1" type="list" errorStyle="stop" operator="between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41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45" min="1" max="1"/>
    <col width="25.07" customWidth="1" style="45" min="2" max="2"/>
    <col width="52.52" customWidth="1" style="45" min="3" max="3"/>
    <col width="50.13" customWidth="1" style="45" min="4" max="4"/>
    <col width="45.35" customWidth="1" style="45" min="5" max="5"/>
    <col width="32.22" customWidth="1" style="45" min="6" max="6"/>
    <col width="42.97" customWidth="1" style="45" min="7" max="7"/>
    <col width="11.94" customWidth="1" style="45" min="8" max="8"/>
    <col width="14.33" customWidth="1" style="45" min="9" max="9"/>
    <col width="21.48" customWidth="1" style="45" min="10" max="10"/>
    <col width="31.03" customWidth="1" style="45" min="11" max="11"/>
    <col width="28.65" customWidth="1" style="45" min="12" max="13"/>
    <col width="26.26" customWidth="1" style="45" min="14" max="14"/>
    <col width="11.94" customWidth="1" style="45" min="15" max="15"/>
    <col width="52.52" customWidth="1" style="45" min="16" max="16"/>
  </cols>
  <sheetData>
    <row r="1" ht="30" customHeight="1" s="46">
      <c r="A1" s="75" t="inlineStr">
        <is>
          <t>ShellStorm2 · 武器 3D Prefab</t>
        </is>
      </c>
    </row>
    <row r="2" ht="33.75" customHeight="1" s="46">
      <c r="A2" s="76" t="inlineStr">
        <is>
          <t>一行一个独立PackedScene；地面模型使用ground角色，状态以各行记录为准。</t>
        </is>
      </c>
    </row>
    <row r="4" ht="30" customHeight="1" s="46">
      <c r="A4" s="77" t="inlineStr">
        <is>
          <t>AssetID</t>
        </is>
      </c>
      <c r="B4" s="78" t="inlineStr">
        <is>
          <t>中文名</t>
        </is>
      </c>
      <c r="C4" s="79" t="inlineStr">
        <is>
          <t>Prefab路径</t>
        </is>
      </c>
      <c r="D4" s="79" t="inlineStr">
        <is>
          <t>GLB模型路径</t>
        </is>
      </c>
      <c r="E4" s="79" t="inlineStr">
        <is>
          <t>Blender源文件</t>
        </is>
      </c>
      <c r="F4" s="78" t="inlineStr">
        <is>
          <t>功能说明</t>
        </is>
      </c>
      <c r="G4" s="78" t="inlineStr">
        <is>
          <t>功能脚本路径</t>
        </is>
      </c>
      <c r="H4" s="78" t="inlineStr">
        <is>
          <t>碰撞开关</t>
        </is>
      </c>
      <c r="I4" s="78" t="inlineStr">
        <is>
          <t>碰撞归属</t>
        </is>
      </c>
      <c r="J4" s="78" t="inlineStr">
        <is>
          <t>碰撞方式</t>
        </is>
      </c>
      <c r="K4" s="78" t="inlineStr">
        <is>
          <t>标准尺寸</t>
        </is>
      </c>
      <c r="L4" s="78" t="inlineStr">
        <is>
          <t>原点与朝向</t>
        </is>
      </c>
      <c r="M4" s="78" t="inlineStr">
        <is>
          <t>使用位置</t>
        </is>
      </c>
      <c r="N4" s="78" t="inlineStr">
        <is>
          <t>制作状态</t>
        </is>
      </c>
      <c r="O4" s="78" t="inlineStr">
        <is>
          <t>版本</t>
        </is>
      </c>
      <c r="P4" s="80" t="inlineStr">
        <is>
          <t>备注</t>
        </is>
      </c>
    </row>
    <row r="5" ht="66" customHeight="1" s="46">
      <c r="A5" s="81" t="inlineStr">
        <is>
          <t>WPN-MELEE-BP-BASEBALL-BAT</t>
        </is>
      </c>
      <c r="B5" s="82" t="inlineStr">
        <is>
          <t>废土棒球棍 / ground</t>
        </is>
      </c>
      <c r="C5" s="83" t="inlineStr">
        <is>
          <t>assets/art/items_weapons/weapons/melee_baseball_bat/runtime/wpn_melee_baseball_bat_ground_root_top3d.tscn</t>
        </is>
      </c>
      <c r="D5" s="83" t="inlineStr">
        <is>
          <t>assets/art/items_weapons/weapons/melee_baseball_bat/components/wpn_melee_baseball_bat_ground_visual_top3d.glb</t>
        </is>
      </c>
      <c r="E5" s="83" t="inlineStr">
        <is>
          <t>art_source/items_weapons/weapons/melee_baseball_bat/source/wpn_melee_baseball_bat_ground_source_v001.blend</t>
        </is>
      </c>
      <c r="F5" s="82" t="inlineStr">
        <is>
          <t>纯视觉；游戏规则由原系统持有</t>
        </is>
      </c>
      <c r="G5" s="83" t="inlineStr">
        <is>
          <t>src/world3d/ItemModelFactory3D.gd; src/combat3d/WeaponModel3D.gd</t>
        </is>
      </c>
      <c r="H5" s="82" t="inlineStr">
        <is>
          <t>无</t>
        </is>
      </c>
      <c r="I5" s="82" t="inlineStr">
        <is>
          <t>外部玩法</t>
        </is>
      </c>
      <c r="J5" s="82" t="inlineStr">
        <is>
          <t>外部拾取球/原近战扫掠</t>
        </is>
      </c>
      <c r="K5" s="82" t="inlineStr">
        <is>
          <t>[0.46580973267555237, 0.46580973267555237, 1.7349998950958252]；194三角</t>
        </is>
      </c>
      <c r="L5" s="82" t="inlineStr">
        <is>
          <t>existing_grip；Godot Y上，近战-Z前</t>
        </is>
      </c>
      <c r="M5" s="82" t="inlineStr">
        <is>
          <t>weapon_baseball_bat</t>
        </is>
      </c>
      <c r="N5" s="82" t="inlineStr">
        <is>
          <t>已优化并正式接入</t>
        </is>
      </c>
      <c r="O5" s="83" t="inlineStr">
        <is>
          <t>v001</t>
        </is>
      </c>
      <c r="P5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6" ht="66" customHeight="1" s="46">
      <c r="A6" s="81" t="inlineStr">
        <is>
          <t>WPN-MELEE-BP-GREATBLADE</t>
        </is>
      </c>
      <c r="B6" s="82" t="inlineStr">
        <is>
          <t>巨型工业断刃 / ground</t>
        </is>
      </c>
      <c r="C6" s="83" t="inlineStr">
        <is>
          <t>assets/art/items_weapons/weapons/melee_greatblade/runtime/wpn_melee_greatblade_ground_root_top3d.tscn</t>
        </is>
      </c>
      <c r="D6" s="83" t="inlineStr">
        <is>
          <t>assets/art/items_weapons/weapons/melee_greatblade/components/wpn_melee_greatblade_ground_visual_top3d.glb</t>
        </is>
      </c>
      <c r="E6" s="83" t="inlineStr">
        <is>
          <t>art_source/items_weapons/weapons/melee_greatblade/source/wpn_melee_greatblade_ground_source_v001.blend</t>
        </is>
      </c>
      <c r="F6" s="82" t="inlineStr">
        <is>
          <t>纯视觉；游戏规则由原系统持有</t>
        </is>
      </c>
      <c r="G6" s="83" t="inlineStr">
        <is>
          <t>src/world3d/ItemModelFactory3D.gd; src/combat3d/WeaponModel3D.gd</t>
        </is>
      </c>
      <c r="H6" s="82" t="inlineStr">
        <is>
          <t>无</t>
        </is>
      </c>
      <c r="I6" s="82" t="inlineStr">
        <is>
          <t>外部玩法</t>
        </is>
      </c>
      <c r="J6" s="82" t="inlineStr">
        <is>
          <t>外部拾取球/原近战扫掠</t>
        </is>
      </c>
      <c r="K6" s="82" t="inlineStr">
        <is>
          <t>[1.1473641395568848, 0.407951682806015, 2.9194042682647705]；168三角</t>
        </is>
      </c>
      <c r="L6" s="82" t="inlineStr">
        <is>
          <t>existing_grip；Godot Y上，近战-Z前</t>
        </is>
      </c>
      <c r="M6" s="82" t="inlineStr">
        <is>
          <t>weapon_greatblade</t>
        </is>
      </c>
      <c r="N6" s="82" t="inlineStr">
        <is>
          <t>已优化并正式接入</t>
        </is>
      </c>
      <c r="O6" s="83" t="inlineStr">
        <is>
          <t>v001</t>
        </is>
      </c>
      <c r="P6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7" ht="66" customHeight="1" s="46">
      <c r="A7" s="81" t="inlineStr">
        <is>
          <t>WPN-MELEE-BP-WARAXE</t>
        </is>
      </c>
      <c r="B7" s="82" t="inlineStr">
        <is>
          <t>攻城裂甲斧 / ground</t>
        </is>
      </c>
      <c r="C7" s="83" t="inlineStr">
        <is>
          <t>assets/art/items_weapons/weapons/melee_waraxe/runtime/wpn_melee_waraxe_ground_root_top3d.tscn</t>
        </is>
      </c>
      <c r="D7" s="83" t="inlineStr">
        <is>
          <t>assets/art/items_weapons/weapons/melee_waraxe/components/wpn_melee_waraxe_ground_visual_top3d.glb</t>
        </is>
      </c>
      <c r="E7" s="83" t="inlineStr">
        <is>
          <t>art_source/items_weapons/weapons/melee_waraxe/source/wpn_melee_waraxe_ground_source_v001.blend</t>
        </is>
      </c>
      <c r="F7" s="82" t="inlineStr">
        <is>
          <t>纯视觉；游戏规则由原系统持有</t>
        </is>
      </c>
      <c r="G7" s="83" t="inlineStr">
        <is>
          <t>src/world3d/ItemModelFactory3D.gd; src/combat3d/WeaponModel3D.gd</t>
        </is>
      </c>
      <c r="H7" s="82" t="inlineStr">
        <is>
          <t>无</t>
        </is>
      </c>
      <c r="I7" s="82" t="inlineStr">
        <is>
          <t>外部玩法</t>
        </is>
      </c>
      <c r="J7" s="82" t="inlineStr">
        <is>
          <t>外部拾取球/原近战扫掠</t>
        </is>
      </c>
      <c r="K7" s="82" t="inlineStr">
        <is>
          <t>[1.6731491088867188, 0.45187240839004517, 2.8700003623962402]；152三角</t>
        </is>
      </c>
      <c r="L7" s="82" t="inlineStr">
        <is>
          <t>existing_grip；Godot Y上，近战-Z前</t>
        </is>
      </c>
      <c r="M7" s="82" t="inlineStr">
        <is>
          <t>weapon_waraxe</t>
        </is>
      </c>
      <c r="N7" s="82" t="inlineStr">
        <is>
          <t>已优化并正式接入</t>
        </is>
      </c>
      <c r="O7" s="83" t="inlineStr">
        <is>
          <t>v001</t>
        </is>
      </c>
      <c r="P7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8" ht="66" customHeight="1" s="46">
      <c r="A8" s="85" t="inlineStr">
        <is>
          <t>WPN-GUN-BP-RIFLE</t>
        </is>
      </c>
      <c r="B8" s="86" t="inlineStr">
        <is>
          <t>步枪 / 扫帚步枪造型</t>
        </is>
      </c>
      <c r="C8" s="87" t="inlineStr">
        <is>
          <t>assets/art/weapons/weapon_3d/runtime/broom_rifle/wpn_broom_rifle_root_top3d_v001.tscn</t>
        </is>
      </c>
      <c r="D8" s="87" t="inlineStr">
        <is>
          <t>assets/art/weapons/weapon_3d/components/broom_rifle/wpn_broom_rifle_visual_top3d_v003.glb</t>
        </is>
      </c>
      <c r="E8" s="87" t="inlineStr">
        <is>
          <t>art_source/weapons/weapon_3d/source/broom_rifle/wpn_broom_rifle_source_v003.blend</t>
        </is>
      </c>
      <c r="F8" s="86" t="inlineStr">
        <is>
          <t>武器3D表现Prefab；由武器系统装配</t>
        </is>
      </c>
      <c r="G8" s="87" t="inlineStr">
        <is>
          <t>src/player3d/WeaponModel3D.gd</t>
        </is>
      </c>
      <c r="H8" s="86" t="inlineStr">
        <is>
          <t>无</t>
        </is>
      </c>
      <c r="I8" s="86" t="inlineStr">
        <is>
          <t>无</t>
        </is>
      </c>
      <c r="J8" s="86" t="inlineStr">
        <is>
          <t>无</t>
        </is>
      </c>
      <c r="K8" s="86" t="inlineStr">
        <is>
          <t>握把原点；local -Z枪口；3材质；独立GLB/PackedScene</t>
        </is>
      </c>
      <c r="L8" s="87" t="inlineStr">
        <is>
          <t>-Z</t>
        </is>
      </c>
      <c r="M8" s="86" t="inlineStr">
        <is>
          <t>手持/背负/地面/UI 共用独立PackedScene</t>
        </is>
      </c>
      <c r="N8" s="86" t="inlineStr">
        <is>
          <t>正式美术已接入</t>
        </is>
      </c>
      <c r="O8" s="87" t="inlineStr">
        <is>
          <t>v001</t>
        </is>
      </c>
      <c r="P8" s="88" t="inlineStr">
        <is>
          <t>根节点=扫帚步枪(Node3D)</t>
        </is>
      </c>
    </row>
    <row r="9" ht="66" customHeight="1" s="46">
      <c r="A9" s="85" t="inlineStr">
        <is>
          <t>WPN-GUN-FUTURE-CAMERA-BLASTER-3D</t>
        </is>
      </c>
      <c r="B9" s="86" t="inlineStr">
        <is>
          <t>相机爆能枪</t>
        </is>
      </c>
      <c r="C9" s="87" t="inlineStr">
        <is>
          <t>assets/art/weapons/weapon_3d/runtime/camera_blaster/wpn_camera_blaster_root_top3d_v001.tscn</t>
        </is>
      </c>
      <c r="D9" s="87" t="inlineStr">
        <is>
          <t>assets/art/weapons/weapon_3d/components/camera_blaster/wpn_camera_blaster_visual_top3d_v003.glb</t>
        </is>
      </c>
      <c r="E9" s="87" t="inlineStr">
        <is>
          <t>art_source/weapons/weapon_3d/source/camera_blaster/wpn_camera_blaster_source_v003.blend</t>
        </is>
      </c>
      <c r="F9" s="86" t="inlineStr">
        <is>
          <t>武器3D表现Prefab；由武器系统装配</t>
        </is>
      </c>
      <c r="G9" s="87" t="inlineStr">
        <is>
          <t>src/player3d/WeaponModel3D.gd</t>
        </is>
      </c>
      <c r="H9" s="86" t="inlineStr">
        <is>
          <t>无</t>
        </is>
      </c>
      <c r="I9" s="86" t="inlineStr">
        <is>
          <t>无</t>
        </is>
      </c>
      <c r="J9" s="86" t="inlineStr">
        <is>
          <t>无</t>
        </is>
      </c>
      <c r="K9" s="86" t="inlineStr">
        <is>
          <t>握把原点；local -Z枪口；3材质；独立GLB/PackedScene</t>
        </is>
      </c>
      <c r="L9" s="87" t="inlineStr">
        <is>
          <t>-Z</t>
        </is>
      </c>
      <c r="M9" s="86" t="inlineStr">
        <is>
          <t>未来枪械池/独立资产</t>
        </is>
      </c>
      <c r="N9" s="86" t="inlineStr">
        <is>
          <t>正式美术已入库/待玩法映射</t>
        </is>
      </c>
      <c r="O9" s="87" t="inlineStr">
        <is>
          <t>v001</t>
        </is>
      </c>
      <c r="P9" s="88" t="inlineStr">
        <is>
          <t>根节点=相机爆能枪(Node3D)</t>
        </is>
      </c>
    </row>
    <row r="10" ht="66" customHeight="1" s="46">
      <c r="A10" s="85" t="inlineStr">
        <is>
          <t>WPN-GUN-BP-SNIPER</t>
        </is>
      </c>
      <c r="B10" s="86" t="inlineStr">
        <is>
          <t>弹弓狙击 / 糖果狙击枪造型</t>
        </is>
      </c>
      <c r="C10" s="87" t="inlineStr">
        <is>
          <t>assets/art/weapons/weapon_3d/runtime/candy_sniper/wpn_candy_sniper_root_top3d_v001.tscn</t>
        </is>
      </c>
      <c r="D10" s="87" t="inlineStr">
        <is>
          <t>assets/art/weapons/weapon_3d/components/candy_sniper/wpn_candy_sniper_visual_top3d_v003.glb</t>
        </is>
      </c>
      <c r="E10" s="87" t="inlineStr">
        <is>
          <t>art_source/weapons/weapon_3d/source/candy_sniper/wpn_candy_sniper_source_v003.blend</t>
        </is>
      </c>
      <c r="F10" s="86" t="inlineStr">
        <is>
          <t>武器3D表现Prefab；由武器系统装配</t>
        </is>
      </c>
      <c r="G10" s="87" t="inlineStr">
        <is>
          <t>src/player3d/WeaponModel3D.gd</t>
        </is>
      </c>
      <c r="H10" s="86" t="inlineStr">
        <is>
          <t>无</t>
        </is>
      </c>
      <c r="I10" s="86" t="inlineStr">
        <is>
          <t>无</t>
        </is>
      </c>
      <c r="J10" s="86" t="inlineStr">
        <is>
          <t>无</t>
        </is>
      </c>
      <c r="K10" s="86" t="inlineStr">
        <is>
          <t>握把原点；local -Z枪口；3材质；独立GLB/PackedScene</t>
        </is>
      </c>
      <c r="L10" s="87" t="inlineStr">
        <is>
          <t>-Z</t>
        </is>
      </c>
      <c r="M10" s="86" t="inlineStr">
        <is>
          <t>手持/背负/地面/UI 共用独立PackedScene</t>
        </is>
      </c>
      <c r="N10" s="86" t="inlineStr">
        <is>
          <t>正式美术已接入</t>
        </is>
      </c>
      <c r="O10" s="87" t="inlineStr">
        <is>
          <t>v001</t>
        </is>
      </c>
      <c r="P10" s="88" t="inlineStr">
        <is>
          <t>根节点=糖果狙击枪(Node3D)</t>
        </is>
      </c>
    </row>
    <row r="11" ht="66" customHeight="1" s="46">
      <c r="A11" s="85" t="inlineStr">
        <is>
          <t>WPN-GUN-FUTURE-CROCODILE-CANNON-3D</t>
        </is>
      </c>
      <c r="B11" s="86" t="inlineStr">
        <is>
          <t>鳄鱼加农炮</t>
        </is>
      </c>
      <c r="C11" s="87" t="inlineStr">
        <is>
          <t>assets/art/weapons/weapon_3d/runtime/crocodile_cannon/wpn_crocodile_cannon_root_top3d_v001.tscn</t>
        </is>
      </c>
      <c r="D11" s="87" t="inlineStr">
        <is>
          <t>assets/art/weapons/weapon_3d/components/crocodile_cannon/wpn_crocodile_cannon_visual_top3d_v003.glb</t>
        </is>
      </c>
      <c r="E11" s="87" t="inlineStr">
        <is>
          <t>art_source/weapons/weapon_3d/source/crocodile_cannon/wpn_crocodile_cannon_source_v003.blend</t>
        </is>
      </c>
      <c r="F11" s="86" t="inlineStr">
        <is>
          <t>武器3D表现Prefab；由武器系统装配</t>
        </is>
      </c>
      <c r="G11" s="87" t="inlineStr">
        <is>
          <t>src/player3d/WeaponModel3D.gd</t>
        </is>
      </c>
      <c r="H11" s="86" t="inlineStr">
        <is>
          <t>无</t>
        </is>
      </c>
      <c r="I11" s="86" t="inlineStr">
        <is>
          <t>无</t>
        </is>
      </c>
      <c r="J11" s="86" t="inlineStr">
        <is>
          <t>无</t>
        </is>
      </c>
      <c r="K11" s="86" t="inlineStr">
        <is>
          <t>握把原点；local -Z枪口；3材质；独立GLB/PackedScene</t>
        </is>
      </c>
      <c r="L11" s="87" t="inlineStr">
        <is>
          <t>-Z</t>
        </is>
      </c>
      <c r="M11" s="86" t="inlineStr">
        <is>
          <t>未来枪械池/独立资产</t>
        </is>
      </c>
      <c r="N11" s="86" t="inlineStr">
        <is>
          <t>正式美术已入库/待玩法映射</t>
        </is>
      </c>
      <c r="O11" s="87" t="inlineStr">
        <is>
          <t>v001</t>
        </is>
      </c>
      <c r="P11" s="88" t="inlineStr">
        <is>
          <t>根节点=鳄鱼加农炮(Node3D)</t>
        </is>
      </c>
    </row>
    <row r="12" ht="66" customHeight="1" s="46">
      <c r="A12" s="85" t="inlineStr">
        <is>
          <t>WPN-GUN-BP-SHOTGUN</t>
        </is>
      </c>
      <c r="B12" s="86" t="inlineStr">
        <is>
          <t>散射喷壶 / 双管炮造型</t>
        </is>
      </c>
      <c r="C12" s="87" t="inlineStr">
        <is>
          <t>assets/art/weapons/weapon_3d/runtime/double_barrel_cannon/wpn_double_barrel_cannon_root_top3d_v001.tscn</t>
        </is>
      </c>
      <c r="D12" s="87" t="inlineStr">
        <is>
          <t>assets/art/weapons/weapon_3d/components/double_barrel_cannon/wpn_double_barrel_cannon_visual_top3d_v003.glb</t>
        </is>
      </c>
      <c r="E12" s="87" t="inlineStr">
        <is>
          <t>art_source/weapons/weapon_3d/source/double_barrel_cannon/wpn_double_barrel_cannon_source_v003.blend</t>
        </is>
      </c>
      <c r="F12" s="86" t="inlineStr">
        <is>
          <t>武器3D表现Prefab；由武器系统装配</t>
        </is>
      </c>
      <c r="G12" s="87" t="inlineStr">
        <is>
          <t>src/player3d/WeaponModel3D.gd</t>
        </is>
      </c>
      <c r="H12" s="86" t="inlineStr">
        <is>
          <t>无</t>
        </is>
      </c>
      <c r="I12" s="86" t="inlineStr">
        <is>
          <t>无</t>
        </is>
      </c>
      <c r="J12" s="86" t="inlineStr">
        <is>
          <t>无</t>
        </is>
      </c>
      <c r="K12" s="86" t="inlineStr">
        <is>
          <t>握把原点；local -Z枪口；3材质；独立GLB/PackedScene</t>
        </is>
      </c>
      <c r="L12" s="87" t="inlineStr">
        <is>
          <t>-Z</t>
        </is>
      </c>
      <c r="M12" s="86" t="inlineStr">
        <is>
          <t>手持/背负/地面/UI 共用独立PackedScene</t>
        </is>
      </c>
      <c r="N12" s="86" t="inlineStr">
        <is>
          <t>正式美术已接入</t>
        </is>
      </c>
      <c r="O12" s="87" t="inlineStr">
        <is>
          <t>v001</t>
        </is>
      </c>
      <c r="P12" s="88" t="inlineStr">
        <is>
          <t>根节点=双管炮(Node3D)</t>
        </is>
      </c>
    </row>
    <row r="13" ht="66" customHeight="1" s="46">
      <c r="A13" s="85" t="inlineStr">
        <is>
          <t>WPN-GUN-FUTURE-FAN-BLASTER-3D</t>
        </is>
      </c>
      <c r="B13" s="86" t="inlineStr">
        <is>
          <t>风扇爆能枪</t>
        </is>
      </c>
      <c r="C13" s="87" t="inlineStr">
        <is>
          <t>assets/art/weapons/weapon_3d/runtime/fan_blaster/wpn_fan_blaster_root_top3d_v001.tscn</t>
        </is>
      </c>
      <c r="D13" s="87" t="inlineStr">
        <is>
          <t>assets/art/weapons/weapon_3d/components/fan_blaster/wpn_fan_blaster_visual_top3d_v003.glb</t>
        </is>
      </c>
      <c r="E13" s="87" t="inlineStr">
        <is>
          <t>art_source/weapons/weapon_3d/source/fan_blaster/wpn_fan_blaster_source_v003.blend</t>
        </is>
      </c>
      <c r="F13" s="86" t="inlineStr">
        <is>
          <t>武器3D表现Prefab；由武器系统装配</t>
        </is>
      </c>
      <c r="G13" s="87" t="inlineStr">
        <is>
          <t>src/player3d/WeaponModel3D.gd</t>
        </is>
      </c>
      <c r="H13" s="86" t="inlineStr">
        <is>
          <t>无</t>
        </is>
      </c>
      <c r="I13" s="86" t="inlineStr">
        <is>
          <t>无</t>
        </is>
      </c>
      <c r="J13" s="86" t="inlineStr">
        <is>
          <t>无</t>
        </is>
      </c>
      <c r="K13" s="86" t="inlineStr">
        <is>
          <t>握把原点；local -Z枪口；3材质；独立GLB/PackedScene</t>
        </is>
      </c>
      <c r="L13" s="87" t="inlineStr">
        <is>
          <t>-Z</t>
        </is>
      </c>
      <c r="M13" s="86" t="inlineStr">
        <is>
          <t>未来枪械池/独立资产</t>
        </is>
      </c>
      <c r="N13" s="86" t="inlineStr">
        <is>
          <t>正式美术已入库/待玩法映射</t>
        </is>
      </c>
      <c r="O13" s="87" t="inlineStr">
        <is>
          <t>v001</t>
        </is>
      </c>
      <c r="P13" s="88" t="inlineStr">
        <is>
          <t>根节点=风扇爆能枪(Node3D)</t>
        </is>
      </c>
    </row>
    <row r="14" ht="66" customHeight="1" s="46">
      <c r="A14" s="85" t="inlineStr">
        <is>
          <t>WPN-GUN-FUTURE-FRYING-PAN-CANNON-3D</t>
        </is>
      </c>
      <c r="B14" s="86" t="inlineStr">
        <is>
          <t>平底锅加农炮</t>
        </is>
      </c>
      <c r="C14" s="87" t="inlineStr">
        <is>
          <t>assets/art/weapons/weapon_3d/runtime/frying_pan_cannon/wpn_frying_pan_cannon_root_top3d_v001.tscn</t>
        </is>
      </c>
      <c r="D14" s="87" t="inlineStr">
        <is>
          <t>assets/art/weapons/weapon_3d/components/frying_pan_cannon/wpn_frying_pan_cannon_visual_top3d_v003.glb</t>
        </is>
      </c>
      <c r="E14" s="87" t="inlineStr">
        <is>
          <t>art_source/weapons/weapon_3d/source/frying_pan_cannon/wpn_frying_pan_cannon_source_v003.blend</t>
        </is>
      </c>
      <c r="F14" s="86" t="inlineStr">
        <is>
          <t>武器3D表现Prefab；由武器系统装配</t>
        </is>
      </c>
      <c r="G14" s="87" t="inlineStr">
        <is>
          <t>src/player3d/WeaponModel3D.gd</t>
        </is>
      </c>
      <c r="H14" s="86" t="inlineStr">
        <is>
          <t>无</t>
        </is>
      </c>
      <c r="I14" s="86" t="inlineStr">
        <is>
          <t>无</t>
        </is>
      </c>
      <c r="J14" s="86" t="inlineStr">
        <is>
          <t>无</t>
        </is>
      </c>
      <c r="K14" s="86" t="inlineStr">
        <is>
          <t>握把原点；local -Z枪口；3材质；独立GLB/PackedScene</t>
        </is>
      </c>
      <c r="L14" s="87" t="inlineStr">
        <is>
          <t>-Z</t>
        </is>
      </c>
      <c r="M14" s="86" t="inlineStr">
        <is>
          <t>未来枪械池/独立资产</t>
        </is>
      </c>
      <c r="N14" s="86" t="inlineStr">
        <is>
          <t>正式美术已入库/待玩法映射</t>
        </is>
      </c>
      <c r="O14" s="87" t="inlineStr">
        <is>
          <t>v001</t>
        </is>
      </c>
      <c r="P14" s="88" t="inlineStr">
        <is>
          <t>根节点=平底锅加农炮(Node3D)</t>
        </is>
      </c>
    </row>
    <row r="15" ht="66" customHeight="1" s="46">
      <c r="A15" s="85" t="inlineStr">
        <is>
          <t>WPN-GUN-FUTURE-GUITAR-BLASTER-3D</t>
        </is>
      </c>
      <c r="B15" s="86" t="inlineStr">
        <is>
          <t>吉他爆能枪</t>
        </is>
      </c>
      <c r="C15" s="87" t="inlineStr">
        <is>
          <t>assets/art/weapons/weapon_3d/runtime/guitar_blaster/wpn_guitar_blaster_root_top3d_v001.tscn</t>
        </is>
      </c>
      <c r="D15" s="87" t="inlineStr">
        <is>
          <t>assets/art/weapons/weapon_3d/components/guitar_blaster/wpn_guitar_blaster_visual_top3d_v003.glb</t>
        </is>
      </c>
      <c r="E15" s="87" t="inlineStr">
        <is>
          <t>art_source/weapons/weapon_3d/source/guitar_blaster/wpn_guitar_blaster_source_v003.blend</t>
        </is>
      </c>
      <c r="F15" s="86" t="inlineStr">
        <is>
          <t>武器3D表现Prefab；由武器系统装配</t>
        </is>
      </c>
      <c r="G15" s="87" t="inlineStr">
        <is>
          <t>src/player3d/WeaponModel3D.gd</t>
        </is>
      </c>
      <c r="H15" s="86" t="inlineStr">
        <is>
          <t>无</t>
        </is>
      </c>
      <c r="I15" s="86" t="inlineStr">
        <is>
          <t>无</t>
        </is>
      </c>
      <c r="J15" s="86" t="inlineStr">
        <is>
          <t>无</t>
        </is>
      </c>
      <c r="K15" s="86" t="inlineStr">
        <is>
          <t>握把原点；local -Z枪口；3材质；独立GLB/PackedScene</t>
        </is>
      </c>
      <c r="L15" s="87" t="inlineStr">
        <is>
          <t>-Z</t>
        </is>
      </c>
      <c r="M15" s="86" t="inlineStr">
        <is>
          <t>未来枪械池/独立资产</t>
        </is>
      </c>
      <c r="N15" s="86" t="inlineStr">
        <is>
          <t>正式美术已入库/待玩法映射</t>
        </is>
      </c>
      <c r="O15" s="87" t="inlineStr">
        <is>
          <t>v001</t>
        </is>
      </c>
      <c r="P15" s="88" t="inlineStr">
        <is>
          <t>根节点=吉他爆能枪(Node3D)</t>
        </is>
      </c>
    </row>
    <row r="16" ht="66" customHeight="1" s="46">
      <c r="A16" s="85" t="inlineStr">
        <is>
          <t>WPN-GUN-BP-CHARGE</t>
        </is>
      </c>
      <c r="B16" s="86" t="inlineStr">
        <is>
          <t>蓄力萝卜炮 / 口香糖机造型</t>
        </is>
      </c>
      <c r="C16" s="87" t="inlineStr">
        <is>
          <t>assets/art/weapons/weapon_3d/runtime/gumball_cannon/wpn_gumball_cannon_root_top3d_v001.tscn</t>
        </is>
      </c>
      <c r="D16" s="87" t="inlineStr">
        <is>
          <t>assets/art/weapons/weapon_3d/components/gumball_cannon/wpn_gumball_cannon_visual_top3d_v003.glb</t>
        </is>
      </c>
      <c r="E16" s="87" t="inlineStr">
        <is>
          <t>art_source/weapons/weapon_3d/source/gumball_cannon/wpn_gumball_cannon_source_v003.blend</t>
        </is>
      </c>
      <c r="F16" s="86" t="inlineStr">
        <is>
          <t>武器3D表现Prefab；由武器系统装配</t>
        </is>
      </c>
      <c r="G16" s="87" t="inlineStr">
        <is>
          <t>src/player3d/WeaponModel3D.gd</t>
        </is>
      </c>
      <c r="H16" s="86" t="inlineStr">
        <is>
          <t>无</t>
        </is>
      </c>
      <c r="I16" s="86" t="inlineStr">
        <is>
          <t>无</t>
        </is>
      </c>
      <c r="J16" s="86" t="inlineStr">
        <is>
          <t>无</t>
        </is>
      </c>
      <c r="K16" s="86" t="inlineStr">
        <is>
          <t>握把原点；local -Z枪口；3材质；独立GLB/PackedScene</t>
        </is>
      </c>
      <c r="L16" s="87" t="inlineStr">
        <is>
          <t>-Z</t>
        </is>
      </c>
      <c r="M16" s="86" t="inlineStr">
        <is>
          <t>手持/背负/地面/UI 共用独立PackedScene</t>
        </is>
      </c>
      <c r="N16" s="86" t="inlineStr">
        <is>
          <t>正式美术已接入</t>
        </is>
      </c>
      <c r="O16" s="87" t="inlineStr">
        <is>
          <t>v001</t>
        </is>
      </c>
      <c r="P16" s="88" t="inlineStr">
        <is>
          <t>根节点=口香糖机加农炮(Node3D)</t>
        </is>
      </c>
    </row>
    <row r="17" ht="66" customHeight="1" s="46">
      <c r="A17" s="85" t="inlineStr">
        <is>
          <t>WPN-GUN-BP-PISTOL</t>
        </is>
      </c>
      <c r="B17" s="86" t="inlineStr">
        <is>
          <t>豌豆手枪 / 吹风机造型</t>
        </is>
      </c>
      <c r="C17" s="87" t="inlineStr">
        <is>
          <t>assets/art/weapons/weapon_3d/runtime/hair_dryer/wpn_hair_dryer_root_top3d_v001.tscn</t>
        </is>
      </c>
      <c r="D17" s="87" t="inlineStr">
        <is>
          <t>assets/art/weapons/weapon_3d/components/hair_dryer/wpn_hair_dryer_visual_top3d_v003.glb</t>
        </is>
      </c>
      <c r="E17" s="87" t="inlineStr">
        <is>
          <t>art_source/weapons/weapon_3d/source/hair_dryer/wpn_hair_dryer_source_v003.blend</t>
        </is>
      </c>
      <c r="F17" s="86" t="inlineStr">
        <is>
          <t>武器3D表现Prefab；由武器系统装配</t>
        </is>
      </c>
      <c r="G17" s="87" t="inlineStr">
        <is>
          <t>src/combat3d/WeaponModel3D.gd</t>
        </is>
      </c>
      <c r="H17" s="86" t="inlineStr">
        <is>
          <t>无</t>
        </is>
      </c>
      <c r="I17" s="86" t="inlineStr">
        <is>
          <t>无</t>
        </is>
      </c>
      <c r="J17" s="86" t="inlineStr">
        <is>
          <t>无</t>
        </is>
      </c>
      <c r="K17" s="87" t="inlineStr">
        <is>
          <t>GripSocket根原点；可见握把中心校正到根；local -Z枪口；3材质；独立GLB/PackedScene</t>
        </is>
      </c>
      <c r="L17" s="87" t="inlineStr">
        <is>
          <t>-Z</t>
        </is>
      </c>
      <c r="M17" s="86" t="inlineStr">
        <is>
          <t>手持/背负/地面/UI 共用独立PackedScene</t>
        </is>
      </c>
      <c r="N17" s="86" t="inlineStr">
        <is>
          <t>正式美术已接入</t>
        </is>
      </c>
      <c r="O17" s="87" t="inlineStr">
        <is>
          <t>v001</t>
        </is>
      </c>
      <c r="P17" s="88" t="inlineStr">
        <is>
          <t>根节点=吹风机(Node3D)；VisualRoot/全部非Grip挂点统一偏移(0,-0.122838,-0.168785)；GripSocket=手掌球中心；待机/开火枪口轴与真实弹道0度差</t>
        </is>
      </c>
    </row>
    <row r="18" ht="66" customHeight="1" s="46">
      <c r="A18" s="85" t="inlineStr">
        <is>
          <t>WPN-GUN-FUTURE-MEGAPHONE-CANNON-3D</t>
        </is>
      </c>
      <c r="B18" s="86" t="inlineStr">
        <is>
          <t>扩音器加农炮</t>
        </is>
      </c>
      <c r="C18" s="87" t="inlineStr">
        <is>
          <t>assets/art/weapons/weapon_3d/runtime/megaphone_cannon/wpn_megaphone_cannon_root_top3d_v001.tscn</t>
        </is>
      </c>
      <c r="D18" s="87" t="inlineStr">
        <is>
          <t>assets/art/weapons/weapon_3d/components/megaphone_cannon/wpn_megaphone_cannon_visual_top3d_v003.glb</t>
        </is>
      </c>
      <c r="E18" s="87" t="inlineStr">
        <is>
          <t>art_source/weapons/weapon_3d/source/megaphone_cannon/wpn_megaphone_cannon_source_v003.blend</t>
        </is>
      </c>
      <c r="F18" s="86" t="inlineStr">
        <is>
          <t>武器3D表现Prefab；由武器系统装配</t>
        </is>
      </c>
      <c r="G18" s="87" t="inlineStr">
        <is>
          <t>src/player3d/WeaponModel3D.gd</t>
        </is>
      </c>
      <c r="H18" s="86" t="inlineStr">
        <is>
          <t>无</t>
        </is>
      </c>
      <c r="I18" s="86" t="inlineStr">
        <is>
          <t>无</t>
        </is>
      </c>
      <c r="J18" s="86" t="inlineStr">
        <is>
          <t>无</t>
        </is>
      </c>
      <c r="K18" s="86" t="inlineStr">
        <is>
          <t>握把原点；local -Z枪口；3材质；独立GLB/PackedScene</t>
        </is>
      </c>
      <c r="L18" s="87" t="inlineStr">
        <is>
          <t>-Z</t>
        </is>
      </c>
      <c r="M18" s="86" t="inlineStr">
        <is>
          <t>未来枪械池/独立资产</t>
        </is>
      </c>
      <c r="N18" s="86" t="inlineStr">
        <is>
          <t>正式美术已入库/待玩法映射</t>
        </is>
      </c>
      <c r="O18" s="87" t="inlineStr">
        <is>
          <t>v001</t>
        </is>
      </c>
      <c r="P18" s="88" t="inlineStr">
        <is>
          <t>根节点=扩音器加农炮(Node3D)</t>
        </is>
      </c>
    </row>
    <row r="19" ht="66" customHeight="1" s="46">
      <c r="A19" s="85" t="inlineStr">
        <is>
          <t>WPN-GUN-FUTURE-POPCORN-BLASTER-3D</t>
        </is>
      </c>
      <c r="B19" s="86" t="inlineStr">
        <is>
          <t>爆米花爆能枪</t>
        </is>
      </c>
      <c r="C19" s="87" t="inlineStr">
        <is>
          <t>assets/art/weapons/weapon_3d/runtime/popcorn_blaster/wpn_popcorn_blaster_root_top3d_v001.tscn</t>
        </is>
      </c>
      <c r="D19" s="87" t="inlineStr">
        <is>
          <t>assets/art/weapons/weapon_3d/components/popcorn_blaster/wpn_popcorn_blaster_visual_top3d_v003.glb</t>
        </is>
      </c>
      <c r="E19" s="87" t="inlineStr">
        <is>
          <t>art_source/weapons/weapon_3d/source/popcorn_blaster/wpn_popcorn_blaster_source_v003.blend</t>
        </is>
      </c>
      <c r="F19" s="86" t="inlineStr">
        <is>
          <t>武器3D表现Prefab；由武器系统装配</t>
        </is>
      </c>
      <c r="G19" s="87" t="inlineStr">
        <is>
          <t>src/player3d/WeaponModel3D.gd</t>
        </is>
      </c>
      <c r="H19" s="86" t="inlineStr">
        <is>
          <t>无</t>
        </is>
      </c>
      <c r="I19" s="86" t="inlineStr">
        <is>
          <t>无</t>
        </is>
      </c>
      <c r="J19" s="86" t="inlineStr">
        <is>
          <t>无</t>
        </is>
      </c>
      <c r="K19" s="86" t="inlineStr">
        <is>
          <t>握把原点；local -Z枪口；3材质；独立GLB/PackedScene</t>
        </is>
      </c>
      <c r="L19" s="87" t="inlineStr">
        <is>
          <t>-Z</t>
        </is>
      </c>
      <c r="M19" s="86" t="inlineStr">
        <is>
          <t>未来枪械池/独立资产</t>
        </is>
      </c>
      <c r="N19" s="86" t="inlineStr">
        <is>
          <t>正式美术已入库/待玩法映射</t>
        </is>
      </c>
      <c r="O19" s="87" t="inlineStr">
        <is>
          <t>v001</t>
        </is>
      </c>
      <c r="P19" s="88" t="inlineStr">
        <is>
          <t>根节点=爆米花爆能枪(Node3D)</t>
        </is>
      </c>
    </row>
    <row r="20" ht="66" customHeight="1" s="46">
      <c r="A20" s="85" t="inlineStr">
        <is>
          <t>WPN-GUN-FUTURE-SCOPE-CANNON-3D</t>
        </is>
      </c>
      <c r="B20" s="86" t="inlineStr">
        <is>
          <t>瞄准镜加农炮</t>
        </is>
      </c>
      <c r="C20" s="87" t="inlineStr">
        <is>
          <t>assets/art/weapons/weapon_3d/runtime/scope_cannon/wpn_scope_cannon_root_top3d_v001.tscn</t>
        </is>
      </c>
      <c r="D20" s="87" t="inlineStr">
        <is>
          <t>assets/art/weapons/weapon_3d/components/scope_cannon/wpn_scope_cannon_visual_top3d_v003.glb</t>
        </is>
      </c>
      <c r="E20" s="87" t="inlineStr">
        <is>
          <t>art_source/weapons/weapon_3d/source/scope_cannon/wpn_scope_cannon_source_v003.blend</t>
        </is>
      </c>
      <c r="F20" s="86" t="inlineStr">
        <is>
          <t>武器3D表现Prefab；由武器系统装配</t>
        </is>
      </c>
      <c r="G20" s="87" t="inlineStr">
        <is>
          <t>src/player3d/WeaponModel3D.gd</t>
        </is>
      </c>
      <c r="H20" s="86" t="inlineStr">
        <is>
          <t>无</t>
        </is>
      </c>
      <c r="I20" s="86" t="inlineStr">
        <is>
          <t>无</t>
        </is>
      </c>
      <c r="J20" s="86" t="inlineStr">
        <is>
          <t>无</t>
        </is>
      </c>
      <c r="K20" s="86" t="inlineStr">
        <is>
          <t>握把原点；local -Z枪口；3材质；独立GLB/PackedScene</t>
        </is>
      </c>
      <c r="L20" s="87" t="inlineStr">
        <is>
          <t>-Z</t>
        </is>
      </c>
      <c r="M20" s="86" t="inlineStr">
        <is>
          <t>未来枪械池/独立资产</t>
        </is>
      </c>
      <c r="N20" s="86" t="inlineStr">
        <is>
          <t>正式美术已入库/待玩法映射</t>
        </is>
      </c>
      <c r="O20" s="87" t="inlineStr">
        <is>
          <t>v001</t>
        </is>
      </c>
      <c r="P20" s="88" t="inlineStr">
        <is>
          <t>根节点=瞄准镜加农炮(Node3D)</t>
        </is>
      </c>
    </row>
    <row r="21" ht="66" customHeight="1" s="46">
      <c r="A21" s="85" t="inlineStr">
        <is>
          <t>WPN-GUN-FUTURE-SODA-STRAW-BLASTER-3D</t>
        </is>
      </c>
      <c r="B21" s="86" t="inlineStr">
        <is>
          <t>饮料管爆能枪</t>
        </is>
      </c>
      <c r="C21" s="87" t="inlineStr">
        <is>
          <t>assets/art/weapons/weapon_3d/runtime/soda_straw_blaster/wpn_soda_straw_blaster_root_top3d_v001.tscn</t>
        </is>
      </c>
      <c r="D21" s="87" t="inlineStr">
        <is>
          <t>assets/art/weapons/weapon_3d/components/soda_straw_blaster/wpn_soda_straw_blaster_visual_top3d_v003.glb</t>
        </is>
      </c>
      <c r="E21" s="87" t="inlineStr">
        <is>
          <t>art_source/weapons/weapon_3d/source/soda_straw_blaster/wpn_soda_straw_blaster_source_v003.blend</t>
        </is>
      </c>
      <c r="F21" s="86" t="inlineStr">
        <is>
          <t>武器3D表现Prefab；由武器系统装配</t>
        </is>
      </c>
      <c r="G21" s="87" t="inlineStr">
        <is>
          <t>src/player3d/WeaponModel3D.gd</t>
        </is>
      </c>
      <c r="H21" s="86" t="inlineStr">
        <is>
          <t>无</t>
        </is>
      </c>
      <c r="I21" s="86" t="inlineStr">
        <is>
          <t>无</t>
        </is>
      </c>
      <c r="J21" s="86" t="inlineStr">
        <is>
          <t>无</t>
        </is>
      </c>
      <c r="K21" s="86" t="inlineStr">
        <is>
          <t>握把原点；local -Z枪口；3材质；独立GLB/PackedScene</t>
        </is>
      </c>
      <c r="L21" s="87" t="inlineStr">
        <is>
          <t>-Z</t>
        </is>
      </c>
      <c r="M21" s="86" t="inlineStr">
        <is>
          <t>未来枪械池/独立资产</t>
        </is>
      </c>
      <c r="N21" s="86" t="inlineStr">
        <is>
          <t>正式美术已入库/待玩法映射</t>
        </is>
      </c>
      <c r="O21" s="87" t="inlineStr">
        <is>
          <t>v001</t>
        </is>
      </c>
      <c r="P21" s="88" t="inlineStr">
        <is>
          <t>根节点=饮料管爆能枪(Node3D)</t>
        </is>
      </c>
    </row>
    <row r="22" ht="66" customHeight="1" s="46">
      <c r="A22" s="85" t="inlineStr">
        <is>
          <t>WPN-GUN-FUTURE-SPATULA-RIFLE-3D</t>
        </is>
      </c>
      <c r="B22" s="86" t="inlineStr">
        <is>
          <t>锅铲步枪</t>
        </is>
      </c>
      <c r="C22" s="87" t="inlineStr">
        <is>
          <t>assets/art/weapons/weapon_3d/runtime/spatula_rifle/wpn_spatula_rifle_root_top3d_v001.tscn</t>
        </is>
      </c>
      <c r="D22" s="87" t="inlineStr">
        <is>
          <t>assets/art/weapons/weapon_3d/components/spatula_rifle/wpn_spatula_rifle_visual_top3d_v003.glb</t>
        </is>
      </c>
      <c r="E22" s="87" t="inlineStr">
        <is>
          <t>art_source/weapons/weapon_3d/source/spatula_rifle/wpn_spatula_rifle_source_v003.blend</t>
        </is>
      </c>
      <c r="F22" s="86" t="inlineStr">
        <is>
          <t>武器3D表现Prefab；由武器系统装配</t>
        </is>
      </c>
      <c r="G22" s="87" t="inlineStr">
        <is>
          <t>src/player3d/WeaponModel3D.gd</t>
        </is>
      </c>
      <c r="H22" s="86" t="inlineStr">
        <is>
          <t>无</t>
        </is>
      </c>
      <c r="I22" s="86" t="inlineStr">
        <is>
          <t>无</t>
        </is>
      </c>
      <c r="J22" s="86" t="inlineStr">
        <is>
          <t>无</t>
        </is>
      </c>
      <c r="K22" s="86" t="inlineStr">
        <is>
          <t>握把原点；local -Z枪口；3材质；独立GLB/PackedScene</t>
        </is>
      </c>
      <c r="L22" s="87" t="inlineStr">
        <is>
          <t>-Z</t>
        </is>
      </c>
      <c r="M22" s="86" t="inlineStr">
        <is>
          <t>未来枪械池/独立资产</t>
        </is>
      </c>
      <c r="N22" s="86" t="inlineStr">
        <is>
          <t>正式美术已入库/待玩法映射</t>
        </is>
      </c>
      <c r="O22" s="87" t="inlineStr">
        <is>
          <t>v001</t>
        </is>
      </c>
      <c r="P22" s="88" t="inlineStr">
        <is>
          <t>根节点=锅铲步枪(Node3D)</t>
        </is>
      </c>
    </row>
    <row r="23" ht="66" customHeight="1" s="46">
      <c r="A23" s="85" t="inlineStr">
        <is>
          <t>WPN-GUN-FUTURE-TISSUE-BOX-CANNON-3D</t>
        </is>
      </c>
      <c r="B23" s="86" t="inlineStr">
        <is>
          <t>纸巾盒加农炮</t>
        </is>
      </c>
      <c r="C23" s="87" t="inlineStr">
        <is>
          <t>assets/art/weapons/weapon_3d/runtime/tissue_box_cannon/wpn_tissue_box_cannon_root_top3d_v001.tscn</t>
        </is>
      </c>
      <c r="D23" s="87" t="inlineStr">
        <is>
          <t>assets/art/weapons/weapon_3d/components/tissue_box_cannon/wpn_tissue_box_cannon_visual_top3d_v003.glb</t>
        </is>
      </c>
      <c r="E23" s="87" t="inlineStr">
        <is>
          <t>art_source/weapons/weapon_3d/source/tissue_box_cannon/wpn_tissue_box_cannon_source_v003.blend</t>
        </is>
      </c>
      <c r="F23" s="86" t="inlineStr">
        <is>
          <t>武器3D表现Prefab；由武器系统装配</t>
        </is>
      </c>
      <c r="G23" s="87" t="inlineStr">
        <is>
          <t>src/player3d/WeaponModel3D.gd</t>
        </is>
      </c>
      <c r="H23" s="86" t="inlineStr">
        <is>
          <t>无</t>
        </is>
      </c>
      <c r="I23" s="86" t="inlineStr">
        <is>
          <t>无</t>
        </is>
      </c>
      <c r="J23" s="86" t="inlineStr">
        <is>
          <t>无</t>
        </is>
      </c>
      <c r="K23" s="86" t="inlineStr">
        <is>
          <t>握把原点；local -Z枪口；3材质；独立GLB/PackedScene</t>
        </is>
      </c>
      <c r="L23" s="87" t="inlineStr">
        <is>
          <t>-Z</t>
        </is>
      </c>
      <c r="M23" s="86" t="inlineStr">
        <is>
          <t>未来枪械池/独立资产</t>
        </is>
      </c>
      <c r="N23" s="86" t="inlineStr">
        <is>
          <t>正式美术已入库/待玩法映射</t>
        </is>
      </c>
      <c r="O23" s="87" t="inlineStr">
        <is>
          <t>v001</t>
        </is>
      </c>
      <c r="P23" s="88" t="inlineStr">
        <is>
          <t>根节点=纸巾盒加农炮(Node3D)</t>
        </is>
      </c>
    </row>
    <row r="24" ht="66" customHeight="1" s="46">
      <c r="A24" s="85" t="inlineStr">
        <is>
          <t>WPN-GUN-BP-LAUNCHER</t>
        </is>
      </c>
      <c r="B24" s="86" t="inlineStr">
        <is>
          <t>反胃榴弹筒 / 烤面包机造型</t>
        </is>
      </c>
      <c r="C24" s="87" t="inlineStr">
        <is>
          <t>assets/art/weapons/weapon_3d/runtime/toaster_launcher/wpn_toaster_launcher_root_top3d_v001.tscn</t>
        </is>
      </c>
      <c r="D24" s="87" t="inlineStr">
        <is>
          <t>assets/art/weapons/weapon_3d/components/toaster_launcher/wpn_toaster_launcher_visual_top3d_v003.glb</t>
        </is>
      </c>
      <c r="E24" s="87" t="inlineStr">
        <is>
          <t>art_source/weapons/weapon_3d/source/toaster_launcher/wpn_toaster_launcher_source_v003.blend</t>
        </is>
      </c>
      <c r="F24" s="86" t="inlineStr">
        <is>
          <t>武器3D表现Prefab；由武器系统装配</t>
        </is>
      </c>
      <c r="G24" s="87" t="inlineStr">
        <is>
          <t>src/player3d/WeaponModel3D.gd</t>
        </is>
      </c>
      <c r="H24" s="86" t="inlineStr">
        <is>
          <t>无</t>
        </is>
      </c>
      <c r="I24" s="86" t="inlineStr">
        <is>
          <t>无</t>
        </is>
      </c>
      <c r="J24" s="86" t="inlineStr">
        <is>
          <t>无</t>
        </is>
      </c>
      <c r="K24" s="86" t="inlineStr">
        <is>
          <t>握把原点；local -Z枪口；3材质；独立GLB/PackedScene</t>
        </is>
      </c>
      <c r="L24" s="87" t="inlineStr">
        <is>
          <t>-Z</t>
        </is>
      </c>
      <c r="M24" s="86" t="inlineStr">
        <is>
          <t>手持/背负/地面/UI 共用独立PackedScene</t>
        </is>
      </c>
      <c r="N24" s="86" t="inlineStr">
        <is>
          <t>正式美术已接入</t>
        </is>
      </c>
      <c r="O24" s="87" t="inlineStr">
        <is>
          <t>v001</t>
        </is>
      </c>
      <c r="P24" s="88" t="inlineStr">
        <is>
          <t>根节点=烤面包机发射器(Node3D)</t>
        </is>
      </c>
    </row>
    <row r="25" ht="66" customHeight="1" s="46">
      <c r="A25" s="85" t="inlineStr">
        <is>
          <t>WPN-GUN-BP-MACHINEGUN</t>
        </is>
      </c>
      <c r="B25" s="86" t="inlineStr">
        <is>
          <t>蜂窝机枪 / 水箱爆能枪造型</t>
        </is>
      </c>
      <c r="C25" s="87" t="inlineStr">
        <is>
          <t>assets/art/weapons/weapon_3d/runtime/water_tank_blaster/wpn_water_tank_blaster_root_top3d.tscn</t>
        </is>
      </c>
      <c r="D25" s="87" t="inlineStr">
        <is>
          <t>assets/art/weapons/weapon_3d/components/water_tank_blaster/wpn_water_tank_blaster_visual_top3d_v003.glb</t>
        </is>
      </c>
      <c r="E25" s="87" t="inlineStr">
        <is>
          <t>art_source/weapons/weapon_3d/source/water_tank_blaster/wpn_water_tank_blaster_source_v003.blend</t>
        </is>
      </c>
      <c r="F25" s="86" t="inlineStr">
        <is>
          <t>武器3D表现Prefab；由武器系统装配</t>
        </is>
      </c>
      <c r="G25" s="87" t="inlineStr">
        <is>
          <t>src/player3d/WeaponModel3D.gd</t>
        </is>
      </c>
      <c r="H25" s="86" t="inlineStr">
        <is>
          <t>无</t>
        </is>
      </c>
      <c r="I25" s="86" t="inlineStr">
        <is>
          <t>无</t>
        </is>
      </c>
      <c r="J25" s="86" t="inlineStr">
        <is>
          <t>无</t>
        </is>
      </c>
      <c r="K25" s="86" t="inlineStr">
        <is>
          <t>握把原点；local -Z枪口；3材质；独立GLB/PackedScene</t>
        </is>
      </c>
      <c r="L25" s="87" t="inlineStr">
        <is>
          <t>-Z</t>
        </is>
      </c>
      <c r="M25" s="86" t="inlineStr">
        <is>
          <t>手持/背负/地面/UI 共用独立PackedScene</t>
        </is>
      </c>
      <c r="N25" s="86" t="inlineStr">
        <is>
          <t>正式美术已接入</t>
        </is>
      </c>
      <c r="O25" s="87" t="inlineStr">
        <is>
          <t>v001</t>
        </is>
      </c>
      <c r="P25" s="88" t="inlineStr">
        <is>
          <t>根节点=水箱爆能枪(Node3D)</t>
        </is>
      </c>
    </row>
    <row r="26" ht="66" customHeight="1" s="46">
      <c r="A26" s="89" t="inlineStr">
        <is>
          <t>WPN-GUN-KIT-3D</t>
        </is>
      </c>
      <c r="B26" s="90" t="inlineStr">
        <is>
          <t>枪械3D通用模型套件</t>
        </is>
      </c>
      <c r="C26" s="91" t="inlineStr">
        <is>
          <t>assets/art/weapons/weapon_3d/wpn_gun_kit_root_top3d_v001.tscn</t>
        </is>
      </c>
      <c r="D26" s="91" t="n"/>
      <c r="E26" s="91" t="n"/>
      <c r="F26" s="90" t="inlineStr">
        <is>
          <t>武器3D表现Prefab；由武器系统装配</t>
        </is>
      </c>
      <c r="G26" s="91" t="inlineStr">
        <is>
          <t>src/combat3d/WeaponModel3D.gd</t>
        </is>
      </c>
      <c r="H26" s="90" t="inlineStr">
        <is>
          <t>无</t>
        </is>
      </c>
      <c r="I26" s="90" t="inlineStr">
        <is>
          <t>无</t>
        </is>
      </c>
      <c r="J26" s="90" t="inlineStr">
        <is>
          <t>无</t>
        </is>
      </c>
      <c r="K26" s="91" t="inlineStr">
        <is>
          <t>PackedScene/7枪配置模型</t>
        </is>
      </c>
      <c r="L26" s="90" t="inlineStr">
        <is>
          <t>未声明</t>
        </is>
      </c>
      <c r="M26" s="90" t="inlineStr">
        <is>
          <t>玩家/靶场/全部副本</t>
        </is>
      </c>
      <c r="N26" s="90" t="inlineStr">
        <is>
          <t>原型已接入</t>
        </is>
      </c>
      <c r="O26" s="91" t="inlineStr">
        <is>
          <t>v001</t>
        </is>
      </c>
      <c r="P26" s="92" t="inlineStr">
        <is>
          <t>根节点=WeaponModel3D(Node3D)</t>
        </is>
      </c>
    </row>
    <row r="27">
      <c r="A27" s="81" t="inlineStr">
        <is>
          <t>WPN-ATT-ATTACH-BIG-MAG</t>
        </is>
      </c>
      <c r="B27" s="82" t="inlineStr">
        <is>
          <t>肉质弹匣（地面）</t>
        </is>
      </c>
      <c r="C27" s="83" t="inlineStr">
        <is>
          <t>assets/art/items_weapons/weapons/big_mag/runtime/wpn_big_mag_ground_root_top3d.tscn</t>
        </is>
      </c>
      <c r="D27" s="83" t="inlineStr">
        <is>
          <t>assets/art/items_weapons/weapons/big_mag/components/wpn_big_mag_ground_visual_top3d.glb</t>
        </is>
      </c>
      <c r="E27" s="83" t="inlineStr">
        <is>
          <t>art_source/items_weapons/weapons/big_mag/source/wpn_big_mag_ground_source_v001.blend</t>
        </is>
      </c>
      <c r="F27" s="82" t="inlineStr">
        <is>
          <t>仅ground视觉；同一物品身份，外部负责拾取/弹跳/收集</t>
        </is>
      </c>
      <c r="G27" s="83" t="inlineStr">
        <is>
          <t>src/world3d/ItemModelFactory3D.gd; src/world3d/GroundLootPickup3D.gd</t>
        </is>
      </c>
      <c r="H27" s="82" t="inlineStr">
        <is>
          <t>Prefab无；外部拾取触发</t>
        </is>
      </c>
      <c r="I27" s="82" t="inlineStr">
        <is>
          <t>GroundLootPickup3D</t>
        </is>
      </c>
      <c r="J27" s="82" t="inlineStr">
        <is>
          <t>外部SphereShape3D；无实体阻挡</t>
        </is>
      </c>
      <c r="K27" s="82" t="inlineStr">
        <is>
          <t>0.110071×0.070468×0.24m；192三角；外部倍率0.504</t>
        </is>
      </c>
      <c r="L27" s="82" t="inlineStr">
        <is>
          <t>挂点中心原点；Blender +Y 对应 Godot -Z 枪口，+Z向上</t>
        </is>
      </c>
      <c r="M27" s="82" t="inlineStr">
        <is>
          <t>世界地面掉落/拾取；非背包预览与枪上装配</t>
        </is>
      </c>
      <c r="N27" s="82" t="inlineStr">
        <is>
          <t>exported_pending_godot_validation</t>
        </is>
      </c>
      <c r="O27" s="83" t="inlineStr">
        <is>
          <t>v001</t>
        </is>
      </c>
      <c r="P27" s="84" t="inlineStr">
        <is>
          <t>源保持；公共场景色盘；资源导入完成，未执行运行/视觉验收；物品专用色板S/V×1.40，assets/art/shared/palette/item_high_visibility_palette_10x10_512.png；当前物品独立四材质、S/V×1.61，assets/art/shared/palette/item_high_visibility_palette_10x10_512.png</t>
        </is>
      </c>
    </row>
    <row r="28">
      <c r="A28" s="81" t="inlineStr">
        <is>
          <t>WPN-ATT-ATTACH-TRIPLE-MUZZLE</t>
        </is>
      </c>
      <c r="B28" s="82" t="inlineStr">
        <is>
          <t>三叉枪口（地面）</t>
        </is>
      </c>
      <c r="C28" s="83" t="inlineStr">
        <is>
          <t>assets/art/items_weapons/weapons/triple_muzzle/runtime/wpn_triple_muzzle_ground_root_top3d.tscn</t>
        </is>
      </c>
      <c r="D28" s="83" t="inlineStr">
        <is>
          <t>assets/art/items_weapons/weapons/triple_muzzle/components/wpn_triple_muzzle_ground_visual_top3d.glb</t>
        </is>
      </c>
      <c r="E28" s="83" t="inlineStr">
        <is>
          <t>art_source/items_weapons/weapons/triple_muzzle/source/wpn_triple_muzzle_ground_source_v001.blend</t>
        </is>
      </c>
      <c r="F28" s="82" t="inlineStr">
        <is>
          <t>仅ground视觉；同一物品身份，外部负责拾取/弹跳/收集</t>
        </is>
      </c>
      <c r="G28" s="83" t="inlineStr">
        <is>
          <t>src/world3d/ItemModelFactory3D.gd; src/world3d/GroundLootPickup3D.gd</t>
        </is>
      </c>
      <c r="H28" s="82" t="inlineStr">
        <is>
          <t>Prefab无；外部拾取触发</t>
        </is>
      </c>
      <c r="I28" s="82" t="inlineStr">
        <is>
          <t>GroundLootPickup3D</t>
        </is>
      </c>
      <c r="J28" s="82" t="inlineStr">
        <is>
          <t>外部SphereShape3D；无实体阻挡</t>
        </is>
      </c>
      <c r="K28" s="82" t="inlineStr">
        <is>
          <t>0.140351×0.16×0.145965m；198三角；外部倍率0.504</t>
        </is>
      </c>
      <c r="L28" s="82" t="inlineStr">
        <is>
          <t>挂点中心原点；Blender +Y 对应 Godot -Z 枪口，+Z向上</t>
        </is>
      </c>
      <c r="M28" s="82" t="inlineStr">
        <is>
          <t>世界地面掉落/拾取；非背包预览与枪上装配</t>
        </is>
      </c>
      <c r="N28" s="82" t="inlineStr">
        <is>
          <t>exported_pending_godot_validation</t>
        </is>
      </c>
      <c r="O28" s="83" t="inlineStr">
        <is>
          <t>v001</t>
        </is>
      </c>
      <c r="P28" s="84" t="inlineStr">
        <is>
          <t>源保持；公共场景色盘；资源导入完成，未执行运行/视觉验收；物品专用色板S/V×1.40，assets/art/shared/palette/item_high_visibility_palette_10x10_512.png；当前物品独立四材质、S/V×1.61，assets/art/shared/palette/item_high_visibility_palette_10x10_512.png</t>
        </is>
      </c>
    </row>
    <row r="29">
      <c r="A29" s="81" t="inlineStr">
        <is>
          <t>WPN-ATT-ATTACH-RUBBER-STOCK</t>
        </is>
      </c>
      <c r="B29" s="82" t="inlineStr">
        <is>
          <t>橡皮枪托（地面）</t>
        </is>
      </c>
      <c r="C29" s="83" t="inlineStr">
        <is>
          <t>assets/art/items_weapons/weapons/rubber_stock/runtime/wpn_rubber_stock_ground_root_top3d.tscn</t>
        </is>
      </c>
      <c r="D29" s="83" t="inlineStr">
        <is>
          <t>assets/art/items_weapons/weapons/rubber_stock/components/wpn_rubber_stock_ground_visual_top3d.glb</t>
        </is>
      </c>
      <c r="E29" s="83" t="inlineStr">
        <is>
          <t>art_source/items_weapons/weapons/rubber_stock/source/wpn_rubber_stock_ground_source_v001.blend</t>
        </is>
      </c>
      <c r="F29" s="82" t="inlineStr">
        <is>
          <t>仅ground视觉；同一物品身份，外部负责拾取/弹跳/收集</t>
        </is>
      </c>
      <c r="G29" s="83" t="inlineStr">
        <is>
          <t>src/world3d/ItemModelFactory3D.gd; src/world3d/GroundLootPickup3D.gd</t>
        </is>
      </c>
      <c r="H29" s="82" t="inlineStr">
        <is>
          <t>Prefab无；外部拾取触发</t>
        </is>
      </c>
      <c r="I29" s="82" t="inlineStr">
        <is>
          <t>GroundLootPickup3D</t>
        </is>
      </c>
      <c r="J29" s="82" t="inlineStr">
        <is>
          <t>外部SphereShape3D；无实体阻挡</t>
        </is>
      </c>
      <c r="K29" s="82" t="inlineStr">
        <is>
          <t>0.124603×0.32×0.222154m；145三角；外部倍率0.504</t>
        </is>
      </c>
      <c r="L29" s="82" t="inlineStr">
        <is>
          <t>挂点中心原点；Blender +Y 对应 Godot -Z 枪口，+Z向上</t>
        </is>
      </c>
      <c r="M29" s="82" t="inlineStr">
        <is>
          <t>世界地面掉落/拾取；非背包预览与枪上装配</t>
        </is>
      </c>
      <c r="N29" s="82" t="inlineStr">
        <is>
          <t>exported_pending_godot_validation</t>
        </is>
      </c>
      <c r="O29" s="83" t="inlineStr">
        <is>
          <t>v001</t>
        </is>
      </c>
      <c r="P29" s="84" t="inlineStr">
        <is>
          <t>源保持；公共场景色盘；资源导入完成，未执行运行/视觉验收；物品专用色板S/V×1.40，assets/art/shared/palette/item_high_visibility_palette_10x10_512.png；当前物品独立四材质、S/V×1.61，assets/art/shared/palette/item_high_visibility_palette_10x10_512.png</t>
        </is>
      </c>
    </row>
    <row r="30">
      <c r="A30" s="81" t="inlineStr">
        <is>
          <t>WPN-ATT-ATTACH-SCOPE</t>
        </is>
      </c>
      <c r="B30" s="82" t="inlineStr">
        <is>
          <t>放大镜瞄具（地面）</t>
        </is>
      </c>
      <c r="C30" s="83" t="inlineStr">
        <is>
          <t>assets/art/items_weapons/weapons/scope/runtime/wpn_scope_ground_root_top3d.tscn</t>
        </is>
      </c>
      <c r="D30" s="83" t="inlineStr">
        <is>
          <t>assets/art/items_weapons/weapons/scope/components/wpn_scope_ground_visual_top3d.glb</t>
        </is>
      </c>
      <c r="E30" s="83" t="inlineStr">
        <is>
          <t>art_source/items_weapons/weapons/scope/source/wpn_scope_ground_source_v001.blend</t>
        </is>
      </c>
      <c r="F30" s="82" t="inlineStr">
        <is>
          <t>仅ground视觉；同一物品身份，外部负责拾取/弹跳/收集</t>
        </is>
      </c>
      <c r="G30" s="83" t="inlineStr">
        <is>
          <t>src/world3d/ItemModelFactory3D.gd; src/world3d/GroundLootPickup3D.gd</t>
        </is>
      </c>
      <c r="H30" s="82" t="inlineStr">
        <is>
          <t>Prefab无；外部拾取触发</t>
        </is>
      </c>
      <c r="I30" s="82" t="inlineStr">
        <is>
          <t>GroundLootPickup3D</t>
        </is>
      </c>
      <c r="J30" s="82" t="inlineStr">
        <is>
          <t>外部SphereShape3D；无实体阻挡</t>
        </is>
      </c>
      <c r="K30" s="82" t="inlineStr">
        <is>
          <t>0.134558×0.28×0.180565m；198三角；外部倍率0.504</t>
        </is>
      </c>
      <c r="L30" s="82" t="inlineStr">
        <is>
          <t>挂点中心原点；Blender +Y 对应 Godot -Z 枪口，+Z向上</t>
        </is>
      </c>
      <c r="M30" s="82" t="inlineStr">
        <is>
          <t>世界地面掉落/拾取；非背包预览与枪上装配</t>
        </is>
      </c>
      <c r="N30" s="82" t="inlineStr">
        <is>
          <t>exported_pending_godot_validation</t>
        </is>
      </c>
      <c r="O30" s="83" t="inlineStr">
        <is>
          <t>v001</t>
        </is>
      </c>
      <c r="P30" s="84" t="inlineStr">
        <is>
          <t>源保持；公共场景色盘；资源导入完成，未执行运行/视觉验收；物品专用色板S/V×1.40，assets/art/shared/palette/item_high_visibility_palette_10x10_512.png；当前物品独立四材质、S/V×1.61，assets/art/shared/palette/item_high_visibility_palette_10x10_512.png</t>
        </is>
      </c>
    </row>
    <row r="31">
      <c r="A31" s="81" t="inlineStr">
        <is>
          <t>WPN-BUL-MOD-BULLET-STANDARD</t>
        </is>
      </c>
      <c r="B31" s="82" t="inlineStr">
        <is>
          <t>标准子弹模块 / preview</t>
        </is>
      </c>
      <c r="C31" s="83" t="inlineStr">
        <is>
          <t>assets/art/items_weapons/weapons/bullet_module_standard/runtime/wpn_bullet_module_standard_preview_root_top3d.tscn</t>
        </is>
      </c>
      <c r="D31" s="83" t="inlineStr">
        <is>
          <t>assets/art/items_weapons/weapons/bullet_module_standard/components/wpn_bullet_module_standard_preview_visual_top3d.glb</t>
        </is>
      </c>
      <c r="E31" s="83" t="inlineStr">
        <is>
          <t>art_source/items_weapons/weapons/bullet_module_standard/source/wpn_bullet_module_standard_source_v001.blend</t>
        </is>
      </c>
      <c r="F31" s="82" t="inlineStr">
        <is>
          <t>纯视觉；游戏规则由原系统持有</t>
        </is>
      </c>
      <c r="G31" s="83" t="inlineStr">
        <is>
          <t>src/world3d/ItemModelFactory3D.gd; src/combat3d/WeaponModel3D.gd</t>
        </is>
      </c>
      <c r="H31" s="82" t="inlineStr">
        <is>
          <t>无</t>
        </is>
      </c>
      <c r="I31" s="82" t="inlineStr">
        <is>
          <t>外部玩法</t>
        </is>
      </c>
      <c r="J31" s="82" t="inlineStr">
        <is>
          <t>外部拾取球/原近战扫掠</t>
        </is>
      </c>
      <c r="K31" s="82" t="inlineStr">
        <is>
          <t>[0.544772744178772, 0.940000057220459, 0.5501136779785156]；1132三角</t>
        </is>
      </c>
      <c r="L31" s="82" t="inlineStr">
        <is>
          <t>bottom_center；Godot Y上，近战-Z前</t>
        </is>
      </c>
      <c r="M31" s="82" t="inlineStr">
        <is>
          <t>mod_bullet_standard</t>
        </is>
      </c>
      <c r="N31" s="82" t="inlineStr">
        <is>
          <t>已优化并正式接入</t>
        </is>
      </c>
      <c r="O31" s="83" t="inlineStr">
        <is>
          <t>v001</t>
        </is>
      </c>
      <c r="P31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32">
      <c r="A32" s="81" t="inlineStr">
        <is>
          <t>WPN-BUL-MOD-BULLET-STANDARD</t>
        </is>
      </c>
      <c r="B32" s="82" t="inlineStr">
        <is>
          <t>标准子弹模块 / ground</t>
        </is>
      </c>
      <c r="C32" s="83" t="inlineStr">
        <is>
          <t>assets/art/items_weapons/weapons/bullet_module_standard/runtime/wpn_bullet_module_standard_ground_root_top3d.tscn</t>
        </is>
      </c>
      <c r="D32" s="83" t="inlineStr">
        <is>
          <t>assets/art/items_weapons/weapons/bullet_module_standard/components/wpn_bullet_module_standard_ground_visual_top3d.glb</t>
        </is>
      </c>
      <c r="E32" s="83" t="inlineStr">
        <is>
          <t>art_source/items_weapons/weapons/bullet_module_standard/source/wpn_bullet_module_standard_ground_source_v001.blend</t>
        </is>
      </c>
      <c r="F32" s="82" t="inlineStr">
        <is>
          <t>纯视觉；游戏规则由原系统持有</t>
        </is>
      </c>
      <c r="G32" s="83" t="inlineStr">
        <is>
          <t>src/world3d/ItemModelFactory3D.gd; src/combat3d/WeaponModel3D.gd</t>
        </is>
      </c>
      <c r="H32" s="82" t="inlineStr">
        <is>
          <t>无</t>
        </is>
      </c>
      <c r="I32" s="82" t="inlineStr">
        <is>
          <t>外部玩法</t>
        </is>
      </c>
      <c r="J32" s="82" t="inlineStr">
        <is>
          <t>外部拾取球/原近战扫掠</t>
        </is>
      </c>
      <c r="K32" s="82" t="inlineStr">
        <is>
          <t>[0.544772744178772, 0.940000057220459, 0.5501136779785156]；140三角</t>
        </is>
      </c>
      <c r="L32" s="82" t="inlineStr">
        <is>
          <t>bottom_center；Godot Y上，近战-Z前</t>
        </is>
      </c>
      <c r="M32" s="82" t="inlineStr">
        <is>
          <t>mod_bullet_standard</t>
        </is>
      </c>
      <c r="N32" s="82" t="inlineStr">
        <is>
          <t>已优化并正式接入</t>
        </is>
      </c>
      <c r="O32" s="83" t="inlineStr">
        <is>
          <t>v001</t>
        </is>
      </c>
      <c r="P32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33">
      <c r="A33" s="81" t="inlineStr">
        <is>
          <t>WPN-BUL-MOD-BULLET-STICKY</t>
        </is>
      </c>
      <c r="B33" s="82" t="inlineStr">
        <is>
          <t>黏黏弹模块 / preview</t>
        </is>
      </c>
      <c r="C33" s="83" t="inlineStr">
        <is>
          <t>assets/art/items_weapons/weapons/bullet_module_sticky/runtime/wpn_bullet_module_sticky_preview_root_top3d.tscn</t>
        </is>
      </c>
      <c r="D33" s="83" t="inlineStr">
        <is>
          <t>assets/art/items_weapons/weapons/bullet_module_sticky/components/wpn_bullet_module_sticky_preview_visual_top3d.glb</t>
        </is>
      </c>
      <c r="E33" s="83" t="inlineStr">
        <is>
          <t>art_source/items_weapons/weapons/bullet_module_sticky/source/wpn_bullet_module_sticky_source_v001.blend</t>
        </is>
      </c>
      <c r="F33" s="82" t="inlineStr">
        <is>
          <t>纯视觉；游戏规则由原系统持有</t>
        </is>
      </c>
      <c r="G33" s="83" t="inlineStr">
        <is>
          <t>src/world3d/ItemModelFactory3D.gd; src/combat3d/WeaponModel3D.gd</t>
        </is>
      </c>
      <c r="H33" s="82" t="inlineStr">
        <is>
          <t>无</t>
        </is>
      </c>
      <c r="I33" s="82" t="inlineStr">
        <is>
          <t>外部玩法</t>
        </is>
      </c>
      <c r="J33" s="82" t="inlineStr">
        <is>
          <t>外部拾取球/原近战扫掠</t>
        </is>
      </c>
      <c r="K33" s="82" t="inlineStr">
        <is>
          <t>[0.7113512754440308, 0.9399999380111694, 0.7113512754440308]；2280三角</t>
        </is>
      </c>
      <c r="L33" s="82" t="inlineStr">
        <is>
          <t>bottom_center；Godot Y上，近战-Z前</t>
        </is>
      </c>
      <c r="M33" s="82" t="inlineStr">
        <is>
          <t>mod_bullet_sticky</t>
        </is>
      </c>
      <c r="N33" s="82" t="inlineStr">
        <is>
          <t>已优化并正式接入</t>
        </is>
      </c>
      <c r="O33" s="83" t="inlineStr">
        <is>
          <t>v001</t>
        </is>
      </c>
      <c r="P33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34">
      <c r="A34" s="81" t="inlineStr">
        <is>
          <t>WPN-BUL-MOD-BULLET-STICKY</t>
        </is>
      </c>
      <c r="B34" s="82" t="inlineStr">
        <is>
          <t>黏黏弹模块 / ground</t>
        </is>
      </c>
      <c r="C34" s="83" t="inlineStr">
        <is>
          <t>assets/art/items_weapons/weapons/bullet_module_sticky/runtime/wpn_bullet_module_sticky_ground_root_top3d.tscn</t>
        </is>
      </c>
      <c r="D34" s="83" t="inlineStr">
        <is>
          <t>assets/art/items_weapons/weapons/bullet_module_sticky/components/wpn_bullet_module_sticky_ground_visual_top3d.glb</t>
        </is>
      </c>
      <c r="E34" s="83" t="inlineStr">
        <is>
          <t>art_source/items_weapons/weapons/bullet_module_sticky/source/wpn_bullet_module_sticky_ground_source_v001.blend</t>
        </is>
      </c>
      <c r="F34" s="82" t="inlineStr">
        <is>
          <t>纯视觉；游戏规则由原系统持有</t>
        </is>
      </c>
      <c r="G34" s="83" t="inlineStr">
        <is>
          <t>src/world3d/ItemModelFactory3D.gd; src/combat3d/WeaponModel3D.gd</t>
        </is>
      </c>
      <c r="H34" s="82" t="inlineStr">
        <is>
          <t>无</t>
        </is>
      </c>
      <c r="I34" s="82" t="inlineStr">
        <is>
          <t>外部玩法</t>
        </is>
      </c>
      <c r="J34" s="82" t="inlineStr">
        <is>
          <t>外部拾取球/原近战扫掠</t>
        </is>
      </c>
      <c r="K34" s="82" t="inlineStr">
        <is>
          <t>[0.7113512754440308, 0.9399999380111694, 0.7113512754440308]；194三角</t>
        </is>
      </c>
      <c r="L34" s="82" t="inlineStr">
        <is>
          <t>bottom_center；Godot Y上，近战-Z前</t>
        </is>
      </c>
      <c r="M34" s="82" t="inlineStr">
        <is>
          <t>mod_bullet_sticky</t>
        </is>
      </c>
      <c r="N34" s="82" t="inlineStr">
        <is>
          <t>已优化并正式接入</t>
        </is>
      </c>
      <c r="O34" s="83" t="inlineStr">
        <is>
          <t>v001</t>
        </is>
      </c>
      <c r="P34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35">
      <c r="A35" s="81" t="inlineStr">
        <is>
          <t>WPN-BUL-MOD-BULLET-BOUNCE</t>
        </is>
      </c>
      <c r="B35" s="82" t="inlineStr">
        <is>
          <t>回旋镖弹模块 / preview</t>
        </is>
      </c>
      <c r="C35" s="83" t="inlineStr">
        <is>
          <t>assets/art/items_weapons/weapons/bullet_module_bounce/runtime/wpn_bullet_module_bounce_preview_root_top3d.tscn</t>
        </is>
      </c>
      <c r="D35" s="83" t="inlineStr">
        <is>
          <t>assets/art/items_weapons/weapons/bullet_module_bounce/components/wpn_bullet_module_bounce_preview_visual_top3d.glb</t>
        </is>
      </c>
      <c r="E35" s="83" t="inlineStr">
        <is>
          <t>art_source/items_weapons/weapons/bullet_module_bounce/source/wpn_bullet_module_bounce_source_v001.blend</t>
        </is>
      </c>
      <c r="F35" s="82" t="inlineStr">
        <is>
          <t>纯视觉；游戏规则由原系统持有</t>
        </is>
      </c>
      <c r="G35" s="83" t="inlineStr">
        <is>
          <t>src/world3d/ItemModelFactory3D.gd; src/combat3d/WeaponModel3D.gd</t>
        </is>
      </c>
      <c r="H35" s="82" t="inlineStr">
        <is>
          <t>无</t>
        </is>
      </c>
      <c r="I35" s="82" t="inlineStr">
        <is>
          <t>外部玩法</t>
        </is>
      </c>
      <c r="J35" s="82" t="inlineStr">
        <is>
          <t>外部拾取球/原近战扫掠</t>
        </is>
      </c>
      <c r="K35" s="82" t="inlineStr">
        <is>
          <t>[0.8982222080230713, 0.9399999976158142, 0.5222222208976746]；1272三角</t>
        </is>
      </c>
      <c r="L35" s="82" t="inlineStr">
        <is>
          <t>bottom_center；Godot Y上，近战-Z前</t>
        </is>
      </c>
      <c r="M35" s="82" t="inlineStr">
        <is>
          <t>mod_bullet_bounce</t>
        </is>
      </c>
      <c r="N35" s="82" t="inlineStr">
        <is>
          <t>已优化并正式接入</t>
        </is>
      </c>
      <c r="O35" s="83" t="inlineStr">
        <is>
          <t>v001</t>
        </is>
      </c>
      <c r="P35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36">
      <c r="A36" s="81" t="inlineStr">
        <is>
          <t>WPN-BUL-MOD-BULLET-BOUNCE</t>
        </is>
      </c>
      <c r="B36" s="82" t="inlineStr">
        <is>
          <t>回旋镖弹模块 / ground</t>
        </is>
      </c>
      <c r="C36" s="83" t="inlineStr">
        <is>
          <t>assets/art/items_weapons/weapons/bullet_module_bounce/runtime/wpn_bullet_module_bounce_ground_root_top3d.tscn</t>
        </is>
      </c>
      <c r="D36" s="83" t="inlineStr">
        <is>
          <t>assets/art/items_weapons/weapons/bullet_module_bounce/components/wpn_bullet_module_bounce_ground_visual_top3d.glb</t>
        </is>
      </c>
      <c r="E36" s="83" t="inlineStr">
        <is>
          <t>art_source/items_weapons/weapons/bullet_module_bounce/source/wpn_bullet_module_bounce_ground_source_v001.blend</t>
        </is>
      </c>
      <c r="F36" s="82" t="inlineStr">
        <is>
          <t>纯视觉；游戏规则由原系统持有</t>
        </is>
      </c>
      <c r="G36" s="83" t="inlineStr">
        <is>
          <t>src/world3d/ItemModelFactory3D.gd; src/combat3d/WeaponModel3D.gd</t>
        </is>
      </c>
      <c r="H36" s="82" t="inlineStr">
        <is>
          <t>无</t>
        </is>
      </c>
      <c r="I36" s="82" t="inlineStr">
        <is>
          <t>外部玩法</t>
        </is>
      </c>
      <c r="J36" s="82" t="inlineStr">
        <is>
          <t>外部拾取球/原近战扫掠</t>
        </is>
      </c>
      <c r="K36" s="82" t="inlineStr">
        <is>
          <t>[0.8982222080230713, 0.9399999976158142, 0.5222222208976746]；124三角</t>
        </is>
      </c>
      <c r="L36" s="82" t="inlineStr">
        <is>
          <t>bottom_center；Godot Y上，近战-Z前</t>
        </is>
      </c>
      <c r="M36" s="82" t="inlineStr">
        <is>
          <t>mod_bullet_bounce</t>
        </is>
      </c>
      <c r="N36" s="82" t="inlineStr">
        <is>
          <t>已优化并正式接入</t>
        </is>
      </c>
      <c r="O36" s="83" t="inlineStr">
        <is>
          <t>v001</t>
        </is>
      </c>
      <c r="P36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37">
      <c r="A37" s="81" t="inlineStr">
        <is>
          <t>WPN-BUL-MOD-BULLET-PIERCING</t>
        </is>
      </c>
      <c r="B37" s="82" t="inlineStr">
        <is>
          <t>穿甲弹模块 / preview</t>
        </is>
      </c>
      <c r="C37" s="83" t="inlineStr">
        <is>
          <t>assets/art/items_weapons/weapons/bullet_module_piercing/runtime/wpn_bullet_module_piercing_preview_root_top3d.tscn</t>
        </is>
      </c>
      <c r="D37" s="83" t="inlineStr">
        <is>
          <t>assets/art/items_weapons/weapons/bullet_module_piercing/components/wpn_bullet_module_piercing_preview_visual_top3d.glb</t>
        </is>
      </c>
      <c r="E37" s="83" t="inlineStr">
        <is>
          <t>art_source/items_weapons/weapons/bullet_module_piercing/source/wpn_bullet_module_piercing_source_v001.blend</t>
        </is>
      </c>
      <c r="F37" s="82" t="inlineStr">
        <is>
          <t>纯视觉；游戏规则由原系统持有</t>
        </is>
      </c>
      <c r="G37" s="83" t="inlineStr">
        <is>
          <t>src/world3d/ItemModelFactory3D.gd; src/combat3d/WeaponModel3D.gd</t>
        </is>
      </c>
      <c r="H37" s="82" t="inlineStr">
        <is>
          <t>无</t>
        </is>
      </c>
      <c r="I37" s="82" t="inlineStr">
        <is>
          <t>外部玩法</t>
        </is>
      </c>
      <c r="J37" s="82" t="inlineStr">
        <is>
          <t>外部拾取球/原近战扫掠</t>
        </is>
      </c>
      <c r="K37" s="82" t="inlineStr">
        <is>
          <t>[0.5293203592300415, 0.9399999976158142, 0.4563106894493103]；1224三角</t>
        </is>
      </c>
      <c r="L37" s="82" t="inlineStr">
        <is>
          <t>bottom_center；Godot Y上，近战-Z前</t>
        </is>
      </c>
      <c r="M37" s="82" t="inlineStr">
        <is>
          <t>mod_bullet_piercing</t>
        </is>
      </c>
      <c r="N37" s="82" t="inlineStr">
        <is>
          <t>已优化并正式接入</t>
        </is>
      </c>
      <c r="O37" s="83" t="inlineStr">
        <is>
          <t>v001</t>
        </is>
      </c>
      <c r="P37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38">
      <c r="A38" s="81" t="inlineStr">
        <is>
          <t>WPN-BUL-MOD-BULLET-PIERCING</t>
        </is>
      </c>
      <c r="B38" s="82" t="inlineStr">
        <is>
          <t>穿甲弹模块 / ground</t>
        </is>
      </c>
      <c r="C38" s="83" t="inlineStr">
        <is>
          <t>assets/art/items_weapons/weapons/bullet_module_piercing/runtime/wpn_bullet_module_piercing_ground_root_top3d.tscn</t>
        </is>
      </c>
      <c r="D38" s="83" t="inlineStr">
        <is>
          <t>assets/art/items_weapons/weapons/bullet_module_piercing/components/wpn_bullet_module_piercing_ground_visual_top3d.glb</t>
        </is>
      </c>
      <c r="E38" s="83" t="inlineStr">
        <is>
          <t>art_source/items_weapons/weapons/bullet_module_piercing/source/wpn_bullet_module_piercing_ground_source_v001.blend</t>
        </is>
      </c>
      <c r="F38" s="82" t="inlineStr">
        <is>
          <t>纯视觉；游戏规则由原系统持有</t>
        </is>
      </c>
      <c r="G38" s="83" t="inlineStr">
        <is>
          <t>src/world3d/ItemModelFactory3D.gd; src/combat3d/WeaponModel3D.gd</t>
        </is>
      </c>
      <c r="H38" s="82" t="inlineStr">
        <is>
          <t>无</t>
        </is>
      </c>
      <c r="I38" s="82" t="inlineStr">
        <is>
          <t>外部玩法</t>
        </is>
      </c>
      <c r="J38" s="82" t="inlineStr">
        <is>
          <t>外部拾取球/原近战扫掠</t>
        </is>
      </c>
      <c r="K38" s="82" t="inlineStr">
        <is>
          <t>[0.5293203592300415, 0.9399999976158142, 0.4563106894493103]；144三角</t>
        </is>
      </c>
      <c r="L38" s="82" t="inlineStr">
        <is>
          <t>bottom_center；Godot Y上，近战-Z前</t>
        </is>
      </c>
      <c r="M38" s="82" t="inlineStr">
        <is>
          <t>mod_bullet_piercing</t>
        </is>
      </c>
      <c r="N38" s="82" t="inlineStr">
        <is>
          <t>已优化并正式接入</t>
        </is>
      </c>
      <c r="O38" s="83" t="inlineStr">
        <is>
          <t>v001</t>
        </is>
      </c>
      <c r="P38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39">
      <c r="A39" s="81" t="inlineStr">
        <is>
          <t>WPN-BUL-MOD-BULLET-EXPLOSIVE</t>
        </is>
      </c>
      <c r="B39" s="82" t="inlineStr">
        <is>
          <t>爆炸弹模块 / preview</t>
        </is>
      </c>
      <c r="C39" s="83" t="inlineStr">
        <is>
          <t>assets/art/items_weapons/weapons/bullet_module_explosive/runtime/wpn_bullet_module_explosive_preview_root_top3d.tscn</t>
        </is>
      </c>
      <c r="D39" s="83" t="inlineStr">
        <is>
          <t>assets/art/items_weapons/weapons/bullet_module_explosive/components/wpn_bullet_module_explosive_preview_visual_top3d.glb</t>
        </is>
      </c>
      <c r="E39" s="83" t="inlineStr">
        <is>
          <t>art_source/items_weapons/weapons/bullet_module_explosive/source/wpn_bullet_module_explosive_source_v001.blend</t>
        </is>
      </c>
      <c r="F39" s="82" t="inlineStr">
        <is>
          <t>纯视觉；游戏规则由原系统持有</t>
        </is>
      </c>
      <c r="G39" s="83" t="inlineStr">
        <is>
          <t>src/world3d/ItemModelFactory3D.gd; src/combat3d/WeaponModel3D.gd</t>
        </is>
      </c>
      <c r="H39" s="82" t="inlineStr">
        <is>
          <t>无</t>
        </is>
      </c>
      <c r="I39" s="82" t="inlineStr">
        <is>
          <t>外部玩法</t>
        </is>
      </c>
      <c r="J39" s="82" t="inlineStr">
        <is>
          <t>外部拾取球/原近战扫掠</t>
        </is>
      </c>
      <c r="K39" s="82" t="inlineStr">
        <is>
          <t>[0.6087619662284851, 0.940000057220459, 0.622190535068512]；1604三角</t>
        </is>
      </c>
      <c r="L39" s="82" t="inlineStr">
        <is>
          <t>bottom_center；Godot Y上，近战-Z前</t>
        </is>
      </c>
      <c r="M39" s="82" t="inlineStr">
        <is>
          <t>mod_bullet_explosive</t>
        </is>
      </c>
      <c r="N39" s="82" t="inlineStr">
        <is>
          <t>已优化并正式接入</t>
        </is>
      </c>
      <c r="O39" s="83" t="inlineStr">
        <is>
          <t>v001</t>
        </is>
      </c>
      <c r="P39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40">
      <c r="A40" s="81" t="inlineStr">
        <is>
          <t>WPN-BUL-MOD-BULLET-EXPLOSIVE</t>
        </is>
      </c>
      <c r="B40" s="82" t="inlineStr">
        <is>
          <t>爆炸弹模块 / ground</t>
        </is>
      </c>
      <c r="C40" s="83" t="inlineStr">
        <is>
          <t>assets/art/items_weapons/weapons/bullet_module_explosive/runtime/wpn_bullet_module_explosive_ground_root_top3d.tscn</t>
        </is>
      </c>
      <c r="D40" s="83" t="inlineStr">
        <is>
          <t>assets/art/items_weapons/weapons/bullet_module_explosive/components/wpn_bullet_module_explosive_ground_visual_top3d.glb</t>
        </is>
      </c>
      <c r="E40" s="83" t="inlineStr">
        <is>
          <t>art_source/items_weapons/weapons/bullet_module_explosive/source/wpn_bullet_module_explosive_ground_source_v001.blend</t>
        </is>
      </c>
      <c r="F40" s="82" t="inlineStr">
        <is>
          <t>纯视觉；游戏规则由原系统持有</t>
        </is>
      </c>
      <c r="G40" s="83" t="inlineStr">
        <is>
          <t>src/world3d/ItemModelFactory3D.gd; src/combat3d/WeaponModel3D.gd</t>
        </is>
      </c>
      <c r="H40" s="82" t="inlineStr">
        <is>
          <t>无</t>
        </is>
      </c>
      <c r="I40" s="82" t="inlineStr">
        <is>
          <t>外部玩法</t>
        </is>
      </c>
      <c r="J40" s="82" t="inlineStr">
        <is>
          <t>外部拾取球/原近战扫掠</t>
        </is>
      </c>
      <c r="K40" s="82" t="inlineStr">
        <is>
          <t>[0.6087619662284851, 0.940000057220459, 0.622190535068512]；180三角</t>
        </is>
      </c>
      <c r="L40" s="82" t="inlineStr">
        <is>
          <t>bottom_center；Godot Y上，近战-Z前</t>
        </is>
      </c>
      <c r="M40" s="82" t="inlineStr">
        <is>
          <t>mod_bullet_explosive</t>
        </is>
      </c>
      <c r="N40" s="82" t="inlineStr">
        <is>
          <t>已优化并正式接入</t>
        </is>
      </c>
      <c r="O40" s="83" t="inlineStr">
        <is>
          <t>v001</t>
        </is>
      </c>
      <c r="P40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41">
      <c r="A41" s="81" t="inlineStr">
        <is>
          <t>WPN-BUL-MOD-BULLET-HOMING</t>
        </is>
      </c>
      <c r="B41" s="82" t="inlineStr">
        <is>
          <t>蜂卵弹模块 / preview</t>
        </is>
      </c>
      <c r="C41" s="83" t="inlineStr">
        <is>
          <t>assets/art/items_weapons/weapons/bullet_module_homing/runtime/wpn_bullet_module_homing_preview_root_top3d.tscn</t>
        </is>
      </c>
      <c r="D41" s="83" t="inlineStr">
        <is>
          <t>assets/art/items_weapons/weapons/bullet_module_homing/components/wpn_bullet_module_homing_preview_visual_top3d.glb</t>
        </is>
      </c>
      <c r="E41" s="83" t="inlineStr">
        <is>
          <t>art_source/items_weapons/weapons/bullet_module_homing/source/wpn_bullet_module_homing_source_v001.blend</t>
        </is>
      </c>
      <c r="F41" s="82" t="inlineStr">
        <is>
          <t>纯视觉；游戏规则由原系统持有</t>
        </is>
      </c>
      <c r="G41" s="83" t="inlineStr">
        <is>
          <t>src/world3d/ItemModelFactory3D.gd; src/combat3d/WeaponModel3D.gd</t>
        </is>
      </c>
      <c r="H41" s="82" t="inlineStr">
        <is>
          <t>无</t>
        </is>
      </c>
      <c r="I41" s="82" t="inlineStr">
        <is>
          <t>外部玩法</t>
        </is>
      </c>
      <c r="J41" s="82" t="inlineStr">
        <is>
          <t>外部拾取球/原近战扫掠</t>
        </is>
      </c>
      <c r="K41" s="82" t="inlineStr">
        <is>
          <t>[0.7946391701698303, 0.9399999976158142, 0.5930721759796143]；1992三角</t>
        </is>
      </c>
      <c r="L41" s="82" t="inlineStr">
        <is>
          <t>bottom_center；Godot Y上，近战-Z前</t>
        </is>
      </c>
      <c r="M41" s="82" t="inlineStr">
        <is>
          <t>mod_bullet_homing</t>
        </is>
      </c>
      <c r="N41" s="82" t="inlineStr">
        <is>
          <t>已优化并正式接入</t>
        </is>
      </c>
      <c r="O41" s="83" t="inlineStr">
        <is>
          <t>v001</t>
        </is>
      </c>
      <c r="P41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42">
      <c r="A42" s="81" t="inlineStr">
        <is>
          <t>WPN-BUL-MOD-BULLET-HOMING</t>
        </is>
      </c>
      <c r="B42" s="82" t="inlineStr">
        <is>
          <t>蜂卵弹模块 / ground</t>
        </is>
      </c>
      <c r="C42" s="83" t="inlineStr">
        <is>
          <t>assets/art/items_weapons/weapons/bullet_module_homing/runtime/wpn_bullet_module_homing_ground_root_top3d.tscn</t>
        </is>
      </c>
      <c r="D42" s="83" t="inlineStr">
        <is>
          <t>assets/art/items_weapons/weapons/bullet_module_homing/components/wpn_bullet_module_homing_ground_visual_top3d.glb</t>
        </is>
      </c>
      <c r="E42" s="83" t="inlineStr">
        <is>
          <t>art_source/items_weapons/weapons/bullet_module_homing/source/wpn_bullet_module_homing_ground_source_v001.blend</t>
        </is>
      </c>
      <c r="F42" s="82" t="inlineStr">
        <is>
          <t>纯视觉；游戏规则由原系统持有</t>
        </is>
      </c>
      <c r="G42" s="83" t="inlineStr">
        <is>
          <t>src/world3d/ItemModelFactory3D.gd; src/combat3d/WeaponModel3D.gd</t>
        </is>
      </c>
      <c r="H42" s="82" t="inlineStr">
        <is>
          <t>无</t>
        </is>
      </c>
      <c r="I42" s="82" t="inlineStr">
        <is>
          <t>外部玩法</t>
        </is>
      </c>
      <c r="J42" s="82" t="inlineStr">
        <is>
          <t>外部拾取球/原近战扫掠</t>
        </is>
      </c>
      <c r="K42" s="82" t="inlineStr">
        <is>
          <t>[0.7946391701698303, 0.9399999976158142, 0.5930721759796143]；194三角</t>
        </is>
      </c>
      <c r="L42" s="82" t="inlineStr">
        <is>
          <t>bottom_center；Godot Y上，近战-Z前</t>
        </is>
      </c>
      <c r="M42" s="82" t="inlineStr">
        <is>
          <t>mod_bullet_homing</t>
        </is>
      </c>
      <c r="N42" s="82" t="inlineStr">
        <is>
          <t>已优化并正式接入</t>
        </is>
      </c>
      <c r="O42" s="83" t="inlineStr">
        <is>
          <t>v001</t>
        </is>
      </c>
      <c r="P42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43">
      <c r="A43" s="81" t="inlineStr">
        <is>
          <t>WPN-BUL-MOD-BULLET-BLACKHOLE</t>
        </is>
      </c>
      <c r="B43" s="82" t="inlineStr">
        <is>
          <t>黑洞弹模块 / preview</t>
        </is>
      </c>
      <c r="C43" s="83" t="inlineStr">
        <is>
          <t>assets/art/items_weapons/weapons/bullet_module_blackhole/runtime/wpn_bullet_module_blackhole_preview_root_top3d.tscn</t>
        </is>
      </c>
      <c r="D43" s="83" t="inlineStr">
        <is>
          <t>assets/art/items_weapons/weapons/bullet_module_blackhole/components/wpn_bullet_module_blackhole_preview_visual_top3d.glb</t>
        </is>
      </c>
      <c r="E43" s="83" t="inlineStr">
        <is>
          <t>art_source/items_weapons/weapons/bullet_module_blackhole/source/wpn_bullet_module_blackhole_source_v001.blend</t>
        </is>
      </c>
      <c r="F43" s="82" t="inlineStr">
        <is>
          <t>纯视觉；游戏规则由原系统持有</t>
        </is>
      </c>
      <c r="G43" s="83" t="inlineStr">
        <is>
          <t>src/world3d/ItemModelFactory3D.gd; src/combat3d/WeaponModel3D.gd</t>
        </is>
      </c>
      <c r="H43" s="82" t="inlineStr">
        <is>
          <t>无</t>
        </is>
      </c>
      <c r="I43" s="82" t="inlineStr">
        <is>
          <t>外部玩法</t>
        </is>
      </c>
      <c r="J43" s="82" t="inlineStr">
        <is>
          <t>外部拾取球/原近战扫掠</t>
        </is>
      </c>
      <c r="K43" s="82" t="inlineStr">
        <is>
          <t>[0.7773077487945557, 0.9399999976158142, 0.5242307782173157]；1424三角</t>
        </is>
      </c>
      <c r="L43" s="82" t="inlineStr">
        <is>
          <t>bottom_center；Godot Y上，近战-Z前</t>
        </is>
      </c>
      <c r="M43" s="82" t="inlineStr">
        <is>
          <t>mod_bullet_blackhole</t>
        </is>
      </c>
      <c r="N43" s="82" t="inlineStr">
        <is>
          <t>已优化并正式接入</t>
        </is>
      </c>
      <c r="O43" s="83" t="inlineStr">
        <is>
          <t>v001</t>
        </is>
      </c>
      <c r="P43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44">
      <c r="A44" s="81" t="inlineStr">
        <is>
          <t>WPN-BUL-MOD-BULLET-BLACKHOLE</t>
        </is>
      </c>
      <c r="B44" s="82" t="inlineStr">
        <is>
          <t>黑洞弹模块 / ground</t>
        </is>
      </c>
      <c r="C44" s="83" t="inlineStr">
        <is>
          <t>assets/art/items_weapons/weapons/bullet_module_blackhole/runtime/wpn_bullet_module_blackhole_ground_root_top3d.tscn</t>
        </is>
      </c>
      <c r="D44" s="83" t="inlineStr">
        <is>
          <t>assets/art/items_weapons/weapons/bullet_module_blackhole/components/wpn_bullet_module_blackhole_ground_visual_top3d.glb</t>
        </is>
      </c>
      <c r="E44" s="83" t="inlineStr">
        <is>
          <t>art_source/items_weapons/weapons/bullet_module_blackhole/source/wpn_bullet_module_blackhole_ground_source_v001.blend</t>
        </is>
      </c>
      <c r="F44" s="82" t="inlineStr">
        <is>
          <t>纯视觉；游戏规则由原系统持有</t>
        </is>
      </c>
      <c r="G44" s="83" t="inlineStr">
        <is>
          <t>src/world3d/ItemModelFactory3D.gd; src/combat3d/WeaponModel3D.gd</t>
        </is>
      </c>
      <c r="H44" s="82" t="inlineStr">
        <is>
          <t>无</t>
        </is>
      </c>
      <c r="I44" s="82" t="inlineStr">
        <is>
          <t>外部玩法</t>
        </is>
      </c>
      <c r="J44" s="82" t="inlineStr">
        <is>
          <t>外部拾取球/原近战扫掠</t>
        </is>
      </c>
      <c r="K44" s="82" t="inlineStr">
        <is>
          <t>[0.7773077487945557, 0.9399999976158142, 0.5242307782173157]；194三角</t>
        </is>
      </c>
      <c r="L44" s="82" t="inlineStr">
        <is>
          <t>bottom_center；Godot Y上，近战-Z前</t>
        </is>
      </c>
      <c r="M44" s="82" t="inlineStr">
        <is>
          <t>mod_bullet_blackhole</t>
        </is>
      </c>
      <c r="N44" s="82" t="inlineStr">
        <is>
          <t>已优化并正式接入</t>
        </is>
      </c>
      <c r="O44" s="83" t="inlineStr">
        <is>
          <t>v001</t>
        </is>
      </c>
      <c r="P44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45">
      <c r="A45" s="81" t="inlineStr">
        <is>
          <t>WPN-BUL-MOD-BULLET-BALLOON</t>
        </is>
      </c>
      <c r="B45" s="82" t="inlineStr">
        <is>
          <t>气球弹模块 / preview</t>
        </is>
      </c>
      <c r="C45" s="83" t="inlineStr">
        <is>
          <t>assets/art/items_weapons/weapons/bullet_module_balloon/runtime/wpn_bullet_module_balloon_preview_root_top3d.tscn</t>
        </is>
      </c>
      <c r="D45" s="83" t="inlineStr">
        <is>
          <t>assets/art/items_weapons/weapons/bullet_module_balloon/components/wpn_bullet_module_balloon_preview_visual_top3d.glb</t>
        </is>
      </c>
      <c r="E45" s="83" t="inlineStr">
        <is>
          <t>art_source/items_weapons/weapons/bullet_module_balloon/source/wpn_bullet_module_balloon_source_v001.blend</t>
        </is>
      </c>
      <c r="F45" s="82" t="inlineStr">
        <is>
          <t>纯视觉；游戏规则由原系统持有</t>
        </is>
      </c>
      <c r="G45" s="83" t="inlineStr">
        <is>
          <t>src/world3d/ItemModelFactory3D.gd; src/combat3d/WeaponModel3D.gd</t>
        </is>
      </c>
      <c r="H45" s="82" t="inlineStr">
        <is>
          <t>无</t>
        </is>
      </c>
      <c r="I45" s="82" t="inlineStr">
        <is>
          <t>外部玩法</t>
        </is>
      </c>
      <c r="J45" s="82" t="inlineStr">
        <is>
          <t>外部拾取球/原近战扫掠</t>
        </is>
      </c>
      <c r="K45" s="82" t="inlineStr">
        <is>
          <t>[0.6207547187805176, 0.9399999976158142, 0.6207547187805176]；1324三角</t>
        </is>
      </c>
      <c r="L45" s="82" t="inlineStr">
        <is>
          <t>bottom_center；Godot Y上，近战-Z前</t>
        </is>
      </c>
      <c r="M45" s="82" t="inlineStr">
        <is>
          <t>mod_bullet_balloon</t>
        </is>
      </c>
      <c r="N45" s="82" t="inlineStr">
        <is>
          <t>已优化并正式接入</t>
        </is>
      </c>
      <c r="O45" s="83" t="inlineStr">
        <is>
          <t>v001</t>
        </is>
      </c>
      <c r="P45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46">
      <c r="A46" s="81" t="inlineStr">
        <is>
          <t>WPN-BUL-MOD-BULLET-BALLOON</t>
        </is>
      </c>
      <c r="B46" s="82" t="inlineStr">
        <is>
          <t>气球弹模块 / ground</t>
        </is>
      </c>
      <c r="C46" s="83" t="inlineStr">
        <is>
          <t>assets/art/items_weapons/weapons/bullet_module_balloon/runtime/wpn_bullet_module_balloon_ground_root_top3d.tscn</t>
        </is>
      </c>
      <c r="D46" s="83" t="inlineStr">
        <is>
          <t>assets/art/items_weapons/weapons/bullet_module_balloon/components/wpn_bullet_module_balloon_ground_visual_top3d.glb</t>
        </is>
      </c>
      <c r="E46" s="83" t="inlineStr">
        <is>
          <t>art_source/items_weapons/weapons/bullet_module_balloon/source/wpn_bullet_module_balloon_ground_source_v001.blend</t>
        </is>
      </c>
      <c r="F46" s="82" t="inlineStr">
        <is>
          <t>纯视觉；游戏规则由原系统持有</t>
        </is>
      </c>
      <c r="G46" s="83" t="inlineStr">
        <is>
          <t>src/world3d/ItemModelFactory3D.gd; src/combat3d/WeaponModel3D.gd</t>
        </is>
      </c>
      <c r="H46" s="82" t="inlineStr">
        <is>
          <t>无</t>
        </is>
      </c>
      <c r="I46" s="82" t="inlineStr">
        <is>
          <t>外部玩法</t>
        </is>
      </c>
      <c r="J46" s="82" t="inlineStr">
        <is>
          <t>外部拾取球/原近战扫掠</t>
        </is>
      </c>
      <c r="K46" s="82" t="inlineStr">
        <is>
          <t>[0.6207547187805176, 0.9399999976158142, 0.6207547187805176]；168三角</t>
        </is>
      </c>
      <c r="L46" s="82" t="inlineStr">
        <is>
          <t>bottom_center；Godot Y上，近战-Z前</t>
        </is>
      </c>
      <c r="M46" s="82" t="inlineStr">
        <is>
          <t>mod_bullet_balloon</t>
        </is>
      </c>
      <c r="N46" s="82" t="inlineStr">
        <is>
          <t>已优化并正式接入</t>
        </is>
      </c>
      <c r="O46" s="83" t="inlineStr">
        <is>
          <t>v001</t>
        </is>
      </c>
      <c r="P46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47">
      <c r="A47" s="81" t="inlineStr">
        <is>
          <t>WPN-ATT-ATTACH-FAN</t>
        </is>
      </c>
      <c r="B47" s="82" t="inlineStr">
        <is>
          <t>小风扇 / preview</t>
        </is>
      </c>
      <c r="C47" s="83" t="inlineStr">
        <is>
          <t>assets/art/items_weapons/weapons/attachment_fan/runtime/wpn_attachment_fan_preview_root_top3d.tscn</t>
        </is>
      </c>
      <c r="D47" s="83" t="inlineStr">
        <is>
          <t>assets/art/items_weapons/weapons/attachment_fan/components/wpn_attachment_fan_preview_visual_top3d.glb</t>
        </is>
      </c>
      <c r="E47" s="83" t="inlineStr">
        <is>
          <t>art_source/items_weapons/weapons/attachment_fan/source/wpn_attachment_fan_source_v001.blend</t>
        </is>
      </c>
      <c r="F47" s="82" t="inlineStr">
        <is>
          <t>纯视觉；游戏规则由原系统持有</t>
        </is>
      </c>
      <c r="G47" s="83" t="inlineStr">
        <is>
          <t>src/world3d/ItemModelFactory3D.gd; src/combat3d/WeaponModel3D.gd</t>
        </is>
      </c>
      <c r="H47" s="82" t="inlineStr">
        <is>
          <t>无</t>
        </is>
      </c>
      <c r="I47" s="82" t="inlineStr">
        <is>
          <t>外部玩法</t>
        </is>
      </c>
      <c r="J47" s="82" t="inlineStr">
        <is>
          <t>外部拾取球/原近战扫掠</t>
        </is>
      </c>
      <c r="K47" s="82" t="inlineStr">
        <is>
          <t>[0.4676923155784607, 0.6399999856948853, 0.20615386962890625]；1512三角</t>
        </is>
      </c>
      <c r="L47" s="82" t="inlineStr">
        <is>
          <t>bottom_center；Godot Y上，近战-Z前</t>
        </is>
      </c>
      <c r="M47" s="82" t="inlineStr">
        <is>
          <t>attach_fan</t>
        </is>
      </c>
      <c r="N47" s="82" t="inlineStr">
        <is>
          <t>已优化并正式接入</t>
        </is>
      </c>
      <c r="O47" s="83" t="inlineStr">
        <is>
          <t>v001</t>
        </is>
      </c>
      <c r="P47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48">
      <c r="A48" s="81" t="inlineStr">
        <is>
          <t>WPN-ATT-ATTACH-FAN</t>
        </is>
      </c>
      <c r="B48" s="82" t="inlineStr">
        <is>
          <t>小风扇 / ground</t>
        </is>
      </c>
      <c r="C48" s="83" t="inlineStr">
        <is>
          <t>assets/art/items_weapons/weapons/attachment_fan/runtime/wpn_attachment_fan_ground_root_top3d.tscn</t>
        </is>
      </c>
      <c r="D48" s="83" t="inlineStr">
        <is>
          <t>assets/art/items_weapons/weapons/attachment_fan/components/wpn_attachment_fan_ground_visual_top3d.glb</t>
        </is>
      </c>
      <c r="E48" s="83" t="inlineStr">
        <is>
          <t>art_source/items_weapons/weapons/attachment_fan/source/wpn_attachment_fan_ground_source_v001.blend</t>
        </is>
      </c>
      <c r="F48" s="82" t="inlineStr">
        <is>
          <t>纯视觉；游戏规则由原系统持有</t>
        </is>
      </c>
      <c r="G48" s="83" t="inlineStr">
        <is>
          <t>src/world3d/ItemModelFactory3D.gd; src/combat3d/WeaponModel3D.gd</t>
        </is>
      </c>
      <c r="H48" s="82" t="inlineStr">
        <is>
          <t>无</t>
        </is>
      </c>
      <c r="I48" s="82" t="inlineStr">
        <is>
          <t>外部玩法</t>
        </is>
      </c>
      <c r="J48" s="82" t="inlineStr">
        <is>
          <t>外部拾取球/原近战扫掠</t>
        </is>
      </c>
      <c r="K48" s="82" t="inlineStr">
        <is>
          <t>[0.4676923155784607, 0.6399999856948853, 0.20615386962890625]；144三角</t>
        </is>
      </c>
      <c r="L48" s="82" t="inlineStr">
        <is>
          <t>bottom_center；Godot Y上，近战-Z前</t>
        </is>
      </c>
      <c r="M48" s="82" t="inlineStr">
        <is>
          <t>attach_fan</t>
        </is>
      </c>
      <c r="N48" s="82" t="inlineStr">
        <is>
          <t>已优化并正式接入</t>
        </is>
      </c>
      <c r="O48" s="83" t="inlineStr">
        <is>
          <t>v001</t>
        </is>
      </c>
      <c r="P48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49">
      <c r="A49" s="81" t="inlineStr">
        <is>
          <t>WPN-ATT-ATTACH-COPY-STICKER</t>
        </is>
      </c>
      <c r="B49" s="82" t="inlineStr">
        <is>
          <t>复制贴纸 / preview</t>
        </is>
      </c>
      <c r="C49" s="83" t="inlineStr">
        <is>
          <t>assets/art/items_weapons/weapons/copy_sticker/runtime/wpn_copy_sticker_preview_root_top3d.tscn</t>
        </is>
      </c>
      <c r="D49" s="83" t="inlineStr">
        <is>
          <t>assets/art/items_weapons/weapons/copy_sticker/components/wpn_copy_sticker_preview_visual_top3d.glb</t>
        </is>
      </c>
      <c r="E49" s="83" t="inlineStr">
        <is>
          <t>art_source/items_weapons/weapons/copy_sticker/source/wpn_copy_sticker_source_v001.blend</t>
        </is>
      </c>
      <c r="F49" s="82" t="inlineStr">
        <is>
          <t>纯视觉；游戏规则由原系统持有</t>
        </is>
      </c>
      <c r="G49" s="83" t="inlineStr">
        <is>
          <t>src/world3d/ItemModelFactory3D.gd; src/combat3d/WeaponModel3D.gd</t>
        </is>
      </c>
      <c r="H49" s="82" t="inlineStr">
        <is>
          <t>无</t>
        </is>
      </c>
      <c r="I49" s="82" t="inlineStr">
        <is>
          <t>外部玩法</t>
        </is>
      </c>
      <c r="J49" s="82" t="inlineStr">
        <is>
          <t>外部拾取球/原近战扫掠</t>
        </is>
      </c>
      <c r="K49" s="82" t="inlineStr">
        <is>
          <t>[0.7014707326889038, 0.6399999260902405, 0.25417670607566833]；1316三角</t>
        </is>
      </c>
      <c r="L49" s="82" t="inlineStr">
        <is>
          <t>bottom_center；Godot Y上，近战-Z前</t>
        </is>
      </c>
      <c r="M49" s="82" t="inlineStr">
        <is>
          <t>attach_copy_sticker</t>
        </is>
      </c>
      <c r="N49" s="82" t="inlineStr">
        <is>
          <t>已优化并正式接入</t>
        </is>
      </c>
      <c r="O49" s="83" t="inlineStr">
        <is>
          <t>v001</t>
        </is>
      </c>
      <c r="P49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50">
      <c r="A50" s="81" t="inlineStr">
        <is>
          <t>WPN-ATT-ATTACH-COPY-STICKER</t>
        </is>
      </c>
      <c r="B50" s="82" t="inlineStr">
        <is>
          <t>复制贴纸 / ground</t>
        </is>
      </c>
      <c r="C50" s="83" t="inlineStr">
        <is>
          <t>assets/art/items_weapons/weapons/copy_sticker/runtime/wpn_copy_sticker_ground_root_top3d.tscn</t>
        </is>
      </c>
      <c r="D50" s="83" t="inlineStr">
        <is>
          <t>assets/art/items_weapons/weapons/copy_sticker/components/wpn_copy_sticker_ground_visual_top3d.glb</t>
        </is>
      </c>
      <c r="E50" s="83" t="inlineStr">
        <is>
          <t>art_source/items_weapons/weapons/copy_sticker/source/wpn_copy_sticker_ground_source_v001.blend</t>
        </is>
      </c>
      <c r="F50" s="82" t="inlineStr">
        <is>
          <t>纯视觉；游戏规则由原系统持有</t>
        </is>
      </c>
      <c r="G50" s="83" t="inlineStr">
        <is>
          <t>src/world3d/ItemModelFactory3D.gd; src/combat3d/WeaponModel3D.gd</t>
        </is>
      </c>
      <c r="H50" s="82" t="inlineStr">
        <is>
          <t>无</t>
        </is>
      </c>
      <c r="I50" s="82" t="inlineStr">
        <is>
          <t>外部玩法</t>
        </is>
      </c>
      <c r="J50" s="82" t="inlineStr">
        <is>
          <t>外部拾取球/原近战扫掠</t>
        </is>
      </c>
      <c r="K50" s="82" t="inlineStr">
        <is>
          <t>[0.7014707326889038, 0.6399999260902405, 0.25417670607566833]；150三角</t>
        </is>
      </c>
      <c r="L50" s="82" t="inlineStr">
        <is>
          <t>bottom_center；Godot Y上，近战-Z前</t>
        </is>
      </c>
      <c r="M50" s="82" t="inlineStr">
        <is>
          <t>attach_copy_sticker</t>
        </is>
      </c>
      <c r="N50" s="82" t="inlineStr">
        <is>
          <t>已优化并正式接入</t>
        </is>
      </c>
      <c r="O50" s="83" t="inlineStr">
        <is>
          <t>v001</t>
        </is>
      </c>
      <c r="P50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51">
      <c r="A51" s="81" t="inlineStr">
        <is>
          <t>WPN-MELEE-BP-BASEBALL-BAT</t>
        </is>
      </c>
      <c r="B51" s="82" t="inlineStr">
        <is>
          <t>废土棒球棍 / preview</t>
        </is>
      </c>
      <c r="C51" s="83" t="inlineStr">
        <is>
          <t>assets/art/items_weapons/weapons/melee_baseball_bat/runtime/wpn_melee_baseball_bat_preview_root_top3d.tscn</t>
        </is>
      </c>
      <c r="D51" s="83" t="inlineStr">
        <is>
          <t>assets/art/items_weapons/weapons/melee_baseball_bat/components/wpn_melee_baseball_bat_preview_visual_top3d.glb</t>
        </is>
      </c>
      <c r="E51" s="83" t="inlineStr">
        <is>
          <t>art_source/items_weapons/weapons/melee_baseball_bat/source/wpn_melee_baseball_bat_source_v001.blend</t>
        </is>
      </c>
      <c r="F51" s="82" t="inlineStr">
        <is>
          <t>纯视觉；游戏规则由原系统持有</t>
        </is>
      </c>
      <c r="G51" s="83" t="inlineStr">
        <is>
          <t>src/world3d/ItemModelFactory3D.gd; src/combat3d/WeaponModel3D.gd</t>
        </is>
      </c>
      <c r="H51" s="82" t="inlineStr">
        <is>
          <t>无</t>
        </is>
      </c>
      <c r="I51" s="82" t="inlineStr">
        <is>
          <t>外部玩法</t>
        </is>
      </c>
      <c r="J51" s="82" t="inlineStr">
        <is>
          <t>外部拾取球/原近战扫掠</t>
        </is>
      </c>
      <c r="K51" s="82" t="inlineStr">
        <is>
          <t>[0.46580973267555237, 0.46580973267555237, 1.7349998950958252]；1604三角</t>
        </is>
      </c>
      <c r="L51" s="82" t="inlineStr">
        <is>
          <t>existing_grip；Godot Y上，近战-Z前</t>
        </is>
      </c>
      <c r="M51" s="82" t="inlineStr">
        <is>
          <t>weapon_baseball_bat</t>
        </is>
      </c>
      <c r="N51" s="82" t="inlineStr">
        <is>
          <t>已优化并正式接入</t>
        </is>
      </c>
      <c r="O51" s="83" t="inlineStr">
        <is>
          <t>v001</t>
        </is>
      </c>
      <c r="P51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52">
      <c r="A52" s="81" t="inlineStr">
        <is>
          <t>WPN-MELEE-BP-GREATBLADE</t>
        </is>
      </c>
      <c r="B52" s="82" t="inlineStr">
        <is>
          <t>巨型工业断刃 / preview</t>
        </is>
      </c>
      <c r="C52" s="83" t="inlineStr">
        <is>
          <t>assets/art/items_weapons/weapons/melee_greatblade/runtime/wpn_melee_greatblade_preview_root_top3d.tscn</t>
        </is>
      </c>
      <c r="D52" s="83" t="inlineStr">
        <is>
          <t>assets/art/items_weapons/weapons/melee_greatblade/components/wpn_melee_greatblade_preview_visual_top3d.glb</t>
        </is>
      </c>
      <c r="E52" s="83" t="inlineStr">
        <is>
          <t>art_source/items_weapons/weapons/melee_greatblade/source/wpn_melee_greatblade_source_v001.blend</t>
        </is>
      </c>
      <c r="F52" s="82" t="inlineStr">
        <is>
          <t>纯视觉；游戏规则由原系统持有</t>
        </is>
      </c>
      <c r="G52" s="83" t="inlineStr">
        <is>
          <t>src/world3d/ItemModelFactory3D.gd; src/combat3d/WeaponModel3D.gd</t>
        </is>
      </c>
      <c r="H52" s="82" t="inlineStr">
        <is>
          <t>无</t>
        </is>
      </c>
      <c r="I52" s="82" t="inlineStr">
        <is>
          <t>外部玩法</t>
        </is>
      </c>
      <c r="J52" s="82" t="inlineStr">
        <is>
          <t>外部拾取球/原近战扫掠</t>
        </is>
      </c>
      <c r="K52" s="82" t="inlineStr">
        <is>
          <t>[1.1473641395568848, 0.407951682806015, 2.9194042682647705]；1708三角</t>
        </is>
      </c>
      <c r="L52" s="82" t="inlineStr">
        <is>
          <t>existing_grip；Godot Y上，近战-Z前</t>
        </is>
      </c>
      <c r="M52" s="82" t="inlineStr">
        <is>
          <t>weapon_greatblade</t>
        </is>
      </c>
      <c r="N52" s="82" t="inlineStr">
        <is>
          <t>已优化并正式接入</t>
        </is>
      </c>
      <c r="O52" s="83" t="inlineStr">
        <is>
          <t>v001</t>
        </is>
      </c>
      <c r="P52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53">
      <c r="A53" s="81" t="inlineStr">
        <is>
          <t>WPN-MELEE-BP-WARAXE</t>
        </is>
      </c>
      <c r="B53" s="82" t="inlineStr">
        <is>
          <t>攻城裂甲斧 / preview</t>
        </is>
      </c>
      <c r="C53" s="83" t="inlineStr">
        <is>
          <t>assets/art/items_weapons/weapons/melee_waraxe/runtime/wpn_melee_waraxe_preview_root_top3d.tscn</t>
        </is>
      </c>
      <c r="D53" s="83" t="inlineStr">
        <is>
          <t>assets/art/items_weapons/weapons/melee_waraxe/components/wpn_melee_waraxe_preview_visual_top3d.glb</t>
        </is>
      </c>
      <c r="E53" s="83" t="inlineStr">
        <is>
          <t>art_source/items_weapons/weapons/melee_waraxe/source/wpn_melee_waraxe_source_v001.blend</t>
        </is>
      </c>
      <c r="F53" s="82" t="inlineStr">
        <is>
          <t>纯视觉；游戏规则由原系统持有</t>
        </is>
      </c>
      <c r="G53" s="83" t="inlineStr">
        <is>
          <t>src/world3d/ItemModelFactory3D.gd; src/combat3d/WeaponModel3D.gd</t>
        </is>
      </c>
      <c r="H53" s="82" t="inlineStr">
        <is>
          <t>无</t>
        </is>
      </c>
      <c r="I53" s="82" t="inlineStr">
        <is>
          <t>外部玩法</t>
        </is>
      </c>
      <c r="J53" s="82" t="inlineStr">
        <is>
          <t>外部拾取球/原近战扫掠</t>
        </is>
      </c>
      <c r="K53" s="82" t="inlineStr">
        <is>
          <t>[1.6731491088867188, 0.45187240839004517, 2.8700003623962402]；1300三角</t>
        </is>
      </c>
      <c r="L53" s="82" t="inlineStr">
        <is>
          <t>existing_grip；Godot Y上，近战-Z前</t>
        </is>
      </c>
      <c r="M53" s="82" t="inlineStr">
        <is>
          <t>weapon_waraxe</t>
        </is>
      </c>
      <c r="N53" s="82" t="inlineStr">
        <is>
          <t>已优化并正式接入</t>
        </is>
      </c>
      <c r="O53" s="83" t="inlineStr">
        <is>
          <t>v001</t>
        </is>
      </c>
      <c r="P53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</sheetData>
  <autoFilter ref="A4:P53"/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45" min="1" max="1"/>
    <col width="15.51" customWidth="1" style="45" min="2" max="2"/>
    <col width="28.65" customWidth="1" style="45" min="3" max="3"/>
    <col width="33.42" customWidth="1" style="45" min="4" max="4"/>
    <col width="83.55" customWidth="1" style="45" min="5" max="5"/>
    <col width="57.29" customWidth="1" style="45" min="6" max="6"/>
    <col width="14.33" customWidth="1" style="45" min="7" max="7"/>
  </cols>
  <sheetData>
    <row r="1" ht="15" customHeight="1" s="46">
      <c r="A1" s="64" t="inlineStr">
        <is>
          <t>武器账本变更日志</t>
        </is>
      </c>
    </row>
    <row r="2" ht="15" customHeight="1" s="46"/>
    <row r="3" ht="15" customHeight="1" s="46">
      <c r="A3" s="48" t="inlineStr">
        <is>
          <t>只记录本账本的域内变更；跨域与全局变更记录在主账本《版本记录》</t>
        </is>
      </c>
    </row>
    <row r="5" ht="15" customHeight="1" s="46">
      <c r="A5" s="52" t="inlineStr">
        <is>
          <t>台账版本</t>
        </is>
      </c>
      <c r="B5" s="52" t="inlineStr">
        <is>
          <t>日期</t>
        </is>
      </c>
      <c r="C5" s="52" t="inlineStr">
        <is>
          <t>变更类型</t>
        </is>
      </c>
      <c r="D5" s="52" t="inlineStr">
        <is>
          <t>范围</t>
        </is>
      </c>
      <c r="E5" s="52" t="inlineStr">
        <is>
          <t>说明</t>
        </is>
      </c>
      <c r="F5" s="52" t="inlineStr">
        <is>
          <t>兼容性</t>
        </is>
      </c>
      <c r="G5" s="52" t="inlineStr">
        <is>
          <t>负责人</t>
        </is>
      </c>
    </row>
    <row r="6" ht="45.75" customHeight="1" s="46">
      <c r="A6" s="63" t="inlineStr">
        <is>
          <t>v0.1.0</t>
        </is>
      </c>
      <c r="B6" s="63" t="inlineStr">
        <is>
          <t>2026-09-18</t>
        </is>
      </c>
      <c r="C6" s="56" t="inlineStr">
        <is>
          <t>分账本建立</t>
        </is>
      </c>
      <c r="D6" s="56" t="inlineStr">
        <is>
          <t>武器</t>
        </is>
      </c>
      <c r="E6" s="56" t="inlineStr">
        <is>
          <t>由单体账本《ShellStorm2_美术资产台账_v001.xlsx》按大类拆分而来；本账本接管大类=武器，条目内容逐格不变，仅登记位置变化。</t>
        </is>
      </c>
      <c r="F6" s="56" t="inlineStr">
        <is>
          <t>资产条目、AssetID、路径与哈希全部不变；只换文件。旧引用可用 scripts/ledger_registry.py 解析。</t>
        </is>
      </c>
      <c r="G6" s="56" t="inlineStr">
        <is>
          <t>摩斯拉</t>
        </is>
      </c>
    </row>
    <row r="7">
      <c r="A7" s="63" t="inlineStr">
        <is>
          <t>v0.1.1</t>
        </is>
      </c>
      <c r="B7" s="63" t="inlineStr">
        <is>
          <t>2026-10-14</t>
        </is>
      </c>
      <c r="C7" s="56" t="inlineStr">
        <is>
          <t>参考图8件道具：Blender原始源</t>
        </is>
      </c>
      <c r="D7" s="56" t="inlineStr">
        <is>
          <t>道具与武器原始源</t>
        </is>
      </c>
      <c r="E7" s="56" t="inlineStr">
        <is>
          <t>WPN-ATT-ATTACH-BIG-MAG,WPN-BUL-MOD-BULLET-STANDARD,WPN-ATT-ATTACH-RUBBER-STOCK,WPN-ATT-ATTACH-SCOPE,WPN-ATT-ATTACH-TRIPLE-MUZZLE</t>
        </is>
      </c>
      <c r="F7" s="56" t="inlineStr">
        <is>
          <t>实测尺寸/场景四材质/源已完成；未运行时接入</t>
        </is>
      </c>
      <c r="G7" s="56" t="inlineStr">
        <is>
          <t>Codex</t>
        </is>
      </c>
    </row>
    <row r="8" s="46">
      <c r="A8" s="45" t="inlineStr">
        <is>
          <t>v0.1.100</t>
        </is>
      </c>
      <c r="B8" s="45" t="inlineStr">
        <is>
          <t>2026-10-14</t>
        </is>
      </c>
      <c r="C8" s="45" t="inlineStr">
        <is>
          <t>物品道具双模型源</t>
        </is>
      </c>
      <c r="D8" s="45" t="inlineStr">
        <is>
          <t>preview / ground</t>
        </is>
      </c>
      <c r="E8" s="45" t="inlineStr">
        <is>
          <t>现有高模保留；地面100–200三角面</t>
        </is>
      </c>
      <c r="F8" s="45" t="inlineStr">
        <is>
          <t>源已完成；运行时用途选择未接入</t>
        </is>
      </c>
      <c r="G8" s="45" t="inlineStr">
        <is>
          <t>Codex</t>
        </is>
      </c>
    </row>
    <row r="9" s="46">
      <c r="A9" s="45" t="inlineStr">
        <is>
          <t>v0.1.101</t>
        </is>
      </c>
      <c r="B9" s="45" t="inlineStr">
        <is>
          <t>2026-10-14</t>
        </is>
      </c>
      <c r="C9" s="45" t="inlineStr">
        <is>
          <t>武器基础数值与范围伤害调整（内容侧）</t>
        </is>
      </c>
      <c r="D9" s="45" t="inlineStr">
        <is>
          <t>远程枪身 / 配件 / 范围爆炸</t>
        </is>
      </c>
      <c r="E9" s="45" t="inlineStr">
        <is>
          <t>豌豆手枪18→25、花洒机枪8→12、散射喷壶12→45、步枪22→60、弹弓狙击55→380、反胃榴弹筒38→250且射速0.8→1、放大镜瞄具伤害+5→+15、蓄力萝卜炮30→880；反胃榴弹筒与蓄力萝卜炮新增 explosion_damage_scale（中心范围伤害180/560）；蓄力萝卜炮新增 explosive 行为标签，获得命中范围爆炸。数值真身 src/base/BlueprintRegistry.gd 与 src/combat3d/WeaponModel3D.gd；内容数据库《武器》表已同步。</t>
        </is>
      </c>
      <c r="F9" s="45" t="inlineStr">
        <is>
          <t>本账本《资产主表》不持玩法数值：资产条目、AssetID、路径与SHA-256全部不变。旧存档 WeaponInstance.assembly_snapshot 保留生成时 base_stats，旧枪不自动生效新数值。</t>
        </is>
      </c>
      <c r="G9" s="45" t="inlineStr">
        <is>
          <t>摩斯拉</t>
        </is>
      </c>
    </row>
    <row r="10">
      <c r="A10" s="45" t="inlineStr">
        <is>
          <t>v0.1.102</t>
        </is>
      </c>
      <c r="B10" s="45" t="inlineStr">
        <is>
          <t>2026-10-14</t>
        </is>
      </c>
      <c r="C10" s="45" t="inlineStr">
        <is>
          <t>地面简模正式路径与代码接线</t>
        </is>
      </c>
      <c r="D10" s="45" t="inlineStr">
        <is>
          <t>8件物品ground角色</t>
        </is>
      </c>
      <c r="E10" s="45" t="inlineStr">
        <is>
          <t>GLB/PackedScene/公共色盘导入；同一AssetID；预览待导入</t>
        </is>
      </c>
      <c r="F10" s="45" t="inlineStr">
        <is>
          <t>exported_pending_godot_validation</t>
        </is>
      </c>
      <c r="G10" s="45" t="inlineStr">
        <is>
          <t>Codex</t>
        </is>
      </c>
    </row>
    <row r="11" s="46">
      <c r="A11" s="45" t="inlineStr">
        <is>
          <t>v0.1.103</t>
        </is>
      </c>
      <c r="B11" s="45" t="inlineStr">
        <is>
          <t>2026-10-14</t>
        </is>
      </c>
      <c r="C11" s="45" t="inlineStr">
        <is>
          <t>新增初始步枪（出厂枪）</t>
        </is>
      </c>
      <c r="D11" s="45" t="inlineStr">
        <is>
          <t>武器·背包物品调用索引 / 内容表 / 开场剧本</t>
        </is>
      </c>
      <c r="E11" s="45" t="inlineStr">
        <is>
          <t>新增枪身 bp_starter_rifle（初始步枪，以步枪为原型：damage 50 / fire_rate 50 / reload_time 1.8s / magazine 30 / spread 0.07，命运槽容量 4）。成品 weapon_starter_rifle 与本枪蓝图 bp_starter_rifle 同批注册；出场枪由 bp_sprinkler 改为 bp_starter_rifle（BlueprintRegistry.DEFAULT_STARTING_GUN_ID），开场剧本 nar_tower_opening_01_wake 的地面枪同步改为 weapon_starter_rifle。本账本《背包物品调用索引》按 scripts/sync_inventory_item_ledger.py --write 重生成，武器条目 26→27。内容数据库《武器》《掉落物品》《总览》同步补行与更正口径。</t>
        </is>
      </c>
      <c r="F11" s="45" t="inlineStr">
        <is>
          <t>《资产主表》未改动：无新 AssetID、无新 GLB，枪械美术复用步枪的 broom_rifle 资产（口径同花洒机枪复用蜂窝机枪）。旧存档中的枪实例保留生成时快照，不自动变为新枪。花洒机枪（weapon_sprinkler）仍只有运行注册、内容表未登记行。</t>
        </is>
      </c>
      <c r="G11" s="45" t="inlineStr">
        <is>
          <t>摩斯拉</t>
        </is>
      </c>
    </row>
    <row r="12" s="46">
      <c r="A12" s="45" t="inlineStr">
        <is>
          <t>v0.1.104</t>
        </is>
      </c>
      <c r="B12" s="45" t="inlineStr">
        <is>
          <t>2026-10-14</t>
        </is>
      </c>
      <c r="C12" s="45" t="inlineStr">
        <is>
          <t>用户更正通用弹药用途</t>
        </is>
      </c>
      <c r="D12" s="45" t="inlineStr">
        <is>
          <t>模型身份/图标/倾斜</t>
        </is>
      </c>
      <c r="E12" s="45" t="inlineStr">
        <is>
          <t>通用弹药复用蓝金弹头；标准模块退回程序表现</t>
        </is>
      </c>
      <c r="F12" s="45" t="inlineStr">
        <is>
          <t>已接线，待运行验收</t>
        </is>
      </c>
      <c r="G12" s="45" t="inlineStr">
        <is>
          <t>Codex</t>
        </is>
      </c>
    </row>
    <row r="13" s="46">
      <c r="A13" s="45" t="inlineStr">
        <is>
          <t>v0.1.105</t>
        </is>
      </c>
      <c r="B13" s="45" t="inlineStr">
        <is>
          <t>2026-10-14</t>
        </is>
      </c>
      <c r="C13" s="45" t="inlineStr">
        <is>
          <t>枪械射程独立化（新增每枪 range 字段）</t>
        </is>
      </c>
      <c r="D13" s="45" t="inlineStr">
        <is>
          <t>远程枪身 / 弹体生命周期</t>
        </is>
      </c>
      <c r="E13" s="45" t="inlineStr">
        <is>
          <t>新增枪身 base_stats.range（米）＝弹体最远飞行距离，与 bullet_speed 解耦（弹速只决定飞行时间）。Projectile3D 新增 range_m / _traveled 与射程判定，并按实际飞行路径长度累计；爆炸类弹到射程原地自动引爆（榴弹 18m 自动爆炸），普通弹直接消失；命中路径与射程上限共用新抽出的 _is_explosive_payload()。WeaponModel3D 新增 range_m，三处 spawn 配置（主弹/副枪/复制波次）注入。逐枪定值：散射喷壶 7、豌豆手枪 15、步枪 20、初始步枪 20、反胃榴弹筒 18、蜂窝机枪/花洒机枪/蓄力萝卜炮 18、弹弓狙击 60。内容表《武器》核心数值列同步 range=。</t>
        </is>
      </c>
      <c r="F13" s="45" t="inlineStr">
        <is>
          <t>本账本《资产主表》与《背包物品调用索引》未改动：无新 AssetID、无新资产，射程是玩法数值不进资产行。verify_starting_weapon_contract 新增射程数据与接线两层判据（含负向自测）。弹种之间不再有射程差异（穿甲弹原 32.2m 优势消失）；蜂窝/花洒/萝卜炮/狙击为工程取值待业主确认。</t>
        </is>
      </c>
      <c r="G13" s="45" t="inlineStr">
        <is>
          <t>摩斯拉</t>
        </is>
      </c>
    </row>
    <row r="14">
      <c r="A14" s="45" t="inlineStr">
        <is>
          <t>v0.1.106</t>
        </is>
      </c>
      <c r="B14" s="45" t="inlineStr">
        <is>
          <t>2026-10-14</t>
        </is>
      </c>
      <c r="C14" s="45" t="inlineStr">
        <is>
          <t>剩余程序化物品20模型/28内容ID</t>
        </is>
      </c>
      <c r="D14" s="45" t="inlineStr">
        <is>
          <t>双模型/GLB/PackedScene/调用链</t>
        </is>
      </c>
      <c r="E14" s="45" t="inlineStr">
        <is>
          <t>100–200三角；蓝图共用；真实渲染及映射通过</t>
        </is>
      </c>
      <c r="F14" s="45" t="inlineStr">
        <is>
          <t>已优化并正式接入</t>
        </is>
      </c>
      <c r="G14" s="45" t="inlineStr">
        <is>
          <t>Codex</t>
        </is>
      </c>
    </row>
    <row r="15">
      <c r="A15" s="45" t="inlineStr">
        <is>
          <t>v0.1.107</t>
        </is>
      </c>
      <c r="B15" s="45" t="inlineStr">
        <is>
          <t>2026-10-15</t>
        </is>
      </c>
      <c r="C15" s="45" t="inlineStr">
        <is>
          <t>物品专用色板与母版材质绑定</t>
        </is>
      </c>
      <c r="D15" s="45" t="inlineStr">
        <is>
          <t>HSV S/V×1.40；31资产；51GLB；64Blender</t>
        </is>
      </c>
      <c r="E15" s="45" t="inlineStr">
        <is>
          <t>运行底色/发光/图标通过，几何UV不变</t>
        </is>
      </c>
      <c r="F15" s="45" t="inlineStr">
        <is>
          <t>已完成</t>
        </is>
      </c>
      <c r="G15" s="45" t="inlineStr">
        <is>
          <t>Codex</t>
        </is>
      </c>
    </row>
    <row r="16">
      <c r="A16" s="45" t="inlineStr">
        <is>
          <t>v0.1.108</t>
        </is>
      </c>
      <c r="B16" s="45" t="inlineStr">
        <is>
          <t>2026-10-15</t>
        </is>
      </c>
      <c r="C16" s="45" t="inlineStr">
        <is>
          <t>物品独立四材质与图标补光</t>
        </is>
      </c>
      <c r="D16" s="45" t="inlineStr">
        <is>
          <t>HSV S/V×1.61；31资产；51GLB；64Blender；四个独立材质</t>
        </is>
      </c>
      <c r="E16" s="45" t="inlineStr">
        <is>
          <t>同灯光开关补光对比通过，世界材质无污染</t>
        </is>
      </c>
      <c r="F16" s="45" t="inlineStr">
        <is>
          <t>已完成</t>
        </is>
      </c>
      <c r="G16" s="45" t="inlineStr">
        <is>
          <t>Codex</t>
        </is>
      </c>
    </row>
    <row r="17" ht="70" customHeight="1" s="46">
      <c r="A17" s="63" t="inlineStr">
        <is>
          <t>v0.1.109</t>
        </is>
      </c>
      <c r="B17" s="63" t="inlineStr">
        <is>
          <t>2026-10-16</t>
        </is>
      </c>
      <c r="C17" s="56" t="inlineStr">
        <is>
          <t>三类近战玩法与角色动作差异</t>
        </is>
      </c>
      <c r="D17" s="56" t="inlineStr">
        <is>
          <t>近战差异 v041</t>
        </is>
      </c>
      <c r="E17" s="56" t="inlineStr">
        <is>
          <t>模型复用；角色源、命中反馈及VFX按各武器独立接线。</t>
        </is>
      </c>
      <c r="F17" s="56" t="inlineStr">
        <is>
          <t>docs/v0.1/development/2026-10-16_melee_styles_v041.md</t>
        </is>
      </c>
      <c r="G17" s="56" t="inlineStr">
        <is>
          <t>Codex</t>
        </is>
      </c>
    </row>
    <row r="18" ht="60" customHeight="1" s="46">
      <c r="A18" s="63" t="inlineStr">
        <is>
          <t>v0.1.110</t>
        </is>
      </c>
      <c r="B18" s="63" t="inlineStr">
        <is>
          <t>2026-10-17</t>
        </is>
      </c>
      <c r="C18" s="56" t="inlineStr">
        <is>
          <t>战斧持握刃向校正</t>
        </is>
      </c>
      <c r="D18" s="56" t="inlineStr">
        <is>
          <t>角色握持角度</t>
        </is>
      </c>
      <c r="E18" s="56" t="inlineStr">
        <is>
          <t>角色源14动作修正，武器源模型保持。</t>
        </is>
      </c>
      <c r="F18" s="56" t="inlineStr">
        <is>
          <t>docs/v0.1/development/2026-10-17_axe_edge_v042.md</t>
        </is>
      </c>
      <c r="G18" s="56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style="46" min="1" max="1"/>
    <col width="28" customWidth="1" style="46" min="2" max="2"/>
    <col width="28" customWidth="1" style="46" min="3" max="3"/>
    <col width="28" customWidth="1" style="46" min="4" max="4"/>
    <col width="46" customWidth="1" style="46" min="5" max="5"/>
    <col width="46" customWidth="1" style="46" min="6" max="6"/>
    <col width="46" customWidth="1" style="46" min="7" max="7"/>
    <col width="46" customWidth="1" style="46" min="8" max="8"/>
    <col width="46" customWidth="1" style="46" min="9" max="9"/>
    <col width="46" customWidth="1" style="46" min="10" max="10"/>
    <col width="46" customWidth="1" style="46" min="11" max="11"/>
    <col width="46" customWidth="1" style="46" min="12" max="12"/>
    <col width="46" customWidth="1" style="46" min="13" max="13"/>
    <col width="46" customWidth="1" style="46" min="14" max="14"/>
    <col width="46" customWidth="1" style="46" min="15" max="15"/>
    <col width="46" customWidth="1" style="46" min="16" max="16"/>
    <col width="46" customWidth="1" style="46" min="17" max="17"/>
  </cols>
  <sheetData>
    <row r="1" ht="30" customHeight="1" s="46">
      <c r="A1" s="96" t="inlineStr">
        <is>
          <t>武器账本 · 背包物品调用索引</t>
        </is>
      </c>
      <c r="E1" s="94" t="n"/>
      <c r="F1" s="94" t="n"/>
      <c r="G1" s="94" t="n"/>
      <c r="H1" s="94" t="n"/>
      <c r="I1" s="94" t="n"/>
      <c r="J1" s="94" t="n"/>
      <c r="K1" s="94" t="n"/>
      <c r="L1" s="94" t="n"/>
      <c r="M1" s="94" t="n"/>
      <c r="N1" s="94" t="n"/>
      <c r="O1" s="94" t="n"/>
      <c r="P1" s="94" t="n"/>
      <c r="Q1" s="94" t="n"/>
    </row>
    <row r="2" ht="44" customHeight="1" s="46">
      <c r="A2" s="94" t="inlineStr">
        <is>
          <t>成品武器、子弹模块、枪械配件唯一归属本账本；内容ID导航页，不新增资产主表行。</t>
        </is>
      </c>
      <c r="E2" s="94" t="n"/>
      <c r="F2" s="94" t="n"/>
      <c r="G2" s="94" t="n"/>
      <c r="H2" s="94" t="n"/>
      <c r="I2" s="94" t="n"/>
      <c r="J2" s="94" t="n"/>
      <c r="K2" s="94" t="n"/>
      <c r="L2" s="94" t="n"/>
      <c r="M2" s="94" t="n"/>
      <c r="N2" s="94" t="n"/>
      <c r="O2" s="94" t="n"/>
      <c r="P2" s="94" t="n"/>
      <c r="Q2" s="94" t="n"/>
    </row>
    <row r="3">
      <c r="A3" s="94" t="n"/>
      <c r="B3" s="94" t="n"/>
      <c r="C3" s="94" t="n"/>
      <c r="D3" s="94" t="n"/>
      <c r="E3" s="94" t="n"/>
      <c r="F3" s="94" t="n"/>
      <c r="G3" s="94" t="n"/>
      <c r="H3" s="94" t="n"/>
      <c r="I3" s="94" t="n"/>
      <c r="J3" s="94" t="n"/>
      <c r="K3" s="94" t="n"/>
      <c r="L3" s="94" t="n"/>
      <c r="M3" s="94" t="n"/>
      <c r="N3" s="94" t="n"/>
      <c r="O3" s="94" t="n"/>
      <c r="P3" s="94" t="n"/>
      <c r="Q3" s="94" t="n"/>
    </row>
    <row r="4" ht="32" customHeight="1" s="46">
      <c r="A4" s="93" t="inlineStr">
        <is>
          <t>内容ID</t>
        </is>
      </c>
      <c r="B4" s="93" t="inlineStr">
        <is>
          <t>名称</t>
        </is>
      </c>
      <c r="C4" s="93" t="inlineStr">
        <is>
          <t>种类</t>
        </is>
      </c>
      <c r="D4" s="93" t="inlineStr">
        <is>
          <t>子类</t>
        </is>
      </c>
      <c r="E4" s="93" t="inlineStr">
        <is>
          <t>唯一登记账本</t>
        </is>
      </c>
      <c r="F4" s="93" t="inlineStr">
        <is>
          <t>内容定义入口</t>
        </is>
      </c>
      <c r="G4" s="93" t="inlineStr">
        <is>
          <t>内容数据库定位</t>
        </is>
      </c>
      <c r="H4" s="93" t="inlineStr">
        <is>
          <t>怪物掉落来源</t>
        </is>
      </c>
      <c r="I4" s="93" t="inlineStr">
        <is>
          <t>池声明入口</t>
        </is>
      </c>
      <c r="J4" s="93" t="inlineStr">
        <is>
          <t>背包接收入口</t>
        </is>
      </c>
      <c r="K4" s="93" t="inlineStr">
        <is>
          <t>使用/装配入口</t>
        </is>
      </c>
      <c r="L4" s="93" t="inlineStr">
        <is>
          <t>模型调用入口</t>
        </is>
      </c>
      <c r="M4" s="93" t="inlineStr">
        <is>
          <t>当前模型表现</t>
        </is>
      </c>
      <c r="N4" s="93" t="inlineStr">
        <is>
          <t>关联AssetID（引用）</t>
        </is>
      </c>
      <c r="O4" s="93" t="inlineStr">
        <is>
          <t>资产登记定位（引用）</t>
        </is>
      </c>
      <c r="P4" s="93" t="inlineStr">
        <is>
          <t>功能模块</t>
        </is>
      </c>
      <c r="Q4" s="93" t="inlineStr">
        <is>
          <t>审查备注</t>
        </is>
      </c>
    </row>
    <row r="5" ht="59" customHeight="1" s="46">
      <c r="A5" s="94" t="inlineStr">
        <is>
          <t>weapon_pistol</t>
        </is>
      </c>
      <c r="B5" s="94" t="inlineStr">
        <is>
          <t>豌豆手枪</t>
        </is>
      </c>
      <c r="C5" s="94" t="inlineStr">
        <is>
          <t>weapon</t>
        </is>
      </c>
      <c r="D5" s="94" t="inlineStr">
        <is>
          <t>gun_body</t>
        </is>
      </c>
      <c r="E5" s="94" t="inlineStr">
        <is>
          <t>assets/registry/ledgers/ShellStorm2_武器账本_v001.xlsx</t>
        </is>
      </c>
      <c r="F5" s="95" t="inlineStr">
        <is>
          <t>src/base/ItemRegistry.gd#L290</t>
        </is>
      </c>
      <c r="G5" s="95" t="inlineStr">
        <is>
          <t>docs/v0.1/data/ShellStorm2_游戏内容数据库_v010.xlsx#掉落物品!A33</t>
        </is>
      </c>
      <c r="H5" s="94" t="inlineStr">
        <is>
          <t>未在当前CSV列出；池来源见下一列</t>
        </is>
      </c>
      <c r="I5" s="95" t="inlineStr">
        <is>
          <t>src/base/ItemRegistry.gd#L290 / scavenge_floor_1, scavenge_floor_2, strong_weapon_floor_1, combat_floor_1, combat_floor_2</t>
        </is>
      </c>
      <c r="J5" s="95" t="inlineStr">
        <is>
          <t>src/game/InventoryModule.gd#add_item</t>
        </is>
      </c>
      <c r="K5" s="95" t="inlineStr">
        <is>
          <t>src/world3d/Dungeon3D.gd#_equip_weapon_from_inventory</t>
        </is>
      </c>
      <c r="L5" s="95" t="inlineStr">
        <is>
          <t>src/world3d/ItemModelFactory3D.gd#create_model / get_model_kind</t>
        </is>
      </c>
      <c r="M5" s="94" t="inlineStr">
        <is>
          <t>已接入3D资产；地面/图标共用：assets/art/weapons/weapon_3d/runtime/hair_dryer/wpn_hair_dryer_root_top3d_v001.tscn</t>
        </is>
      </c>
      <c r="N5" s="94" t="inlineStr">
        <is>
          <t>WPN-GUN-BP-PISTOL</t>
        </is>
      </c>
      <c r="O5" s="95" t="inlineStr">
        <is>
          <t>assets/registry/ledgers/ShellStorm2_武器账本_v001.xlsx#资产主表!A6</t>
        </is>
      </c>
      <c r="P5" s="94" t="inlineStr">
        <is>
          <t>WORLD-LOOT / REWARD-SERVICE / INVENTORY-SLOTS / WEAPON-OWNERSHIP</t>
        </is>
      </c>
      <c r="Q5" s="94" t="inlineStr">
        <is>
          <t>已注册；本表只导航，堆叠/数值/掉落概率由原定义拥有；远征01作者掉落表未列此项（不可视为无其他产出）</t>
        </is>
      </c>
    </row>
    <row r="6" ht="93" customHeight="1" s="46">
      <c r="A6" s="94" t="inlineStr">
        <is>
          <t>weapon_shotgun</t>
        </is>
      </c>
      <c r="B6" s="94" t="inlineStr">
        <is>
          <t>散射喷壶</t>
        </is>
      </c>
      <c r="C6" s="94" t="inlineStr">
        <is>
          <t>weapon</t>
        </is>
      </c>
      <c r="D6" s="94" t="inlineStr">
        <is>
          <t>gun_body</t>
        </is>
      </c>
      <c r="E6" s="94" t="inlineStr">
        <is>
          <t>assets/registry/ledgers/ShellStorm2_武器账本_v001.xlsx</t>
        </is>
      </c>
      <c r="F6" s="95" t="inlineStr">
        <is>
          <t>src/base/ItemRegistry.gd#L311</t>
        </is>
      </c>
      <c r="G6" s="95" t="inlineStr">
        <is>
          <t>docs/v0.1/data/ShellStorm2_游戏内容数据库_v010.xlsx#掉落物品!A35</t>
        </is>
      </c>
      <c r="H6" s="94" t="inlineStr">
        <is>
          <t>未在当前CSV列出；池来源见下一列</t>
        </is>
      </c>
      <c r="I6" s="95" t="inlineStr">
        <is>
          <t>src/base/ItemRegistry.gd#L311 / spawn_starter, scavenge_floor_1, scavenge_floor_2, strong_weapon_floor_1, strong_weapon_floor_2, boss_weapon_floor_1, combat_floor_1, combat_floor_2</t>
        </is>
      </c>
      <c r="J6" s="95" t="inlineStr">
        <is>
          <t>src/game/InventoryModule.gd#add_item</t>
        </is>
      </c>
      <c r="K6" s="95" t="inlineStr">
        <is>
          <t>src/world3d/Dungeon3D.gd#_equip_weapon_from_inventory</t>
        </is>
      </c>
      <c r="L6" s="95" t="inlineStr">
        <is>
          <t>src/world3d/ItemModelFactory3D.gd#create_model / get_model_kind</t>
        </is>
      </c>
      <c r="M6" s="94" t="inlineStr">
        <is>
          <t>已接入3D资产；地面/图标共用：assets/art/weapons/weapon_3d/runtime/double_barrel_cannon/wpn_double_barrel_cannon_root_top3d_v001.tscn</t>
        </is>
      </c>
      <c r="N6" s="94" t="inlineStr">
        <is>
          <t>WPN-GUN-BP-SHOTGUN</t>
        </is>
      </c>
      <c r="O6" s="95" t="inlineStr">
        <is>
          <t>assets/registry/ledgers/ShellStorm2_武器账本_v001.xlsx#资产主表!A7</t>
        </is>
      </c>
      <c r="P6" s="94" t="inlineStr">
        <is>
          <t>WORLD-LOOT / REWARD-SERVICE / INVENTORY-SLOTS / WEAPON-OWNERSHIP</t>
        </is>
      </c>
      <c r="Q6" s="94" t="inlineStr">
        <is>
          <t>已注册；本表只导航，堆叠/数值/掉落概率由原定义拥有；远征01作者掉落表未列此项（不可视为无其他产出）</t>
        </is>
      </c>
    </row>
    <row r="7" ht="110" customHeight="1" s="46">
      <c r="A7" s="94" t="inlineStr">
        <is>
          <t>weapon_rifle</t>
        </is>
      </c>
      <c r="B7" s="94" t="inlineStr">
        <is>
          <t>步枪</t>
        </is>
      </c>
      <c r="C7" s="94" t="inlineStr">
        <is>
          <t>weapon</t>
        </is>
      </c>
      <c r="D7" s="94" t="inlineStr">
        <is>
          <t>gun_body</t>
        </is>
      </c>
      <c r="E7" s="94" t="inlineStr">
        <is>
          <t>assets/registry/ledgers/ShellStorm2_武器账本_v001.xlsx</t>
        </is>
      </c>
      <c r="F7" s="95" t="inlineStr">
        <is>
          <t>src/base/ItemRegistry.gd#L333</t>
        </is>
      </c>
      <c r="G7" s="95" t="inlineStr">
        <is>
          <t>docs/v0.1/data/ShellStorm2_游戏内容数据库_v010.xlsx#掉落物品!A34</t>
        </is>
      </c>
      <c r="H7" s="94" t="inlineStr">
        <is>
          <t>未在当前CSV列出；池来源见下一列</t>
        </is>
      </c>
      <c r="I7" s="95" t="inlineStr">
        <is>
          <t>src/base/ItemRegistry.gd#L333 / boss_weapon_floor_1, boss_weapon_floor_2, strong_weapon_floor_1, strong_weapon_floor_2, scavenge_floor_3, scavenge_floor_4, scavenge_floor_5, combat_floor_1, combat_floor_2, combat_floor_3, elite_floor_1, elite_floor_2</t>
        </is>
      </c>
      <c r="J7" s="95" t="inlineStr">
        <is>
          <t>src/game/InventoryModule.gd#add_item</t>
        </is>
      </c>
      <c r="K7" s="95" t="inlineStr">
        <is>
          <t>src/world3d/Dungeon3D.gd#_equip_weapon_from_inventory</t>
        </is>
      </c>
      <c r="L7" s="95" t="inlineStr">
        <is>
          <t>src/world3d/ItemModelFactory3D.gd#create_model / get_model_kind</t>
        </is>
      </c>
      <c r="M7" s="94" t="inlineStr">
        <is>
          <t>已接入3D资产；地面/图标共用：assets/art/weapons/weapon_3d/runtime/broom_rifle/wpn_broom_rifle_root_top3d_v001.tscn</t>
        </is>
      </c>
      <c r="N7" s="94" t="inlineStr">
        <is>
          <t>WPN-GUN-BP-RIFLE</t>
        </is>
      </c>
      <c r="O7" s="95" t="inlineStr">
        <is>
          <t>assets/registry/ledgers/ShellStorm2_武器账本_v001.xlsx#资产主表!A8</t>
        </is>
      </c>
      <c r="P7" s="94" t="inlineStr">
        <is>
          <t>WORLD-LOOT / REWARD-SERVICE / INVENTORY-SLOTS / WEAPON-OWNERSHIP</t>
        </is>
      </c>
      <c r="Q7" s="94" t="inlineStr">
        <is>
          <t>已注册；本表只导航，堆叠/数值/掉落概率由原定义拥有；远征01作者掉落表未列此项（不可视为无其他产出）</t>
        </is>
      </c>
    </row>
    <row r="8" ht="127" customHeight="1" s="46">
      <c r="A8" s="94" t="inlineStr">
        <is>
          <t>weapon_machinegun</t>
        </is>
      </c>
      <c r="B8" s="94" t="inlineStr">
        <is>
          <t>蜂窝机枪</t>
        </is>
      </c>
      <c r="C8" s="94" t="inlineStr">
        <is>
          <t>weapon</t>
        </is>
      </c>
      <c r="D8" s="94" t="inlineStr">
        <is>
          <t>gun_body</t>
        </is>
      </c>
      <c r="E8" s="94" t="inlineStr">
        <is>
          <t>assets/registry/ledgers/ShellStorm2_武器账本_v001.xlsx</t>
        </is>
      </c>
      <c r="F8" s="95" t="inlineStr">
        <is>
          <t>src/base/ItemRegistry.gd#L360</t>
        </is>
      </c>
      <c r="G8" s="95" t="inlineStr">
        <is>
          <t>docs/v0.1/data/ShellStorm2_游戏内容数据库_v010.xlsx#掉落物品!A32</t>
        </is>
      </c>
      <c r="H8" s="94" t="inlineStr">
        <is>
          <t>未在当前CSV列出；池来源见下一列</t>
        </is>
      </c>
      <c r="I8" s="95" t="inlineStr">
        <is>
          <t>src/base/ItemRegistry.gd#L360 / boss_weapon_floor_1, boss_weapon_floor_2, strong_weapon_floor_1, strong_weapon_floor_2, scavenge_floor_1, scavenge_floor_2, scavenge_floor_3, scavenge_floor_4, scavenge_floor_5, combat_floor_1, combat_floor_2, combat_floor_3, elite_floor_1, elite_floor_2</t>
        </is>
      </c>
      <c r="J8" s="95" t="inlineStr">
        <is>
          <t>src/game/InventoryModule.gd#add_item</t>
        </is>
      </c>
      <c r="K8" s="95" t="inlineStr">
        <is>
          <t>src/world3d/Dungeon3D.gd#_equip_weapon_from_inventory</t>
        </is>
      </c>
      <c r="L8" s="95" t="inlineStr">
        <is>
          <t>src/world3d/ItemModelFactory3D.gd#create_model / get_model_kind</t>
        </is>
      </c>
      <c r="M8" s="94" t="inlineStr">
        <is>
          <t>已接入3D资产；地面/图标共用：assets/art/weapons/weapon_3d/runtime/water_tank_blaster/wpn_water_tank_blaster_root_top3d.tscn</t>
        </is>
      </c>
      <c r="N8" s="94" t="inlineStr">
        <is>
          <t>WPN-GUN-BP-MACHINEGUN</t>
        </is>
      </c>
      <c r="O8" s="95" t="inlineStr">
        <is>
          <t>assets/registry/ledgers/ShellStorm2_武器账本_v001.xlsx#资产主表!A9</t>
        </is>
      </c>
      <c r="P8" s="94" t="inlineStr">
        <is>
          <t>WORLD-LOOT / REWARD-SERVICE / INVENTORY-SLOTS / WEAPON-OWNERSHIP</t>
        </is>
      </c>
      <c r="Q8" s="94" t="inlineStr">
        <is>
          <t>已注册；本表只导航，堆叠/数值/掉落概率由原定义拥有；远征01作者掉落表未列此项（不可视为无其他产出）</t>
        </is>
      </c>
    </row>
    <row r="9" ht="127" customHeight="1" s="46">
      <c r="A9" s="94" t="inlineStr">
        <is>
          <t>weapon_sprinkler</t>
        </is>
      </c>
      <c r="B9" s="94" t="inlineStr">
        <is>
          <t>花洒机枪</t>
        </is>
      </c>
      <c r="C9" s="94" t="inlineStr">
        <is>
          <t>weapon</t>
        </is>
      </c>
      <c r="D9" s="94" t="inlineStr">
        <is>
          <t>gun_body</t>
        </is>
      </c>
      <c r="E9" s="94" t="inlineStr">
        <is>
          <t>assets/registry/ledgers/ShellStorm2_武器账本_v001.xlsx</t>
        </is>
      </c>
      <c r="F9" s="95" t="inlineStr">
        <is>
          <t>src/base/ItemRegistry.gd#L389</t>
        </is>
      </c>
      <c r="G9" s="94" t="inlineStr">
        <is>
          <t>缺行</t>
        </is>
      </c>
      <c r="H9" s="94" t="inlineStr">
        <is>
          <t>未在当前CSV列出；池来源见下一列</t>
        </is>
      </c>
      <c r="I9" s="95" t="inlineStr">
        <is>
          <t>src/base/ItemRegistry.gd#L389 / strong_weapon_floor_1, strong_weapon_floor_2, boss_weapon_floor_2, scavenge_floor_1, scavenge_floor_2, scavenge_floor_3, scavenge_floor_4, scavenge_floor_5, combat_floor_1, combat_floor_2, combat_floor_3, elite_floor_1, elite_floor_2</t>
        </is>
      </c>
      <c r="J9" s="95" t="inlineStr">
        <is>
          <t>src/game/InventoryModule.gd#add_item</t>
        </is>
      </c>
      <c r="K9" s="95" t="inlineStr">
        <is>
          <t>src/world3d/Dungeon3D.gd#_equip_weapon_from_inventory</t>
        </is>
      </c>
      <c r="L9" s="95" t="inlineStr">
        <is>
          <t>src/world3d/ItemModelFactory3D.gd#create_model / get_model_kind</t>
        </is>
      </c>
      <c r="M9" s="94" t="inlineStr">
        <is>
          <t>已接入3D资产；地面/图标共用：assets/art/weapons/weapon_3d/runtime/water_tank_blaster/wpn_water_tank_blaster_root_top3d.tscn</t>
        </is>
      </c>
      <c r="N9" s="94" t="inlineStr">
        <is>
          <t>未登记</t>
        </is>
      </c>
      <c r="O9" s="94" t="inlineStr">
        <is>
          <t>未登记</t>
        </is>
      </c>
      <c r="P9" s="94" t="inlineStr">
        <is>
          <t>WORLD-LOOT / REWARD-SERVICE / INVENTORY-SLOTS / WEAPON-OWNERSHIP</t>
        </is>
      </c>
      <c r="Q9" s="94" t="inlineStr">
        <is>
          <t>已注册；本表只导航，堆叠/数值/掉落概率由原定义拥有；远征01作者掉落表未列此项（不可视为无其他产出）；内容数据库缺行，运行注册表有此ID；无对应资产主表登记，不新增AssetID</t>
        </is>
      </c>
    </row>
    <row r="10" ht="127" customHeight="1" s="46">
      <c r="A10" s="94" t="inlineStr">
        <is>
          <t>weapon_starter_rifle</t>
        </is>
      </c>
      <c r="B10" s="94" t="inlineStr">
        <is>
          <t>初始步枪</t>
        </is>
      </c>
      <c r="C10" s="94" t="inlineStr">
        <is>
          <t>weapon</t>
        </is>
      </c>
      <c r="D10" s="94" t="inlineStr">
        <is>
          <t>gun_body</t>
        </is>
      </c>
      <c r="E10" s="94" t="inlineStr">
        <is>
          <t>assets/registry/ledgers/ShellStorm2_武器账本_v001.xlsx</t>
        </is>
      </c>
      <c r="F10" s="95" t="inlineStr">
        <is>
          <t>src/base/ItemRegistry.gd#L419</t>
        </is>
      </c>
      <c r="G10" s="95" t="inlineStr">
        <is>
          <t>docs/v0.1/data/ShellStorm2_游戏内容数据库_v010.xlsx#掉落物品!A50</t>
        </is>
      </c>
      <c r="H10" s="94" t="inlineStr">
        <is>
          <t>未在当前CSV列出；池来源见下一列</t>
        </is>
      </c>
      <c r="I10" s="95" t="inlineStr">
        <is>
          <t>src/base/ItemRegistry.gd#L419 / strong_weapon_floor_1, strong_weapon_floor_2, boss_weapon_floor_2, scavenge_floor_1, scavenge_floor_2, scavenge_floor_3, scavenge_floor_4, scavenge_floor_5, combat_floor_1, combat_floor_2, combat_floor_3, elite_floor_1, elite_floor_2</t>
        </is>
      </c>
      <c r="J10" s="95" t="inlineStr">
        <is>
          <t>src/game/InventoryModule.gd#add_item</t>
        </is>
      </c>
      <c r="K10" s="95" t="inlineStr">
        <is>
          <t>src/world3d/Dungeon3D.gd#_equip_weapon_from_inventory</t>
        </is>
      </c>
      <c r="L10" s="95" t="inlineStr">
        <is>
          <t>src/world3d/ItemModelFactory3D.gd#create_model / get_model_kind</t>
        </is>
      </c>
      <c r="M10" s="94" t="inlineStr">
        <is>
          <t>已接入3D资产；地面/图标共用：assets/art/weapons/weapon_3d/runtime/broom_rifle/wpn_broom_rifle_root_top3d_v001.tscn</t>
        </is>
      </c>
      <c r="N10" s="94" t="inlineStr">
        <is>
          <t>未登记</t>
        </is>
      </c>
      <c r="O10" s="94" t="inlineStr">
        <is>
          <t>未登记</t>
        </is>
      </c>
      <c r="P10" s="94" t="inlineStr">
        <is>
          <t>WORLD-LOOT / REWARD-SERVICE / INVENTORY-SLOTS / WEAPON-OWNERSHIP</t>
        </is>
      </c>
      <c r="Q10" s="94" t="inlineStr">
        <is>
          <t>已注册；本表只导航，堆叠/数值/掉落概率由原定义拥有；远征01作者掉落表未列此项（不可视为无其他产出）；无对应资产主表登记，不新增AssetID</t>
        </is>
      </c>
    </row>
    <row r="11" ht="93" customHeight="1" s="46">
      <c r="A11" s="94" t="inlineStr">
        <is>
          <t>weapon_sniper</t>
        </is>
      </c>
      <c r="B11" s="94" t="inlineStr">
        <is>
          <t>弹弓狙击</t>
        </is>
      </c>
      <c r="C11" s="94" t="inlineStr">
        <is>
          <t>weapon</t>
        </is>
      </c>
      <c r="D11" s="94" t="inlineStr">
        <is>
          <t>gun_body</t>
        </is>
      </c>
      <c r="E11" s="94" t="inlineStr">
        <is>
          <t>assets/registry/ledgers/ShellStorm2_武器账本_v001.xlsx</t>
        </is>
      </c>
      <c r="F11" s="95" t="inlineStr">
        <is>
          <t>src/base/ItemRegistry.gd#L450</t>
        </is>
      </c>
      <c r="G11" s="95" t="inlineStr">
        <is>
          <t>docs/v0.1/data/ShellStorm2_游戏内容数据库_v010.xlsx#掉落物品!A36</t>
        </is>
      </c>
      <c r="H11" s="94" t="inlineStr">
        <is>
          <t>未在当前CSV列出；池来源见下一列</t>
        </is>
      </c>
      <c r="I11" s="95" t="inlineStr">
        <is>
          <t>src/base/ItemRegistry.gd#L450 / boss_weapon_floor_1, boss_weapon_floor_2, strong_weapon_floor_2, scavenge_floor_3, scavenge_floor_4, scavenge_floor_5, combat_floor_2, combat_floor_3, elite_floor_1, elite_floor_2</t>
        </is>
      </c>
      <c r="J11" s="95" t="inlineStr">
        <is>
          <t>src/game/InventoryModule.gd#add_item</t>
        </is>
      </c>
      <c r="K11" s="95" t="inlineStr">
        <is>
          <t>src/world3d/Dungeon3D.gd#_equip_weapon_from_inventory</t>
        </is>
      </c>
      <c r="L11" s="95" t="inlineStr">
        <is>
          <t>src/world3d/ItemModelFactory3D.gd#create_model / get_model_kind</t>
        </is>
      </c>
      <c r="M11" s="94" t="inlineStr">
        <is>
          <t>已接入3D资产；地面/图标共用：assets/art/weapons/weapon_3d/runtime/candy_sniper/wpn_candy_sniper_root_top3d_v001.tscn</t>
        </is>
      </c>
      <c r="N11" s="94" t="inlineStr">
        <is>
          <t>WPN-GUN-BP-SNIPER</t>
        </is>
      </c>
      <c r="O11" s="95" t="inlineStr">
        <is>
          <t>assets/registry/ledgers/ShellStorm2_武器账本_v001.xlsx#资产主表!A10</t>
        </is>
      </c>
      <c r="P11" s="94" t="inlineStr">
        <is>
          <t>WORLD-LOOT / REWARD-SERVICE / INVENTORY-SLOTS / WEAPON-OWNERSHIP</t>
        </is>
      </c>
      <c r="Q11" s="94" t="inlineStr">
        <is>
          <t>已注册；本表只导航，堆叠/数值/掉落概率由原定义拥有；远征01作者掉落表未列此项（不可视为无其他产出）</t>
        </is>
      </c>
    </row>
    <row r="12" ht="93" customHeight="1" s="46">
      <c r="A12" s="94" t="inlineStr">
        <is>
          <t>weapon_launcher</t>
        </is>
      </c>
      <c r="B12" s="94" t="inlineStr">
        <is>
          <t>反胃榴弹筒</t>
        </is>
      </c>
      <c r="C12" s="94" t="inlineStr">
        <is>
          <t>weapon</t>
        </is>
      </c>
      <c r="D12" s="94" t="inlineStr">
        <is>
          <t>gun_body</t>
        </is>
      </c>
      <c r="E12" s="94" t="inlineStr">
        <is>
          <t>assets/registry/ledgers/ShellStorm2_武器账本_v001.xlsx</t>
        </is>
      </c>
      <c r="F12" s="95" t="inlineStr">
        <is>
          <t>src/base/ItemRegistry.gd#L475</t>
        </is>
      </c>
      <c r="G12" s="95" t="inlineStr">
        <is>
          <t>docs/v0.1/data/ShellStorm2_游戏内容数据库_v010.xlsx#掉落物品!A31</t>
        </is>
      </c>
      <c r="H12" s="94" t="inlineStr">
        <is>
          <t>未在当前CSV列出；池来源见下一列</t>
        </is>
      </c>
      <c r="I12" s="95" t="inlineStr">
        <is>
          <t>src/base/ItemRegistry.gd#L475 / boss_weapon_floor_1, boss_weapon_floor_2, strong_weapon_floor_2, scavenge_floor_3, scavenge_floor_4, scavenge_floor_5, combat_floor_3, combat_floor_4, combat_floor_5, elite_floor_2</t>
        </is>
      </c>
      <c r="J12" s="95" t="inlineStr">
        <is>
          <t>src/game/InventoryModule.gd#add_item</t>
        </is>
      </c>
      <c r="K12" s="95" t="inlineStr">
        <is>
          <t>src/world3d/Dungeon3D.gd#_equip_weapon_from_inventory</t>
        </is>
      </c>
      <c r="L12" s="95" t="inlineStr">
        <is>
          <t>src/world3d/ItemModelFactory3D.gd#create_model / get_model_kind</t>
        </is>
      </c>
      <c r="M12" s="94" t="inlineStr">
        <is>
          <t>已接入3D资产；地面/图标共用：assets/art/weapons/weapon_3d/runtime/toaster_launcher/wpn_toaster_launcher_root_top3d_v001.tscn</t>
        </is>
      </c>
      <c r="N12" s="94" t="inlineStr">
        <is>
          <t>WPN-GUN-BP-LAUNCHER</t>
        </is>
      </c>
      <c r="O12" s="95" t="inlineStr">
        <is>
          <t>assets/registry/ledgers/ShellStorm2_武器账本_v001.xlsx#资产主表!A11</t>
        </is>
      </c>
      <c r="P12" s="94" t="inlineStr">
        <is>
          <t>WORLD-LOOT / REWARD-SERVICE / INVENTORY-SLOTS / WEAPON-OWNERSHIP</t>
        </is>
      </c>
      <c r="Q12" s="94" t="inlineStr">
        <is>
          <t>已注册；本表只导航，堆叠/数值/掉落概率由原定义拥有；远征01作者掉落表未列此项（不可视为无其他产出）</t>
        </is>
      </c>
    </row>
    <row r="13" ht="76" customHeight="1" s="46">
      <c r="A13" s="94" t="inlineStr">
        <is>
          <t>weapon_charge</t>
        </is>
      </c>
      <c r="B13" s="94" t="inlineStr">
        <is>
          <t>蓄力萝卜炮</t>
        </is>
      </c>
      <c r="C13" s="94" t="inlineStr">
        <is>
          <t>weapon</t>
        </is>
      </c>
      <c r="D13" s="94" t="inlineStr">
        <is>
          <t>gun_body</t>
        </is>
      </c>
      <c r="E13" s="94" t="inlineStr">
        <is>
          <t>assets/registry/ledgers/ShellStorm2_武器账本_v001.xlsx</t>
        </is>
      </c>
      <c r="F13" s="95" t="inlineStr">
        <is>
          <t>src/base/ItemRegistry.gd#L500</t>
        </is>
      </c>
      <c r="G13" s="95" t="inlineStr">
        <is>
          <t>docs/v0.1/data/ShellStorm2_游戏内容数据库_v010.xlsx#掉落物品!A30</t>
        </is>
      </c>
      <c r="H13" s="94" t="inlineStr">
        <is>
          <t>未在当前CSV列出；池来源见下一列</t>
        </is>
      </c>
      <c r="I13" s="95" t="inlineStr">
        <is>
          <t>src/base/ItemRegistry.gd#L500 / boss_weapon_floor_2, strong_weapon_floor_2, scavenge_floor_4, scavenge_floor_5, combat_floor_4, combat_floor_5, elite_floor_2</t>
        </is>
      </c>
      <c r="J13" s="95" t="inlineStr">
        <is>
          <t>src/game/InventoryModule.gd#add_item</t>
        </is>
      </c>
      <c r="K13" s="95" t="inlineStr">
        <is>
          <t>src/world3d/Dungeon3D.gd#_equip_weapon_from_inventory</t>
        </is>
      </c>
      <c r="L13" s="95" t="inlineStr">
        <is>
          <t>src/world3d/ItemModelFactory3D.gd#create_model / get_model_kind</t>
        </is>
      </c>
      <c r="M13" s="94" t="inlineStr">
        <is>
          <t>已接入3D资产；地面/图标共用：assets/art/weapons/weapon_3d/runtime/gumball_cannon/wpn_gumball_cannon_root_top3d_v001.tscn</t>
        </is>
      </c>
      <c r="N13" s="94" t="inlineStr">
        <is>
          <t>WPN-GUN-BP-CHARGE</t>
        </is>
      </c>
      <c r="O13" s="95" t="inlineStr">
        <is>
          <t>assets/registry/ledgers/ShellStorm2_武器账本_v001.xlsx#资产主表!A12</t>
        </is>
      </c>
      <c r="P13" s="94" t="inlineStr">
        <is>
          <t>WORLD-LOOT / REWARD-SERVICE / INVENTORY-SLOTS / WEAPON-OWNERSHIP</t>
        </is>
      </c>
      <c r="Q13" s="94" t="inlineStr">
        <is>
          <t>已注册；本表只导航，堆叠/数值/掉落概率由原定义拥有；远征01作者掉落表未列此项（不可视为无其他产出）</t>
        </is>
      </c>
    </row>
    <row r="14" ht="127" customHeight="1" s="46">
      <c r="A14" s="94" t="inlineStr">
        <is>
          <t>weapon_baseball_bat</t>
        </is>
      </c>
      <c r="B14" s="94" t="inlineStr">
        <is>
          <t>废土棒球棍</t>
        </is>
      </c>
      <c r="C14" s="94" t="inlineStr">
        <is>
          <t>weapon</t>
        </is>
      </c>
      <c r="D14" s="94" t="inlineStr">
        <is>
          <t>melee_weapon</t>
        </is>
      </c>
      <c r="E14" s="94" t="inlineStr">
        <is>
          <t>assets/registry/ledgers/ShellStorm2_武器账本_v001.xlsx</t>
        </is>
      </c>
      <c r="F14" s="95" t="inlineStr">
        <is>
          <t>src/base/ItemRegistry.gd#L522</t>
        </is>
      </c>
      <c r="G14" s="95" t="inlineStr">
        <is>
          <t>docs/v0.1/data/ShellStorm2_游戏内容数据库_v010.xlsx#掉落物品!A49</t>
        </is>
      </c>
      <c r="H14" s="94" t="inlineStr">
        <is>
          <t>docs/v0.1/data/怪物掉落表_地图x怪物.csv#CSV行2 / melee_chaser</t>
        </is>
      </c>
      <c r="I14" s="95" t="inlineStr">
        <is>
          <t>src/base/ItemRegistry.gd#L522 / spawn_starter, loot_floor_1_2, scavenge_floor_1, scavenge_floor_2, combat_floor_1</t>
        </is>
      </c>
      <c r="J14" s="95" t="inlineStr">
        <is>
          <t>src/game/InventoryModule.gd#add_item</t>
        </is>
      </c>
      <c r="K14" s="95" t="inlineStr">
        <is>
          <t>src/world3d/Dungeon3D.gd#_equip_weapon_from_inventory</t>
        </is>
      </c>
      <c r="L14" s="95" t="inlineStr">
        <is>
          <t>src/world3d/ItemModelFactory3D.gd#create_model / get_model_kind</t>
        </is>
      </c>
      <c r="M14" s="94" t="inlineStr">
        <is>
          <t>已接入3D资产；地面/图标共用：assets/art/items_weapons/weapons/melee_baseball_bat/runtime/wpn_melee_baseball_bat_ground_root_top3d.tscn；物品专用色板：assets/art/shared/palette/item_high_visibility_palette_10x10_512.png（HSV S/V×1.61；物品独立四材质；图标本色补光0.45）</t>
        </is>
      </c>
      <c r="N14" s="94" t="inlineStr">
        <is>
          <t>WPN-MELEE-BP-BASEBALL-BAT</t>
        </is>
      </c>
      <c r="O14" s="95" t="inlineStr">
        <is>
          <t>assets/registry/ledgers/ShellStorm2_武器账本_v001.xlsx#资产主表!A30</t>
        </is>
      </c>
      <c r="P14" s="94" t="inlineStr">
        <is>
          <t>WORLD-LOOT / REWARD-SERVICE / INVENTORY-SLOTS / WEAPON-OWNERSHIP</t>
        </is>
      </c>
      <c r="Q14" s="94" t="inlineStr">
        <is>
          <t>已注册；本表只导航，堆叠/数值/掉落概率由原定义拥有</t>
        </is>
      </c>
    </row>
    <row r="15" ht="110" customHeight="1" s="46">
      <c r="A15" s="94" t="inlineStr">
        <is>
          <t>weapon_greatblade</t>
        </is>
      </c>
      <c r="B15" s="94" t="inlineStr">
        <is>
          <t>巨型工业断刃</t>
        </is>
      </c>
      <c r="C15" s="94" t="inlineStr">
        <is>
          <t>weapon</t>
        </is>
      </c>
      <c r="D15" s="94" t="inlineStr">
        <is>
          <t>melee_weapon</t>
        </is>
      </c>
      <c r="E15" s="94" t="inlineStr">
        <is>
          <t>assets/registry/ledgers/ShellStorm2_武器账本_v001.xlsx</t>
        </is>
      </c>
      <c r="F15" s="95" t="inlineStr">
        <is>
          <t>src/base/ItemRegistry.gd#L542</t>
        </is>
      </c>
      <c r="G15" s="95" t="inlineStr">
        <is>
          <t>docs/v0.1/data/ShellStorm2_游戏内容数据库_v010.xlsx#掉落物品!A47</t>
        </is>
      </c>
      <c r="H15" s="94" t="inlineStr">
        <is>
          <t>未在当前CSV列出；池来源见下一列</t>
        </is>
      </c>
      <c r="I15" s="95" t="inlineStr">
        <is>
          <t>src/base/ItemRegistry.gd#L542 / spawn_starter, loot_floor_1_2, loot_floor_3_4, scavenge_floor_1, scavenge_floor_2, combat_floor_1, combat_floor_2</t>
        </is>
      </c>
      <c r="J15" s="95" t="inlineStr">
        <is>
          <t>src/game/InventoryModule.gd#add_item</t>
        </is>
      </c>
      <c r="K15" s="95" t="inlineStr">
        <is>
          <t>src/world3d/Dungeon3D.gd#_equip_weapon_from_inventory</t>
        </is>
      </c>
      <c r="L15" s="95" t="inlineStr">
        <is>
          <t>src/world3d/ItemModelFactory3D.gd#create_model / get_model_kind</t>
        </is>
      </c>
      <c r="M15" s="94" t="inlineStr">
        <is>
          <t>已接入3D资产；地面/图标共用：assets/art/items_weapons/weapons/melee_greatblade/runtime/wpn_melee_greatblade_ground_root_top3d.tscn；物品专用色板：assets/art/shared/palette/item_high_visibility_palette_10x10_512.png（HSV S/V×1.61；物品独立四材质；图标本色补光0.45）</t>
        </is>
      </c>
      <c r="N15" s="94" t="inlineStr">
        <is>
          <t>WPN-MELEE-BP-GREATBLADE</t>
        </is>
      </c>
      <c r="O15" s="95" t="inlineStr">
        <is>
          <t>assets/registry/ledgers/ShellStorm2_武器账本_v001.xlsx#资产主表!A28</t>
        </is>
      </c>
      <c r="P15" s="94" t="inlineStr">
        <is>
          <t>WORLD-LOOT / REWARD-SERVICE / INVENTORY-SLOTS / WEAPON-OWNERSHIP</t>
        </is>
      </c>
      <c r="Q15" s="94" t="inlineStr">
        <is>
          <t>已注册；本表只导航，堆叠/数值/掉落概率由原定义拥有；远征01作者掉落表未列此项（不可视为无其他产出）</t>
        </is>
      </c>
    </row>
    <row r="16" ht="110" customHeight="1" s="46">
      <c r="A16" s="94" t="inlineStr">
        <is>
          <t>weapon_waraxe</t>
        </is>
      </c>
      <c r="B16" s="94" t="inlineStr">
        <is>
          <t>攻城裂甲斧</t>
        </is>
      </c>
      <c r="C16" s="94" t="inlineStr">
        <is>
          <t>weapon</t>
        </is>
      </c>
      <c r="D16" s="94" t="inlineStr">
        <is>
          <t>melee_weapon</t>
        </is>
      </c>
      <c r="E16" s="94" t="inlineStr">
        <is>
          <t>assets/registry/ledgers/ShellStorm2_武器账本_v001.xlsx</t>
        </is>
      </c>
      <c r="F16" s="95" t="inlineStr">
        <is>
          <t>src/base/ItemRegistry.gd#L564</t>
        </is>
      </c>
      <c r="G16" s="95" t="inlineStr">
        <is>
          <t>docs/v0.1/data/ShellStorm2_游戏内容数据库_v010.xlsx#掉落物品!A48</t>
        </is>
      </c>
      <c r="H16" s="94" t="inlineStr">
        <is>
          <t>未在当前CSV列出；池来源见下一列</t>
        </is>
      </c>
      <c r="I16" s="95" t="inlineStr">
        <is>
          <t>src/base/ItemRegistry.gd#L564 / loot_floor_1_2, loot_floor_3_4, loot_floor_5, loot_abyss, scavenge_floor_3, combat_floor_3, elite_floor_1, elite_floor_2</t>
        </is>
      </c>
      <c r="J16" s="95" t="inlineStr">
        <is>
          <t>src/game/InventoryModule.gd#add_item</t>
        </is>
      </c>
      <c r="K16" s="95" t="inlineStr">
        <is>
          <t>src/world3d/Dungeon3D.gd#_equip_weapon_from_inventory</t>
        </is>
      </c>
      <c r="L16" s="95" t="inlineStr">
        <is>
          <t>src/world3d/ItemModelFactory3D.gd#create_model / get_model_kind</t>
        </is>
      </c>
      <c r="M16" s="94" t="inlineStr">
        <is>
          <t>已接入3D资产；地面/图标共用：assets/art/items_weapons/weapons/melee_waraxe/runtime/wpn_melee_waraxe_ground_root_top3d.tscn；物品专用色板：assets/art/shared/palette/item_high_visibility_palette_10x10_512.png（HSV S/V×1.61；物品独立四材质；图标本色补光0.45）</t>
        </is>
      </c>
      <c r="N16" s="94" t="inlineStr">
        <is>
          <t>WPN-MELEE-BP-WARAXE</t>
        </is>
      </c>
      <c r="O16" s="95" t="inlineStr">
        <is>
          <t>assets/registry/ledgers/ShellStorm2_武器账本_v001.xlsx#资产主表!A29</t>
        </is>
      </c>
      <c r="P16" s="94" t="inlineStr">
        <is>
          <t>WORLD-LOOT / REWARD-SERVICE / INVENTORY-SLOTS / WEAPON-OWNERSHIP</t>
        </is>
      </c>
      <c r="Q16" s="94" t="inlineStr">
        <is>
          <t>已注册；本表只导航，堆叠/数值/掉落概率由原定义拥有；远征01作者掉落表未列此项（不可视为无其他产出）</t>
        </is>
      </c>
    </row>
    <row r="17" ht="127" customHeight="1" s="46">
      <c r="A17" s="94" t="inlineStr">
        <is>
          <t>mod_bullet_standard</t>
        </is>
      </c>
      <c r="B17" s="94" t="inlineStr">
        <is>
          <t>标准子弹模块</t>
        </is>
      </c>
      <c r="C17" s="94" t="inlineStr">
        <is>
          <t>module</t>
        </is>
      </c>
      <c r="D17" s="94" t="inlineStr">
        <is>
          <t>bullet</t>
        </is>
      </c>
      <c r="E17" s="94" t="inlineStr">
        <is>
          <t>assets/registry/ledgers/ShellStorm2_武器账本_v001.xlsx</t>
        </is>
      </c>
      <c r="F17" s="95" t="inlineStr">
        <is>
          <t>src/base/ItemRegistry.gd#L1027</t>
        </is>
      </c>
      <c r="G17" s="95" t="inlineStr">
        <is>
          <t>docs/v0.1/data/ShellStorm2_游戏内容数据库_v010.xlsx#掉落物品!A28</t>
        </is>
      </c>
      <c r="H17" s="94" t="inlineStr">
        <is>
          <t>docs/v0.1/data/怪物掉落表_地图x怪物.csv#CSV行3 / melee_chaser</t>
        </is>
      </c>
      <c r="I17" s="95" t="inlineStr">
        <is>
          <t>src/base/ItemRegistry.gd#L1027 / loot_floor_1_2, loot_floor_3_4, loot_floor_5, loot_abyss, spawn_starter, scavenge_floor_1, scavenge_floor_2, combat_floor_1, combat_floor_2</t>
        </is>
      </c>
      <c r="J17" s="95" t="inlineStr">
        <is>
          <t>src/game/InventoryModule.gd#add_item</t>
        </is>
      </c>
      <c r="K17" s="95" t="inlineStr">
        <is>
          <t>src/world3d/Dungeon3D.gd#_reject_manual_bullet_module_swap</t>
        </is>
      </c>
      <c r="L17" s="95" t="inlineStr">
        <is>
          <t>src/world3d/ItemModelFactory3D.gd#create_model / get_model_kind</t>
        </is>
      </c>
      <c r="M17" s="94" t="inlineStr">
        <is>
          <t>已接入3D资产；地面/图标共用：assets/art/items_weapons/weapons/bullet_module_standard/runtime/wpn_bullet_module_standard_ground_root_top3d.tscn；物品专用色板：assets/art/shared/palette/item_high_visibility_palette_10x10_512.png（HSV S/V×1.61；物品独立四材质；图标本色补光0.45）</t>
        </is>
      </c>
      <c r="N17" s="94" t="inlineStr">
        <is>
          <t>WPN-BUL-MOD-BULLET-STANDARD</t>
        </is>
      </c>
      <c r="O17" s="95" t="inlineStr">
        <is>
          <t>assets/registry/ledgers/ShellStorm2_武器账本_v001.xlsx#资产主表!A13</t>
        </is>
      </c>
      <c r="P17" s="94" t="inlineStr">
        <is>
          <t>WORLD-LOOT / REWARD-SERVICE / INVENTORY-SLOTS / WEAPON-OWNERSHIP</t>
        </is>
      </c>
      <c r="Q17" s="94" t="inlineStr">
        <is>
          <t>已注册；本表只导航，堆叠/数值/掉落概率由原定义拥有；2026-10-19 起手动更换已关闭，需枪械工坊特殊流程（待实现）</t>
        </is>
      </c>
    </row>
    <row r="18" ht="127" customHeight="1" s="46">
      <c r="A18" s="94" t="inlineStr">
        <is>
          <t>mod_bullet_sticky</t>
        </is>
      </c>
      <c r="B18" s="94" t="inlineStr">
        <is>
          <t>黏黏弹模块</t>
        </is>
      </c>
      <c r="C18" s="94" t="inlineStr">
        <is>
          <t>module</t>
        </is>
      </c>
      <c r="D18" s="94" t="inlineStr">
        <is>
          <t>bullet</t>
        </is>
      </c>
      <c r="E18" s="94" t="inlineStr">
        <is>
          <t>assets/registry/ledgers/ShellStorm2_武器账本_v001.xlsx</t>
        </is>
      </c>
      <c r="F18" s="95" t="inlineStr">
        <is>
          <t>src/base/ItemRegistry.gd#L1050</t>
        </is>
      </c>
      <c r="G18" s="95" t="inlineStr">
        <is>
          <t>docs/v0.1/data/ShellStorm2_游戏内容数据库_v010.xlsx#掉落物品!A29</t>
        </is>
      </c>
      <c r="H18" s="94" t="inlineStr">
        <is>
          <t>未在当前CSV列出；池来源见下一列</t>
        </is>
      </c>
      <c r="I18" s="95" t="inlineStr">
        <is>
          <t>src/base/ItemRegistry.gd#L1050 / loot_floor_1_2, loot_floor_3_4, loot_floor_5, loot_abyss, spawn_starter, scavenge_floor_1, scavenge_floor_2, combat_floor_1, combat_floor_2</t>
        </is>
      </c>
      <c r="J18" s="95" t="inlineStr">
        <is>
          <t>src/game/InventoryModule.gd#add_item</t>
        </is>
      </c>
      <c r="K18" s="95" t="inlineStr">
        <is>
          <t>src/world3d/Dungeon3D.gd#_reject_manual_bullet_module_swap</t>
        </is>
      </c>
      <c r="L18" s="95" t="inlineStr">
        <is>
          <t>src/world3d/ItemModelFactory3D.gd#create_model / get_model_kind</t>
        </is>
      </c>
      <c r="M18" s="94" t="inlineStr">
        <is>
          <t>已接入3D资产；地面/图标共用：assets/art/items_weapons/weapons/bullet_module_sticky/runtime/wpn_bullet_module_sticky_ground_root_top3d.tscn；物品专用色板：assets/art/shared/palette/item_high_visibility_palette_10x10_512.png（HSV S/V×1.61；物品独立四材质；图标本色补光0.45）</t>
        </is>
      </c>
      <c r="N18" s="94" t="inlineStr">
        <is>
          <t>WPN-BUL-MOD-BULLET-STICKY</t>
        </is>
      </c>
      <c r="O18" s="95" t="inlineStr">
        <is>
          <t>assets/registry/ledgers/ShellStorm2_武器账本_v001.xlsx#资产主表!A14</t>
        </is>
      </c>
      <c r="P18" s="94" t="inlineStr">
        <is>
          <t>WORLD-LOOT / REWARD-SERVICE / INVENTORY-SLOTS / WEAPON-OWNERSHIP</t>
        </is>
      </c>
      <c r="Q18" s="94" t="inlineStr">
        <is>
          <t>已注册；本表只导航，堆叠/数值/掉落概率由原定义拥有；远征01作者掉落表未列此项（不可视为无其他产出）；2026-10-19 起手动更换已关闭，需枪械工坊特殊流程（待实现）</t>
        </is>
      </c>
    </row>
    <row r="19" ht="127" customHeight="1" s="46">
      <c r="A19" s="94" t="inlineStr">
        <is>
          <t>mod_bullet_bounce</t>
        </is>
      </c>
      <c r="B19" s="94" t="inlineStr">
        <is>
          <t>回旋镖弹模块</t>
        </is>
      </c>
      <c r="C19" s="94" t="inlineStr">
        <is>
          <t>module</t>
        </is>
      </c>
      <c r="D19" s="94" t="inlineStr">
        <is>
          <t>bullet</t>
        </is>
      </c>
      <c r="E19" s="94" t="inlineStr">
        <is>
          <t>assets/registry/ledgers/ShellStorm2_武器账本_v001.xlsx</t>
        </is>
      </c>
      <c r="F19" s="95" t="inlineStr">
        <is>
          <t>src/base/ItemRegistry.gd#L1073</t>
        </is>
      </c>
      <c r="G19" s="95" t="inlineStr">
        <is>
          <t>docs/v0.1/data/ShellStorm2_游戏内容数据库_v010.xlsx#掉落物品!A24</t>
        </is>
      </c>
      <c r="H19" s="94" t="inlineStr">
        <is>
          <t>docs/v0.1/data/怪物掉落表_地图x怪物.csv#CSV行6 / ranged_caster</t>
        </is>
      </c>
      <c r="I19" s="95" t="inlineStr">
        <is>
          <t>src/base/ItemRegistry.gd#L1073 / loot_floor_1_2, loot_floor_3_4, loot_floor_5, loot_abyss, spawn_starter, scavenge_floor_1, scavenge_floor_2, combat_floor_1, combat_floor_2</t>
        </is>
      </c>
      <c r="J19" s="95" t="inlineStr">
        <is>
          <t>src/game/InventoryModule.gd#add_item</t>
        </is>
      </c>
      <c r="K19" s="95" t="inlineStr">
        <is>
          <t>src/world3d/Dungeon3D.gd#_reject_manual_bullet_module_swap</t>
        </is>
      </c>
      <c r="L19" s="95" t="inlineStr">
        <is>
          <t>src/world3d/ItemModelFactory3D.gd#create_model / get_model_kind</t>
        </is>
      </c>
      <c r="M19" s="94" t="inlineStr">
        <is>
          <t>已接入3D资产；地面/图标共用：assets/art/items_weapons/weapons/bullet_module_bounce/runtime/wpn_bullet_module_bounce_ground_root_top3d.tscn；物品专用色板：assets/art/shared/palette/item_high_visibility_palette_10x10_512.png（HSV S/V×1.61；物品独立四材质；图标本色补光0.45）</t>
        </is>
      </c>
      <c r="N19" s="94" t="inlineStr">
        <is>
          <t>WPN-BUL-MOD-BULLET-BOUNCE</t>
        </is>
      </c>
      <c r="O19" s="95" t="inlineStr">
        <is>
          <t>assets/registry/ledgers/ShellStorm2_武器账本_v001.xlsx#资产主表!A15</t>
        </is>
      </c>
      <c r="P19" s="94" t="inlineStr">
        <is>
          <t>WORLD-LOOT / REWARD-SERVICE / INVENTORY-SLOTS / WEAPON-OWNERSHIP</t>
        </is>
      </c>
      <c r="Q19" s="94" t="inlineStr">
        <is>
          <t>已注册；本表只导航，堆叠/数值/掉落概率由原定义拥有；2026-10-19 起手动更换已关闭，需枪械工坊特殊流程（待实现）</t>
        </is>
      </c>
    </row>
    <row r="20" ht="127" customHeight="1" s="46">
      <c r="A20" s="94" t="inlineStr">
        <is>
          <t>mod_bullet_piercing</t>
        </is>
      </c>
      <c r="B20" s="94" t="inlineStr">
        <is>
          <t>穿甲弹模块</t>
        </is>
      </c>
      <c r="C20" s="94" t="inlineStr">
        <is>
          <t>module</t>
        </is>
      </c>
      <c r="D20" s="94" t="inlineStr">
        <is>
          <t>bullet</t>
        </is>
      </c>
      <c r="E20" s="94" t="inlineStr">
        <is>
          <t>assets/registry/ledgers/ShellStorm2_武器账本_v001.xlsx</t>
        </is>
      </c>
      <c r="F20" s="95" t="inlineStr">
        <is>
          <t>src/base/ItemRegistry.gd#L1102</t>
        </is>
      </c>
      <c r="G20" s="95" t="inlineStr">
        <is>
          <t>docs/v0.1/data/ShellStorm2_游戏内容数据库_v010.xlsx#掉落物品!A27</t>
        </is>
      </c>
      <c r="H20" s="94" t="inlineStr">
        <is>
          <t>docs/v0.1/data/怪物掉落表_地图x怪物.csv#CSV行5 / ranged_caster</t>
        </is>
      </c>
      <c r="I20" s="95" t="inlineStr">
        <is>
          <t>src/base/ItemRegistry.gd#L1102 / loot_floor_3_4, loot_floor_5, loot_abyss, scavenge_floor_3, scavenge_floor_4, scavenge_floor_5, combat_floor_3</t>
        </is>
      </c>
      <c r="J20" s="95" t="inlineStr">
        <is>
          <t>src/game/InventoryModule.gd#add_item</t>
        </is>
      </c>
      <c r="K20" s="95" t="inlineStr">
        <is>
          <t>src/world3d/Dungeon3D.gd#_reject_manual_bullet_module_swap</t>
        </is>
      </c>
      <c r="L20" s="95" t="inlineStr">
        <is>
          <t>src/world3d/ItemModelFactory3D.gd#create_model / get_model_kind</t>
        </is>
      </c>
      <c r="M20" s="94" t="inlineStr">
        <is>
          <t>已接入3D资产；地面/图标共用：assets/art/items_weapons/weapons/bullet_module_piercing/runtime/wpn_bullet_module_piercing_ground_root_top3d.tscn；物品专用色板：assets/art/shared/palette/item_high_visibility_palette_10x10_512.png（HSV S/V×1.61；物品独立四材质；图标本色补光0.45）</t>
        </is>
      </c>
      <c r="N20" s="94" t="inlineStr">
        <is>
          <t>WPN-BUL-MOD-BULLET-PIERCING</t>
        </is>
      </c>
      <c r="O20" s="95" t="inlineStr">
        <is>
          <t>assets/registry/ledgers/ShellStorm2_武器账本_v001.xlsx#资产主表!A16</t>
        </is>
      </c>
      <c r="P20" s="94" t="inlineStr">
        <is>
          <t>WORLD-LOOT / REWARD-SERVICE / INVENTORY-SLOTS / WEAPON-OWNERSHIP</t>
        </is>
      </c>
      <c r="Q20" s="94" t="inlineStr">
        <is>
          <t>已注册；本表只导航，堆叠/数值/掉落概率由原定义拥有；2026-10-19 起手动更换已关闭，需枪械工坊特殊流程（待实现）</t>
        </is>
      </c>
    </row>
    <row r="21" ht="127" customHeight="1" s="46">
      <c r="A21" s="94" t="inlineStr">
        <is>
          <t>mod_bullet_explosive</t>
        </is>
      </c>
      <c r="B21" s="94" t="inlineStr">
        <is>
          <t>爆炸弹模块</t>
        </is>
      </c>
      <c r="C21" s="94" t="inlineStr">
        <is>
          <t>module</t>
        </is>
      </c>
      <c r="D21" s="94" t="inlineStr">
        <is>
          <t>bullet</t>
        </is>
      </c>
      <c r="E21" s="94" t="inlineStr">
        <is>
          <t>assets/registry/ledgers/ShellStorm2_武器账本_v001.xlsx</t>
        </is>
      </c>
      <c r="F21" s="95" t="inlineStr">
        <is>
          <t>src/base/ItemRegistry.gd#L1123</t>
        </is>
      </c>
      <c r="G21" s="95" t="inlineStr">
        <is>
          <t>docs/v0.1/data/ShellStorm2_游戏内容数据库_v010.xlsx#掉落物品!A25</t>
        </is>
      </c>
      <c r="H21" s="94" t="inlineStr">
        <is>
          <t>docs/v0.1/data/怪物掉落表_地图x怪物.csv#CSV行9 / exploder</t>
        </is>
      </c>
      <c r="I21" s="95" t="inlineStr">
        <is>
          <t>src/base/ItemRegistry.gd#L1123 / loot_floor_3_4, loot_floor_5, loot_abyss, scavenge_floor_3, scavenge_floor_4, scavenge_floor_5, combat_floor_3</t>
        </is>
      </c>
      <c r="J21" s="95" t="inlineStr">
        <is>
          <t>src/game/InventoryModule.gd#add_item</t>
        </is>
      </c>
      <c r="K21" s="95" t="inlineStr">
        <is>
          <t>src/world3d/Dungeon3D.gd#_reject_manual_bullet_module_swap</t>
        </is>
      </c>
      <c r="L21" s="95" t="inlineStr">
        <is>
          <t>src/world3d/ItemModelFactory3D.gd#create_model / get_model_kind</t>
        </is>
      </c>
      <c r="M21" s="94" t="inlineStr">
        <is>
          <t>已接入3D资产；地面/图标共用：assets/art/items_weapons/weapons/bullet_module_explosive/runtime/wpn_bullet_module_explosive_ground_root_top3d.tscn；物品专用色板：assets/art/shared/palette/item_high_visibility_palette_10x10_512.png（HSV S/V×1.61；物品独立四材质；图标本色补光0.45）</t>
        </is>
      </c>
      <c r="N21" s="94" t="inlineStr">
        <is>
          <t>WPN-BUL-MOD-BULLET-EXPLOSIVE</t>
        </is>
      </c>
      <c r="O21" s="95" t="inlineStr">
        <is>
          <t>assets/registry/ledgers/ShellStorm2_武器账本_v001.xlsx#资产主表!A17</t>
        </is>
      </c>
      <c r="P21" s="94" t="inlineStr">
        <is>
          <t>WORLD-LOOT / REWARD-SERVICE / INVENTORY-SLOTS / WEAPON-OWNERSHIP</t>
        </is>
      </c>
      <c r="Q21" s="94" t="inlineStr">
        <is>
          <t>已注册；本表只导航，堆叠/数值/掉落概率由原定义拥有；2026-10-19 起手动更换已关闭，需枪械工坊特殊流程（待实现）</t>
        </is>
      </c>
    </row>
    <row r="22" ht="127" customHeight="1" s="46">
      <c r="A22" s="94" t="inlineStr">
        <is>
          <t>mod_bullet_homing</t>
        </is>
      </c>
      <c r="B22" s="94" t="inlineStr">
        <is>
          <t>蜂卵弹模块</t>
        </is>
      </c>
      <c r="C22" s="94" t="inlineStr">
        <is>
          <t>module</t>
        </is>
      </c>
      <c r="D22" s="94" t="inlineStr">
        <is>
          <t>bullet</t>
        </is>
      </c>
      <c r="E22" s="94" t="inlineStr">
        <is>
          <t>assets/registry/ledgers/ShellStorm2_武器账本_v001.xlsx</t>
        </is>
      </c>
      <c r="F22" s="95" t="inlineStr">
        <is>
          <t>src/base/ItemRegistry.gd#L1144</t>
        </is>
      </c>
      <c r="G22" s="95" t="inlineStr">
        <is>
          <t>docs/v0.1/data/ShellStorm2_游戏内容数据库_v010.xlsx#掉落物品!A26</t>
        </is>
      </c>
      <c r="H22" s="94" t="inlineStr">
        <is>
          <t>未在当前CSV列出；池来源见下一列</t>
        </is>
      </c>
      <c r="I22" s="95" t="inlineStr">
        <is>
          <t>src/base/ItemRegistry.gd#L1144 / loot_floor_5, loot_abyss, boss_floor_1, scavenge_floor_4, scavenge_floor_5, combat_floor_4, combat_floor_5</t>
        </is>
      </c>
      <c r="J22" s="95" t="inlineStr">
        <is>
          <t>src/game/InventoryModule.gd#add_item</t>
        </is>
      </c>
      <c r="K22" s="95" t="inlineStr">
        <is>
          <t>src/world3d/Dungeon3D.gd#_reject_manual_bullet_module_swap</t>
        </is>
      </c>
      <c r="L22" s="95" t="inlineStr">
        <is>
          <t>src/world3d/ItemModelFactory3D.gd#create_model / get_model_kind</t>
        </is>
      </c>
      <c r="M22" s="94" t="inlineStr">
        <is>
          <t>已接入3D资产；地面/图标共用：assets/art/items_weapons/weapons/bullet_module_homing/runtime/wpn_bullet_module_homing_ground_root_top3d.tscn；物品专用色板：assets/art/shared/palette/item_high_visibility_palette_10x10_512.png（HSV S/V×1.61；物品独立四材质；图标本色补光0.45）</t>
        </is>
      </c>
      <c r="N22" s="94" t="inlineStr">
        <is>
          <t>WPN-BUL-MOD-BULLET-HOMING</t>
        </is>
      </c>
      <c r="O22" s="95" t="inlineStr">
        <is>
          <t>assets/registry/ledgers/ShellStorm2_武器账本_v001.xlsx#资产主表!A18</t>
        </is>
      </c>
      <c r="P22" s="94" t="inlineStr">
        <is>
          <t>WORLD-LOOT / REWARD-SERVICE / INVENTORY-SLOTS / WEAPON-OWNERSHIP</t>
        </is>
      </c>
      <c r="Q22" s="94" t="inlineStr">
        <is>
          <t>已注册；本表只导航，堆叠/数值/掉落概率由原定义拥有；远征01作者掉落表未列此项（不可视为无其他产出）；2026-10-19 起手动更换已关闭，需枪械工坊特殊流程（待实现）</t>
        </is>
      </c>
    </row>
    <row r="23" ht="127" customHeight="1" s="46">
      <c r="A23" s="94" t="inlineStr">
        <is>
          <t>mod_bullet_blackhole</t>
        </is>
      </c>
      <c r="B23" s="94" t="inlineStr">
        <is>
          <t>黑洞弹模块</t>
        </is>
      </c>
      <c r="C23" s="94" t="inlineStr">
        <is>
          <t>module</t>
        </is>
      </c>
      <c r="D23" s="94" t="inlineStr">
        <is>
          <t>bullet</t>
        </is>
      </c>
      <c r="E23" s="94" t="inlineStr">
        <is>
          <t>assets/registry/ledgers/ShellStorm2_武器账本_v001.xlsx</t>
        </is>
      </c>
      <c r="F23" s="95" t="inlineStr">
        <is>
          <t>src/base/ItemRegistry.gd#L1165</t>
        </is>
      </c>
      <c r="G23" s="95" t="inlineStr">
        <is>
          <t>docs/v0.1/data/ShellStorm2_游戏内容数据库_v010.xlsx#掉落物品!A23</t>
        </is>
      </c>
      <c r="H23" s="94" t="inlineStr">
        <is>
          <t>未在当前CSV列出；池来源见下一列</t>
        </is>
      </c>
      <c r="I23" s="95" t="inlineStr">
        <is>
          <t>src/base/ItemRegistry.gd#L1165 / loot_abyss, boss_floor_1, boss_floor_2, scavenge_floor_4, scavenge_floor_5, combat_floor_4, combat_floor_5</t>
        </is>
      </c>
      <c r="J23" s="95" t="inlineStr">
        <is>
          <t>src/game/InventoryModule.gd#add_item</t>
        </is>
      </c>
      <c r="K23" s="95" t="inlineStr">
        <is>
          <t>src/world3d/Dungeon3D.gd#_reject_manual_bullet_module_swap</t>
        </is>
      </c>
      <c r="L23" s="95" t="inlineStr">
        <is>
          <t>src/world3d/ItemModelFactory3D.gd#create_model / get_model_kind</t>
        </is>
      </c>
      <c r="M23" s="94" t="inlineStr">
        <is>
          <t>已接入3D资产；地面/图标共用：assets/art/items_weapons/weapons/bullet_module_blackhole/runtime/wpn_bullet_module_blackhole_ground_root_top3d.tscn；物品专用色板：assets/art/shared/palette/item_high_visibility_palette_10x10_512.png（HSV S/V×1.61；物品独立四材质；图标本色补光0.45）</t>
        </is>
      </c>
      <c r="N23" s="94" t="inlineStr">
        <is>
          <t>WPN-BUL-MOD-BULLET-BLACKHOLE</t>
        </is>
      </c>
      <c r="O23" s="95" t="inlineStr">
        <is>
          <t>assets/registry/ledgers/ShellStorm2_武器账本_v001.xlsx#资产主表!A19</t>
        </is>
      </c>
      <c r="P23" s="94" t="inlineStr">
        <is>
          <t>WORLD-LOOT / REWARD-SERVICE / INVENTORY-SLOTS / WEAPON-OWNERSHIP</t>
        </is>
      </c>
      <c r="Q23" s="94" t="inlineStr">
        <is>
          <t>已注册；本表只导航，堆叠/数值/掉落概率由原定义拥有；远征01作者掉落表未列此项（不可视为无其他产出）；2026-10-19 起手动更换已关闭，需枪械工坊特殊流程（待实现）</t>
        </is>
      </c>
    </row>
    <row r="24" ht="127" customHeight="1" s="46">
      <c r="A24" s="94" t="inlineStr">
        <is>
          <t>mod_bullet_balloon</t>
        </is>
      </c>
      <c r="B24" s="94" t="inlineStr">
        <is>
          <t>气球弹模块</t>
        </is>
      </c>
      <c r="C24" s="94" t="inlineStr">
        <is>
          <t>module</t>
        </is>
      </c>
      <c r="D24" s="94" t="inlineStr">
        <is>
          <t>bullet</t>
        </is>
      </c>
      <c r="E24" s="94" t="inlineStr">
        <is>
          <t>assets/registry/ledgers/ShellStorm2_武器账本_v001.xlsx</t>
        </is>
      </c>
      <c r="F24" s="95" t="inlineStr">
        <is>
          <t>src/base/ItemRegistry.gd#L1186</t>
        </is>
      </c>
      <c r="G24" s="95" t="inlineStr">
        <is>
          <t>docs/v0.1/data/ShellStorm2_游戏内容数据库_v010.xlsx#掉落物品!A22</t>
        </is>
      </c>
      <c r="H24" s="94" t="inlineStr">
        <is>
          <t>未在当前CSV列出；池来源见下一列</t>
        </is>
      </c>
      <c r="I24" s="95" t="inlineStr">
        <is>
          <t>src/base/ItemRegistry.gd#L1186 / loot_floor_3_4, loot_floor_5, loot_abyss, scavenge_floor_3, scavenge_floor_4, scavenge_floor_5, combat_floor_3, combat_floor_4</t>
        </is>
      </c>
      <c r="J24" s="95" t="inlineStr">
        <is>
          <t>src/game/InventoryModule.gd#add_item</t>
        </is>
      </c>
      <c r="K24" s="95" t="inlineStr">
        <is>
          <t>src/world3d/Dungeon3D.gd#_reject_manual_bullet_module_swap</t>
        </is>
      </c>
      <c r="L24" s="95" t="inlineStr">
        <is>
          <t>src/world3d/ItemModelFactory3D.gd#create_model / get_model_kind</t>
        </is>
      </c>
      <c r="M24" s="94" t="inlineStr">
        <is>
          <t>已接入3D资产；地面/图标共用：assets/art/items_weapons/weapons/bullet_module_balloon/runtime/wpn_bullet_module_balloon_ground_root_top3d.tscn；物品专用色板：assets/art/shared/palette/item_high_visibility_palette_10x10_512.png（HSV S/V×1.61；物品独立四材质；图标本色补光0.45）</t>
        </is>
      </c>
      <c r="N24" s="94" t="inlineStr">
        <is>
          <t>WPN-BUL-MOD-BULLET-BALLOON</t>
        </is>
      </c>
      <c r="O24" s="95" t="inlineStr">
        <is>
          <t>assets/registry/ledgers/ShellStorm2_武器账本_v001.xlsx#资产主表!A20</t>
        </is>
      </c>
      <c r="P24" s="94" t="inlineStr">
        <is>
          <t>WORLD-LOOT / REWARD-SERVICE / INVENTORY-SLOTS / WEAPON-OWNERSHIP</t>
        </is>
      </c>
      <c r="Q24" s="94" t="inlineStr">
        <is>
          <t>已注册；本表只导航，堆叠/数值/掉落概率由原定义拥有；远征01作者掉落表未列此项（不可视为无其他产出）；2026-10-19 起手动更换已关闭，需枪械工坊特殊流程（待实现）</t>
        </is>
      </c>
    </row>
    <row r="25" ht="110" customHeight="1" s="46">
      <c r="A25" s="94" t="inlineStr">
        <is>
          <t>attach_triple_muzzle</t>
        </is>
      </c>
      <c r="B25" s="94" t="inlineStr">
        <is>
          <t>三叉枪口</t>
        </is>
      </c>
      <c r="C25" s="94" t="inlineStr">
        <is>
          <t>attachment</t>
        </is>
      </c>
      <c r="D25" s="94" t="inlineStr">
        <is>
          <t>muzzle</t>
        </is>
      </c>
      <c r="E25" s="94" t="inlineStr">
        <is>
          <t>assets/registry/ledgers/ShellStorm2_武器账本_v001.xlsx</t>
        </is>
      </c>
      <c r="F25" s="95" t="inlineStr">
        <is>
          <t>src/base/ItemRegistry.gd#L1214</t>
        </is>
      </c>
      <c r="G25" s="95" t="inlineStr">
        <is>
          <t>docs/v0.1/data/ShellStorm2_游戏内容数据库_v010.xlsx#掉落物品!A10</t>
        </is>
      </c>
      <c r="H25" s="94" t="inlineStr">
        <is>
          <t>未在当前CSV列出；池来源见下一列</t>
        </is>
      </c>
      <c r="I25" s="95" t="inlineStr">
        <is>
          <t>src/base/ItemRegistry.gd#L1214 / loot_floor_1_2, loot_floor_3_4, loot_floor_5, loot_abyss, spawn_starter, scavenge_floor_1, scavenge_floor_2, scavenge_floor_3, scavenge_floor_4, combat_floor_1, combat_floor_2</t>
        </is>
      </c>
      <c r="J25" s="95" t="inlineStr">
        <is>
          <t>src/game/InventoryModule.gd#add_item</t>
        </is>
      </c>
      <c r="K25" s="95" t="inlineStr">
        <is>
          <t>src/world3d/Dungeon3D.gd#_install_attachment_from_inventory</t>
        </is>
      </c>
      <c r="L25" s="95" t="inlineStr">
        <is>
          <t>src/world3d/ItemModelFactory3D.gd#create_model / get_model_kind</t>
        </is>
      </c>
      <c r="M25" s="94" t="inlineStr">
        <is>
          <t>已接入3D资产；地面/图标共用：assets/art/items_weapons/weapons/triple_muzzle/runtime/wpn_triple_muzzle_ground_root_top3d.tscn；物品专用色板：assets/art/shared/palette/item_high_visibility_palette_10x10_512.png（HSV S/V×1.61；物品独立四材质；图标本色补光0.45）</t>
        </is>
      </c>
      <c r="N25" s="94" t="inlineStr">
        <is>
          <t>WPN-ATT-ATTACH-TRIPLE-MUZZLE</t>
        </is>
      </c>
      <c r="O25" s="95" t="inlineStr">
        <is>
          <t>assets/registry/ledgers/ShellStorm2_武器账本_v001.xlsx#资产主表!A21</t>
        </is>
      </c>
      <c r="P25" s="94" t="inlineStr">
        <is>
          <t>WORLD-LOOT / REWARD-SERVICE / INVENTORY-SLOTS / WEAPON-OWNERSHIP</t>
        </is>
      </c>
      <c r="Q25" s="94" t="inlineStr">
        <is>
          <t>已注册；本表只导航，堆叠/数值/掉落概率由原定义拥有；远征01作者掉落表未列此项（不可视为无其他产出）</t>
        </is>
      </c>
    </row>
    <row r="26" ht="110" customHeight="1" s="46">
      <c r="A26" s="94" t="inlineStr">
        <is>
          <t>attach_rubber_stock</t>
        </is>
      </c>
      <c r="B26" s="94" t="inlineStr">
        <is>
          <t>橡皮枪托</t>
        </is>
      </c>
      <c r="C26" s="94" t="inlineStr">
        <is>
          <t>attachment</t>
        </is>
      </c>
      <c r="D26" s="94" t="inlineStr">
        <is>
          <t>stock</t>
        </is>
      </c>
      <c r="E26" s="94" t="inlineStr">
        <is>
          <t>assets/registry/ledgers/ShellStorm2_武器账本_v001.xlsx</t>
        </is>
      </c>
      <c r="F26" s="95" t="inlineStr">
        <is>
          <t>src/base/ItemRegistry.gd#L1239</t>
        </is>
      </c>
      <c r="G26" s="95" t="inlineStr">
        <is>
          <t>docs/v0.1/data/ShellStorm2_游戏内容数据库_v010.xlsx#掉落物品!A8</t>
        </is>
      </c>
      <c r="H26" s="94" t="inlineStr">
        <is>
          <t>未在当前CSV列出；池来源见下一列</t>
        </is>
      </c>
      <c r="I26" s="95" t="inlineStr">
        <is>
          <t>src/base/ItemRegistry.gd#L1239 / loot_floor_1_2, loot_floor_3_4, loot_floor_5, loot_abyss, spawn_starter, scavenge_floor_1, scavenge_floor_2, scavenge_floor_3, scavenge_floor_4, combat_floor_1, combat_floor_2</t>
        </is>
      </c>
      <c r="J26" s="95" t="inlineStr">
        <is>
          <t>src/game/InventoryModule.gd#add_item</t>
        </is>
      </c>
      <c r="K26" s="95" t="inlineStr">
        <is>
          <t>src/world3d/Dungeon3D.gd#_install_attachment_from_inventory</t>
        </is>
      </c>
      <c r="L26" s="95" t="inlineStr">
        <is>
          <t>src/world3d/ItemModelFactory3D.gd#create_model / get_model_kind</t>
        </is>
      </c>
      <c r="M26" s="94" t="inlineStr">
        <is>
          <t>已接入3D资产；地面/图标共用：assets/art/items_weapons/weapons/rubber_stock/runtime/wpn_rubber_stock_ground_root_top3d.tscn；物品专用色板：assets/art/shared/palette/item_high_visibility_palette_10x10_512.png（HSV S/V×1.61；物品独立四材质；图标本色补光0.45）</t>
        </is>
      </c>
      <c r="N26" s="94" t="inlineStr">
        <is>
          <t>WPN-ATT-ATTACH-RUBBER-STOCK</t>
        </is>
      </c>
      <c r="O26" s="95" t="inlineStr">
        <is>
          <t>assets/registry/ledgers/ShellStorm2_武器账本_v001.xlsx#资产主表!A22</t>
        </is>
      </c>
      <c r="P26" s="94" t="inlineStr">
        <is>
          <t>WORLD-LOOT / REWARD-SERVICE / INVENTORY-SLOTS / WEAPON-OWNERSHIP</t>
        </is>
      </c>
      <c r="Q26" s="94" t="inlineStr">
        <is>
          <t>已注册；本表只导航，堆叠/数值/掉落概率由原定义拥有；远征01作者掉落表未列此项（不可视为无其他产出）</t>
        </is>
      </c>
    </row>
    <row r="27" ht="110" customHeight="1" s="46">
      <c r="A27" s="94" t="inlineStr">
        <is>
          <t>attach_scope</t>
        </is>
      </c>
      <c r="B27" s="94" t="inlineStr">
        <is>
          <t>放大镜瞄具</t>
        </is>
      </c>
      <c r="C27" s="94" t="inlineStr">
        <is>
          <t>attachment</t>
        </is>
      </c>
      <c r="D27" s="94" t="inlineStr">
        <is>
          <t>scope</t>
        </is>
      </c>
      <c r="E27" s="94" t="inlineStr">
        <is>
          <t>assets/registry/ledgers/ShellStorm2_武器账本_v001.xlsx</t>
        </is>
      </c>
      <c r="F27" s="95" t="inlineStr">
        <is>
          <t>src/base/ItemRegistry.gd#L1270</t>
        </is>
      </c>
      <c r="G27" s="95" t="inlineStr">
        <is>
          <t>docs/v0.1/data/ShellStorm2_游戏内容数据库_v010.xlsx#掉落物品!A9</t>
        </is>
      </c>
      <c r="H27" s="94" t="inlineStr">
        <is>
          <t>docs/v0.1/data/怪物掉落表_地图x怪物.csv#CSV行7 / ranged_caster</t>
        </is>
      </c>
      <c r="I27" s="95" t="inlineStr">
        <is>
          <t>src/base/ItemRegistry.gd#L1270 / loot_floor_3_4, loot_floor_5, loot_abyss, scavenge_floor_3, scavenge_floor_4, scavenge_floor_5, combat_floor_2, combat_floor_3</t>
        </is>
      </c>
      <c r="J27" s="95" t="inlineStr">
        <is>
          <t>src/game/InventoryModule.gd#add_item</t>
        </is>
      </c>
      <c r="K27" s="95" t="inlineStr">
        <is>
          <t>src/world3d/Dungeon3D.gd#_install_attachment_from_inventory</t>
        </is>
      </c>
      <c r="L27" s="95" t="inlineStr">
        <is>
          <t>src/world3d/ItemModelFactory3D.gd#create_model / get_model_kind</t>
        </is>
      </c>
      <c r="M27" s="94" t="inlineStr">
        <is>
          <t>已接入3D资产；地面/图标共用：assets/art/items_weapons/weapons/scope/runtime/wpn_scope_ground_root_top3d.tscn；物品专用色板：assets/art/shared/palette/item_high_visibility_palette_10x10_512.png（HSV S/V×1.61；物品独立四材质；图标本色补光0.45）</t>
        </is>
      </c>
      <c r="N27" s="94" t="inlineStr">
        <is>
          <t>WPN-ATT-ATTACH-SCOPE</t>
        </is>
      </c>
      <c r="O27" s="95" t="inlineStr">
        <is>
          <t>assets/registry/ledgers/ShellStorm2_武器账本_v001.xlsx#资产主表!A23</t>
        </is>
      </c>
      <c r="P27" s="94" t="inlineStr">
        <is>
          <t>WORLD-LOOT / REWARD-SERVICE / INVENTORY-SLOTS / WEAPON-OWNERSHIP</t>
        </is>
      </c>
      <c r="Q27" s="94" t="inlineStr">
        <is>
          <t>已注册；本表只导航，堆叠/数值/掉落概率由原定义拥有</t>
        </is>
      </c>
    </row>
    <row r="28" ht="110" customHeight="1" s="46">
      <c r="A28" s="94" t="inlineStr">
        <is>
          <t>attach_big_mag</t>
        </is>
      </c>
      <c r="B28" s="94" t="inlineStr">
        <is>
          <t>肉质弹匣</t>
        </is>
      </c>
      <c r="C28" s="94" t="inlineStr">
        <is>
          <t>attachment</t>
        </is>
      </c>
      <c r="D28" s="94" t="inlineStr">
        <is>
          <t>magazine</t>
        </is>
      </c>
      <c r="E28" s="94" t="inlineStr">
        <is>
          <t>assets/registry/ledgers/ShellStorm2_武器账本_v001.xlsx</t>
        </is>
      </c>
      <c r="F28" s="95" t="inlineStr">
        <is>
          <t>src/base/ItemRegistry.gd#L1292</t>
        </is>
      </c>
      <c r="G28" s="95" t="inlineStr">
        <is>
          <t>docs/v0.1/data/ShellStorm2_游戏内容数据库_v010.xlsx#掉落物品!A5</t>
        </is>
      </c>
      <c r="H28" s="94" t="inlineStr">
        <is>
          <t>未在当前CSV列出；池来源见下一列</t>
        </is>
      </c>
      <c r="I28" s="95" t="inlineStr">
        <is>
          <t>src/base/ItemRegistry.gd#L1292 / loot_floor_3_4, loot_floor_5, loot_abyss, scavenge_floor_3, scavenge_floor_4, scavenge_floor_5, combat_floor_1, combat_floor_2</t>
        </is>
      </c>
      <c r="J28" s="95" t="inlineStr">
        <is>
          <t>src/game/InventoryModule.gd#add_item</t>
        </is>
      </c>
      <c r="K28" s="95" t="inlineStr">
        <is>
          <t>src/world3d/Dungeon3D.gd#_install_attachment_from_inventory</t>
        </is>
      </c>
      <c r="L28" s="95" t="inlineStr">
        <is>
          <t>src/world3d/ItemModelFactory3D.gd#create_model / get_model_kind</t>
        </is>
      </c>
      <c r="M28" s="94" t="inlineStr">
        <is>
          <t>已接入3D资产；地面/图标共用：assets/art/items_weapons/weapons/big_mag/runtime/wpn_big_mag_ground_root_top3d.tscn；物品专用色板：assets/art/shared/palette/item_high_visibility_palette_10x10_512.png（HSV S/V×1.61；物品独立四材质；图标本色补光0.45）</t>
        </is>
      </c>
      <c r="N28" s="94" t="inlineStr">
        <is>
          <t>WPN-ATT-ATTACH-BIG-MAG</t>
        </is>
      </c>
      <c r="O28" s="95" t="inlineStr">
        <is>
          <t>assets/registry/ledgers/ShellStorm2_武器账本_v001.xlsx#资产主表!A24</t>
        </is>
      </c>
      <c r="P28" s="94" t="inlineStr">
        <is>
          <t>WORLD-LOOT / REWARD-SERVICE / INVENTORY-SLOTS / WEAPON-OWNERSHIP</t>
        </is>
      </c>
      <c r="Q28" s="94" t="inlineStr">
        <is>
          <t>已注册；本表只导航，堆叠/数值/掉落概率由原定义拥有；远征01作者掉落表未列此项（不可视为无其他产出）</t>
        </is>
      </c>
    </row>
    <row r="29" ht="110" customHeight="1" s="46">
      <c r="A29" s="94" t="inlineStr">
        <is>
          <t>attach_fan</t>
        </is>
      </c>
      <c r="B29" s="94" t="inlineStr">
        <is>
          <t>小风扇</t>
        </is>
      </c>
      <c r="C29" s="94" t="inlineStr">
        <is>
          <t>attachment</t>
        </is>
      </c>
      <c r="D29" s="94" t="inlineStr">
        <is>
          <t>external</t>
        </is>
      </c>
      <c r="E29" s="94" t="inlineStr">
        <is>
          <t>assets/registry/ledgers/ShellStorm2_武器账本_v001.xlsx</t>
        </is>
      </c>
      <c r="F29" s="95" t="inlineStr">
        <is>
          <t>src/base/ItemRegistry.gd#L1314</t>
        </is>
      </c>
      <c r="G29" s="95" t="inlineStr">
        <is>
          <t>docs/v0.1/data/ShellStorm2_游戏内容数据库_v010.xlsx#掉落物品!A7</t>
        </is>
      </c>
      <c r="H29" s="94" t="inlineStr">
        <is>
          <t>未在当前CSV列出；池来源见下一列</t>
        </is>
      </c>
      <c r="I29" s="95" t="inlineStr">
        <is>
          <t>src/base/ItemRegistry.gd#L1314 / loot_floor_5, loot_abyss, boss_floor_1, scavenge_floor_4, scavenge_floor_5, combat_floor_3, combat_floor_4, combat_floor_5</t>
        </is>
      </c>
      <c r="J29" s="95" t="inlineStr">
        <is>
          <t>src/game/InventoryModule.gd#add_item</t>
        </is>
      </c>
      <c r="K29" s="95" t="inlineStr">
        <is>
          <t>src/world3d/Dungeon3D.gd#_install_attachment_from_inventory</t>
        </is>
      </c>
      <c r="L29" s="95" t="inlineStr">
        <is>
          <t>src/world3d/ItemModelFactory3D.gd#create_model / get_model_kind</t>
        </is>
      </c>
      <c r="M29" s="94" t="inlineStr">
        <is>
          <t>已接入3D资产；地面/图标共用：assets/art/items_weapons/weapons/attachment_fan/runtime/wpn_attachment_fan_ground_root_top3d.tscn；物品专用色板：assets/art/shared/palette/item_high_visibility_palette_10x10_512.png（HSV S/V×1.61；物品独立四材质；图标本色补光0.45）</t>
        </is>
      </c>
      <c r="N29" s="94" t="inlineStr">
        <is>
          <t>WPN-ATT-ATTACH-FAN</t>
        </is>
      </c>
      <c r="O29" s="95" t="inlineStr">
        <is>
          <t>assets/registry/ledgers/ShellStorm2_武器账本_v001.xlsx#资产主表!A25</t>
        </is>
      </c>
      <c r="P29" s="94" t="inlineStr">
        <is>
          <t>WORLD-LOOT / REWARD-SERVICE / INVENTORY-SLOTS / WEAPON-OWNERSHIP</t>
        </is>
      </c>
      <c r="Q29" s="94" t="inlineStr">
        <is>
          <t>已注册；本表只导航，堆叠/数值/掉落概率由原定义拥有；远征01作者掉落表未列此项（不可视为无其他产出）</t>
        </is>
      </c>
    </row>
    <row r="30" ht="110" customHeight="1" s="46">
      <c r="A30" s="94" t="inlineStr">
        <is>
          <t>attach_copy_sticker</t>
        </is>
      </c>
      <c r="B30" s="94" t="inlineStr">
        <is>
          <t>复制贴纸</t>
        </is>
      </c>
      <c r="C30" s="94" t="inlineStr">
        <is>
          <t>attachment</t>
        </is>
      </c>
      <c r="D30" s="94" t="inlineStr">
        <is>
          <t>mutator</t>
        </is>
      </c>
      <c r="E30" s="94" t="inlineStr">
        <is>
          <t>assets/registry/ledgers/ShellStorm2_武器账本_v001.xlsx</t>
        </is>
      </c>
      <c r="F30" s="95" t="inlineStr">
        <is>
          <t>src/base/ItemRegistry.gd#L1336</t>
        </is>
      </c>
      <c r="G30" s="95" t="inlineStr">
        <is>
          <t>docs/v0.1/data/ShellStorm2_游戏内容数据库_v010.xlsx#掉落物品!A6</t>
        </is>
      </c>
      <c r="H30" s="94" t="inlineStr">
        <is>
          <t>未在当前CSV列出；池来源见下一列</t>
        </is>
      </c>
      <c r="I30" s="95" t="inlineStr">
        <is>
          <t>src/base/ItemRegistry.gd#L1336 / loot_abyss, boss_floor_1, boss_floor_2, scavenge_floor_4, scavenge_floor_5, combat_floor_3, combat_floor_4, combat_floor_5</t>
        </is>
      </c>
      <c r="J30" s="95" t="inlineStr">
        <is>
          <t>src/game/InventoryModule.gd#add_item</t>
        </is>
      </c>
      <c r="K30" s="95" t="inlineStr">
        <is>
          <t>src/world3d/Dungeon3D.gd#_install_attachment_from_inventory</t>
        </is>
      </c>
      <c r="L30" s="95" t="inlineStr">
        <is>
          <t>src/world3d/ItemModelFactory3D.gd#create_model / get_model_kind</t>
        </is>
      </c>
      <c r="M30" s="94" t="inlineStr">
        <is>
          <t>已接入3D资产；地面/图标共用：assets/art/items_weapons/weapons/copy_sticker/runtime/wpn_copy_sticker_ground_root_top3d.tscn；物品专用色板：assets/art/shared/palette/item_high_visibility_palette_10x10_512.png（HSV S/V×1.61；物品独立四材质；图标本色补光0.45）</t>
        </is>
      </c>
      <c r="N30" s="94" t="inlineStr">
        <is>
          <t>WPN-ATT-ATTACH-COPY-STICKER</t>
        </is>
      </c>
      <c r="O30" s="95" t="inlineStr">
        <is>
          <t>assets/registry/ledgers/ShellStorm2_武器账本_v001.xlsx#资产主表!A26</t>
        </is>
      </c>
      <c r="P30" s="94" t="inlineStr">
        <is>
          <t>WORLD-LOOT / REWARD-SERVICE / INVENTORY-SLOTS / WEAPON-OWNERSHIP</t>
        </is>
      </c>
      <c r="Q30" s="94" t="inlineStr">
        <is>
          <t>已注册；本表只导航，堆叠/数值/掉落概率由原定义拥有；远征01作者掉落表未列此项（不可视为无其他产出）</t>
        </is>
      </c>
    </row>
  </sheetData>
  <mergeCells count="2">
    <mergeCell ref="A1:D1"/>
    <mergeCell ref="A2:D2"/>
  </mergeCells>
  <hyperlinks>
    <hyperlink xmlns:r="http://schemas.openxmlformats.org/officeDocument/2006/relationships" ref="F5" r:id="rId1"/>
    <hyperlink xmlns:r="http://schemas.openxmlformats.org/officeDocument/2006/relationships" ref="G5" r:id="rId2"/>
    <hyperlink xmlns:r="http://schemas.openxmlformats.org/officeDocument/2006/relationships" ref="I5" r:id="rId3"/>
    <hyperlink xmlns:r="http://schemas.openxmlformats.org/officeDocument/2006/relationships" ref="J5" r:id="rId4"/>
    <hyperlink xmlns:r="http://schemas.openxmlformats.org/officeDocument/2006/relationships" ref="K5" r:id="rId5"/>
    <hyperlink xmlns:r="http://schemas.openxmlformats.org/officeDocument/2006/relationships" ref="L5" r:id="rId6"/>
    <hyperlink xmlns:r="http://schemas.openxmlformats.org/officeDocument/2006/relationships" ref="O5" r:id="rId7"/>
    <hyperlink xmlns:r="http://schemas.openxmlformats.org/officeDocument/2006/relationships" ref="F6" r:id="rId8"/>
    <hyperlink xmlns:r="http://schemas.openxmlformats.org/officeDocument/2006/relationships" ref="G6" r:id="rId9"/>
    <hyperlink xmlns:r="http://schemas.openxmlformats.org/officeDocument/2006/relationships" ref="I6" r:id="rId10"/>
    <hyperlink xmlns:r="http://schemas.openxmlformats.org/officeDocument/2006/relationships" ref="J6" r:id="rId11"/>
    <hyperlink xmlns:r="http://schemas.openxmlformats.org/officeDocument/2006/relationships" ref="K6" r:id="rId12"/>
    <hyperlink xmlns:r="http://schemas.openxmlformats.org/officeDocument/2006/relationships" ref="L6" r:id="rId13"/>
    <hyperlink xmlns:r="http://schemas.openxmlformats.org/officeDocument/2006/relationships" ref="O6" r:id="rId14"/>
    <hyperlink xmlns:r="http://schemas.openxmlformats.org/officeDocument/2006/relationships" ref="F7" r:id="rId15"/>
    <hyperlink xmlns:r="http://schemas.openxmlformats.org/officeDocument/2006/relationships" ref="G7" r:id="rId16"/>
    <hyperlink xmlns:r="http://schemas.openxmlformats.org/officeDocument/2006/relationships" ref="I7" r:id="rId17"/>
    <hyperlink xmlns:r="http://schemas.openxmlformats.org/officeDocument/2006/relationships" ref="J7" r:id="rId18"/>
    <hyperlink xmlns:r="http://schemas.openxmlformats.org/officeDocument/2006/relationships" ref="K7" r:id="rId19"/>
    <hyperlink xmlns:r="http://schemas.openxmlformats.org/officeDocument/2006/relationships" ref="L7" r:id="rId20"/>
    <hyperlink xmlns:r="http://schemas.openxmlformats.org/officeDocument/2006/relationships" ref="O7" r:id="rId21"/>
    <hyperlink xmlns:r="http://schemas.openxmlformats.org/officeDocument/2006/relationships" ref="F8" r:id="rId22"/>
    <hyperlink xmlns:r="http://schemas.openxmlformats.org/officeDocument/2006/relationships" ref="G8" r:id="rId23"/>
    <hyperlink xmlns:r="http://schemas.openxmlformats.org/officeDocument/2006/relationships" ref="I8" r:id="rId24"/>
    <hyperlink xmlns:r="http://schemas.openxmlformats.org/officeDocument/2006/relationships" ref="J8" r:id="rId25"/>
    <hyperlink xmlns:r="http://schemas.openxmlformats.org/officeDocument/2006/relationships" ref="K8" r:id="rId26"/>
    <hyperlink xmlns:r="http://schemas.openxmlformats.org/officeDocument/2006/relationships" ref="L8" r:id="rId27"/>
    <hyperlink xmlns:r="http://schemas.openxmlformats.org/officeDocument/2006/relationships" ref="O8" r:id="rId28"/>
    <hyperlink xmlns:r="http://schemas.openxmlformats.org/officeDocument/2006/relationships" ref="F9" r:id="rId29"/>
    <hyperlink xmlns:r="http://schemas.openxmlformats.org/officeDocument/2006/relationships" ref="I9" r:id="rId30"/>
    <hyperlink xmlns:r="http://schemas.openxmlformats.org/officeDocument/2006/relationships" ref="J9" r:id="rId31"/>
    <hyperlink xmlns:r="http://schemas.openxmlformats.org/officeDocument/2006/relationships" ref="K9" r:id="rId32"/>
    <hyperlink xmlns:r="http://schemas.openxmlformats.org/officeDocument/2006/relationships" ref="L9" r:id="rId33"/>
    <hyperlink xmlns:r="http://schemas.openxmlformats.org/officeDocument/2006/relationships" ref="F10" r:id="rId34"/>
    <hyperlink xmlns:r="http://schemas.openxmlformats.org/officeDocument/2006/relationships" ref="G10" r:id="rId35"/>
    <hyperlink xmlns:r="http://schemas.openxmlformats.org/officeDocument/2006/relationships" ref="I10" r:id="rId36"/>
    <hyperlink xmlns:r="http://schemas.openxmlformats.org/officeDocument/2006/relationships" ref="J10" r:id="rId37"/>
    <hyperlink xmlns:r="http://schemas.openxmlformats.org/officeDocument/2006/relationships" ref="K10" r:id="rId38"/>
    <hyperlink xmlns:r="http://schemas.openxmlformats.org/officeDocument/2006/relationships" ref="L10" r:id="rId39"/>
    <hyperlink xmlns:r="http://schemas.openxmlformats.org/officeDocument/2006/relationships" ref="F11" r:id="rId40"/>
    <hyperlink xmlns:r="http://schemas.openxmlformats.org/officeDocument/2006/relationships" ref="G11" r:id="rId41"/>
    <hyperlink xmlns:r="http://schemas.openxmlformats.org/officeDocument/2006/relationships" ref="I11" r:id="rId42"/>
    <hyperlink xmlns:r="http://schemas.openxmlformats.org/officeDocument/2006/relationships" ref="J11" r:id="rId43"/>
    <hyperlink xmlns:r="http://schemas.openxmlformats.org/officeDocument/2006/relationships" ref="K11" r:id="rId44"/>
    <hyperlink xmlns:r="http://schemas.openxmlformats.org/officeDocument/2006/relationships" ref="L11" r:id="rId45"/>
    <hyperlink xmlns:r="http://schemas.openxmlformats.org/officeDocument/2006/relationships" ref="O11" r:id="rId46"/>
    <hyperlink xmlns:r="http://schemas.openxmlformats.org/officeDocument/2006/relationships" ref="F12" r:id="rId47"/>
    <hyperlink xmlns:r="http://schemas.openxmlformats.org/officeDocument/2006/relationships" ref="G12" r:id="rId48"/>
    <hyperlink xmlns:r="http://schemas.openxmlformats.org/officeDocument/2006/relationships" ref="I12" r:id="rId49"/>
    <hyperlink xmlns:r="http://schemas.openxmlformats.org/officeDocument/2006/relationships" ref="J12" r:id="rId50"/>
    <hyperlink xmlns:r="http://schemas.openxmlformats.org/officeDocument/2006/relationships" ref="K12" r:id="rId51"/>
    <hyperlink xmlns:r="http://schemas.openxmlformats.org/officeDocument/2006/relationships" ref="L12" r:id="rId52"/>
    <hyperlink xmlns:r="http://schemas.openxmlformats.org/officeDocument/2006/relationships" ref="O12" r:id="rId53"/>
    <hyperlink xmlns:r="http://schemas.openxmlformats.org/officeDocument/2006/relationships" ref="F13" r:id="rId54"/>
    <hyperlink xmlns:r="http://schemas.openxmlformats.org/officeDocument/2006/relationships" ref="G13" r:id="rId55"/>
    <hyperlink xmlns:r="http://schemas.openxmlformats.org/officeDocument/2006/relationships" ref="I13" r:id="rId56"/>
    <hyperlink xmlns:r="http://schemas.openxmlformats.org/officeDocument/2006/relationships" ref="J13" r:id="rId57"/>
    <hyperlink xmlns:r="http://schemas.openxmlformats.org/officeDocument/2006/relationships" ref="K13" r:id="rId58"/>
    <hyperlink xmlns:r="http://schemas.openxmlformats.org/officeDocument/2006/relationships" ref="L13" r:id="rId59"/>
    <hyperlink xmlns:r="http://schemas.openxmlformats.org/officeDocument/2006/relationships" ref="O13" r:id="rId60"/>
    <hyperlink xmlns:r="http://schemas.openxmlformats.org/officeDocument/2006/relationships" ref="F14" r:id="rId61"/>
    <hyperlink xmlns:r="http://schemas.openxmlformats.org/officeDocument/2006/relationships" ref="G14" r:id="rId62"/>
    <hyperlink xmlns:r="http://schemas.openxmlformats.org/officeDocument/2006/relationships" ref="I14" r:id="rId63"/>
    <hyperlink xmlns:r="http://schemas.openxmlformats.org/officeDocument/2006/relationships" ref="J14" r:id="rId64"/>
    <hyperlink xmlns:r="http://schemas.openxmlformats.org/officeDocument/2006/relationships" ref="K14" r:id="rId65"/>
    <hyperlink xmlns:r="http://schemas.openxmlformats.org/officeDocument/2006/relationships" ref="L14" r:id="rId66"/>
    <hyperlink xmlns:r="http://schemas.openxmlformats.org/officeDocument/2006/relationships" ref="O14" r:id="rId67"/>
    <hyperlink xmlns:r="http://schemas.openxmlformats.org/officeDocument/2006/relationships" ref="F15" r:id="rId68"/>
    <hyperlink xmlns:r="http://schemas.openxmlformats.org/officeDocument/2006/relationships" ref="G15" r:id="rId69"/>
    <hyperlink xmlns:r="http://schemas.openxmlformats.org/officeDocument/2006/relationships" ref="I15" r:id="rId70"/>
    <hyperlink xmlns:r="http://schemas.openxmlformats.org/officeDocument/2006/relationships" ref="J15" r:id="rId71"/>
    <hyperlink xmlns:r="http://schemas.openxmlformats.org/officeDocument/2006/relationships" ref="K15" r:id="rId72"/>
    <hyperlink xmlns:r="http://schemas.openxmlformats.org/officeDocument/2006/relationships" ref="L15" r:id="rId73"/>
    <hyperlink xmlns:r="http://schemas.openxmlformats.org/officeDocument/2006/relationships" ref="O15" r:id="rId74"/>
    <hyperlink xmlns:r="http://schemas.openxmlformats.org/officeDocument/2006/relationships" ref="F16" r:id="rId75"/>
    <hyperlink xmlns:r="http://schemas.openxmlformats.org/officeDocument/2006/relationships" ref="G16" r:id="rId76"/>
    <hyperlink xmlns:r="http://schemas.openxmlformats.org/officeDocument/2006/relationships" ref="I16" r:id="rId77"/>
    <hyperlink xmlns:r="http://schemas.openxmlformats.org/officeDocument/2006/relationships" ref="J16" r:id="rId78"/>
    <hyperlink xmlns:r="http://schemas.openxmlformats.org/officeDocument/2006/relationships" ref="K16" r:id="rId79"/>
    <hyperlink xmlns:r="http://schemas.openxmlformats.org/officeDocument/2006/relationships" ref="L16" r:id="rId80"/>
    <hyperlink xmlns:r="http://schemas.openxmlformats.org/officeDocument/2006/relationships" ref="O16" r:id="rId81"/>
    <hyperlink xmlns:r="http://schemas.openxmlformats.org/officeDocument/2006/relationships" ref="F17" r:id="rId82"/>
    <hyperlink xmlns:r="http://schemas.openxmlformats.org/officeDocument/2006/relationships" ref="G17" r:id="rId83"/>
    <hyperlink xmlns:r="http://schemas.openxmlformats.org/officeDocument/2006/relationships" ref="I17" r:id="rId84"/>
    <hyperlink xmlns:r="http://schemas.openxmlformats.org/officeDocument/2006/relationships" ref="J17" r:id="rId85"/>
    <hyperlink xmlns:r="http://schemas.openxmlformats.org/officeDocument/2006/relationships" ref="K17" r:id="rId86"/>
    <hyperlink xmlns:r="http://schemas.openxmlformats.org/officeDocument/2006/relationships" ref="L17" r:id="rId87"/>
    <hyperlink xmlns:r="http://schemas.openxmlformats.org/officeDocument/2006/relationships" ref="O17" r:id="rId88"/>
    <hyperlink xmlns:r="http://schemas.openxmlformats.org/officeDocument/2006/relationships" ref="F18" r:id="rId89"/>
    <hyperlink xmlns:r="http://schemas.openxmlformats.org/officeDocument/2006/relationships" ref="G18" r:id="rId90"/>
    <hyperlink xmlns:r="http://schemas.openxmlformats.org/officeDocument/2006/relationships" ref="I18" r:id="rId91"/>
    <hyperlink xmlns:r="http://schemas.openxmlformats.org/officeDocument/2006/relationships" ref="J18" r:id="rId92"/>
    <hyperlink xmlns:r="http://schemas.openxmlformats.org/officeDocument/2006/relationships" ref="K18" r:id="rId93"/>
    <hyperlink xmlns:r="http://schemas.openxmlformats.org/officeDocument/2006/relationships" ref="L18" r:id="rId94"/>
    <hyperlink xmlns:r="http://schemas.openxmlformats.org/officeDocument/2006/relationships" ref="O18" r:id="rId95"/>
    <hyperlink xmlns:r="http://schemas.openxmlformats.org/officeDocument/2006/relationships" ref="F19" r:id="rId96"/>
    <hyperlink xmlns:r="http://schemas.openxmlformats.org/officeDocument/2006/relationships" ref="G19" r:id="rId97"/>
    <hyperlink xmlns:r="http://schemas.openxmlformats.org/officeDocument/2006/relationships" ref="I19" r:id="rId98"/>
    <hyperlink xmlns:r="http://schemas.openxmlformats.org/officeDocument/2006/relationships" ref="J19" r:id="rId99"/>
    <hyperlink xmlns:r="http://schemas.openxmlformats.org/officeDocument/2006/relationships" ref="K19" r:id="rId100"/>
    <hyperlink xmlns:r="http://schemas.openxmlformats.org/officeDocument/2006/relationships" ref="L19" r:id="rId101"/>
    <hyperlink xmlns:r="http://schemas.openxmlformats.org/officeDocument/2006/relationships" ref="O19" r:id="rId102"/>
    <hyperlink xmlns:r="http://schemas.openxmlformats.org/officeDocument/2006/relationships" ref="F20" r:id="rId103"/>
    <hyperlink xmlns:r="http://schemas.openxmlformats.org/officeDocument/2006/relationships" ref="G20" r:id="rId104"/>
    <hyperlink xmlns:r="http://schemas.openxmlformats.org/officeDocument/2006/relationships" ref="I20" r:id="rId105"/>
    <hyperlink xmlns:r="http://schemas.openxmlformats.org/officeDocument/2006/relationships" ref="J20" r:id="rId106"/>
    <hyperlink xmlns:r="http://schemas.openxmlformats.org/officeDocument/2006/relationships" ref="K20" r:id="rId107"/>
    <hyperlink xmlns:r="http://schemas.openxmlformats.org/officeDocument/2006/relationships" ref="L20" r:id="rId108"/>
    <hyperlink xmlns:r="http://schemas.openxmlformats.org/officeDocument/2006/relationships" ref="O20" r:id="rId109"/>
    <hyperlink xmlns:r="http://schemas.openxmlformats.org/officeDocument/2006/relationships" ref="F21" r:id="rId110"/>
    <hyperlink xmlns:r="http://schemas.openxmlformats.org/officeDocument/2006/relationships" ref="G21" r:id="rId111"/>
    <hyperlink xmlns:r="http://schemas.openxmlformats.org/officeDocument/2006/relationships" ref="I21" r:id="rId112"/>
    <hyperlink xmlns:r="http://schemas.openxmlformats.org/officeDocument/2006/relationships" ref="J21" r:id="rId113"/>
    <hyperlink xmlns:r="http://schemas.openxmlformats.org/officeDocument/2006/relationships" ref="K21" r:id="rId114"/>
    <hyperlink xmlns:r="http://schemas.openxmlformats.org/officeDocument/2006/relationships" ref="L21" r:id="rId115"/>
    <hyperlink xmlns:r="http://schemas.openxmlformats.org/officeDocument/2006/relationships" ref="O21" r:id="rId116"/>
    <hyperlink xmlns:r="http://schemas.openxmlformats.org/officeDocument/2006/relationships" ref="F22" r:id="rId117"/>
    <hyperlink xmlns:r="http://schemas.openxmlformats.org/officeDocument/2006/relationships" ref="G22" r:id="rId118"/>
    <hyperlink xmlns:r="http://schemas.openxmlformats.org/officeDocument/2006/relationships" ref="I22" r:id="rId119"/>
    <hyperlink xmlns:r="http://schemas.openxmlformats.org/officeDocument/2006/relationships" ref="J22" r:id="rId120"/>
    <hyperlink xmlns:r="http://schemas.openxmlformats.org/officeDocument/2006/relationships" ref="K22" r:id="rId121"/>
    <hyperlink xmlns:r="http://schemas.openxmlformats.org/officeDocument/2006/relationships" ref="L22" r:id="rId122"/>
    <hyperlink xmlns:r="http://schemas.openxmlformats.org/officeDocument/2006/relationships" ref="O22" r:id="rId123"/>
    <hyperlink xmlns:r="http://schemas.openxmlformats.org/officeDocument/2006/relationships" ref="F23" r:id="rId124"/>
    <hyperlink xmlns:r="http://schemas.openxmlformats.org/officeDocument/2006/relationships" ref="G23" r:id="rId125"/>
    <hyperlink xmlns:r="http://schemas.openxmlformats.org/officeDocument/2006/relationships" ref="I23" r:id="rId126"/>
    <hyperlink xmlns:r="http://schemas.openxmlformats.org/officeDocument/2006/relationships" ref="J23" r:id="rId127"/>
    <hyperlink xmlns:r="http://schemas.openxmlformats.org/officeDocument/2006/relationships" ref="K23" r:id="rId128"/>
    <hyperlink xmlns:r="http://schemas.openxmlformats.org/officeDocument/2006/relationships" ref="L23" r:id="rId129"/>
    <hyperlink xmlns:r="http://schemas.openxmlformats.org/officeDocument/2006/relationships" ref="O23" r:id="rId130"/>
    <hyperlink xmlns:r="http://schemas.openxmlformats.org/officeDocument/2006/relationships" ref="F24" r:id="rId131"/>
    <hyperlink xmlns:r="http://schemas.openxmlformats.org/officeDocument/2006/relationships" ref="G24" r:id="rId132"/>
    <hyperlink xmlns:r="http://schemas.openxmlformats.org/officeDocument/2006/relationships" ref="I24" r:id="rId133"/>
    <hyperlink xmlns:r="http://schemas.openxmlformats.org/officeDocument/2006/relationships" ref="J24" r:id="rId134"/>
    <hyperlink xmlns:r="http://schemas.openxmlformats.org/officeDocument/2006/relationships" ref="K24" r:id="rId135"/>
    <hyperlink xmlns:r="http://schemas.openxmlformats.org/officeDocument/2006/relationships" ref="L24" r:id="rId136"/>
    <hyperlink xmlns:r="http://schemas.openxmlformats.org/officeDocument/2006/relationships" ref="O24" r:id="rId137"/>
    <hyperlink xmlns:r="http://schemas.openxmlformats.org/officeDocument/2006/relationships" ref="F25" r:id="rId138"/>
    <hyperlink xmlns:r="http://schemas.openxmlformats.org/officeDocument/2006/relationships" ref="G25" r:id="rId139"/>
    <hyperlink xmlns:r="http://schemas.openxmlformats.org/officeDocument/2006/relationships" ref="I25" r:id="rId140"/>
    <hyperlink xmlns:r="http://schemas.openxmlformats.org/officeDocument/2006/relationships" ref="J25" r:id="rId141"/>
    <hyperlink xmlns:r="http://schemas.openxmlformats.org/officeDocument/2006/relationships" ref="K25" r:id="rId142"/>
    <hyperlink xmlns:r="http://schemas.openxmlformats.org/officeDocument/2006/relationships" ref="L25" r:id="rId143"/>
    <hyperlink xmlns:r="http://schemas.openxmlformats.org/officeDocument/2006/relationships" ref="O25" r:id="rId144"/>
    <hyperlink xmlns:r="http://schemas.openxmlformats.org/officeDocument/2006/relationships" ref="F26" r:id="rId145"/>
    <hyperlink xmlns:r="http://schemas.openxmlformats.org/officeDocument/2006/relationships" ref="G26" r:id="rId146"/>
    <hyperlink xmlns:r="http://schemas.openxmlformats.org/officeDocument/2006/relationships" ref="I26" r:id="rId147"/>
    <hyperlink xmlns:r="http://schemas.openxmlformats.org/officeDocument/2006/relationships" ref="J26" r:id="rId148"/>
    <hyperlink xmlns:r="http://schemas.openxmlformats.org/officeDocument/2006/relationships" ref="K26" r:id="rId149"/>
    <hyperlink xmlns:r="http://schemas.openxmlformats.org/officeDocument/2006/relationships" ref="L26" r:id="rId150"/>
    <hyperlink xmlns:r="http://schemas.openxmlformats.org/officeDocument/2006/relationships" ref="O26" r:id="rId151"/>
    <hyperlink xmlns:r="http://schemas.openxmlformats.org/officeDocument/2006/relationships" ref="F27" r:id="rId152"/>
    <hyperlink xmlns:r="http://schemas.openxmlformats.org/officeDocument/2006/relationships" ref="G27" r:id="rId153"/>
    <hyperlink xmlns:r="http://schemas.openxmlformats.org/officeDocument/2006/relationships" ref="I27" r:id="rId154"/>
    <hyperlink xmlns:r="http://schemas.openxmlformats.org/officeDocument/2006/relationships" ref="J27" r:id="rId155"/>
    <hyperlink xmlns:r="http://schemas.openxmlformats.org/officeDocument/2006/relationships" ref="K27" r:id="rId156"/>
    <hyperlink xmlns:r="http://schemas.openxmlformats.org/officeDocument/2006/relationships" ref="L27" r:id="rId157"/>
    <hyperlink xmlns:r="http://schemas.openxmlformats.org/officeDocument/2006/relationships" ref="O27" r:id="rId158"/>
    <hyperlink xmlns:r="http://schemas.openxmlformats.org/officeDocument/2006/relationships" ref="F28" r:id="rId159"/>
    <hyperlink xmlns:r="http://schemas.openxmlformats.org/officeDocument/2006/relationships" ref="G28" r:id="rId160"/>
    <hyperlink xmlns:r="http://schemas.openxmlformats.org/officeDocument/2006/relationships" ref="I28" r:id="rId161"/>
    <hyperlink xmlns:r="http://schemas.openxmlformats.org/officeDocument/2006/relationships" ref="J28" r:id="rId162"/>
    <hyperlink xmlns:r="http://schemas.openxmlformats.org/officeDocument/2006/relationships" ref="K28" r:id="rId163"/>
    <hyperlink xmlns:r="http://schemas.openxmlformats.org/officeDocument/2006/relationships" ref="L28" r:id="rId164"/>
    <hyperlink xmlns:r="http://schemas.openxmlformats.org/officeDocument/2006/relationships" ref="O28" r:id="rId165"/>
    <hyperlink xmlns:r="http://schemas.openxmlformats.org/officeDocument/2006/relationships" ref="F29" r:id="rId166"/>
    <hyperlink xmlns:r="http://schemas.openxmlformats.org/officeDocument/2006/relationships" ref="G29" r:id="rId167"/>
    <hyperlink xmlns:r="http://schemas.openxmlformats.org/officeDocument/2006/relationships" ref="I29" r:id="rId168"/>
    <hyperlink xmlns:r="http://schemas.openxmlformats.org/officeDocument/2006/relationships" ref="J29" r:id="rId169"/>
    <hyperlink xmlns:r="http://schemas.openxmlformats.org/officeDocument/2006/relationships" ref="K29" r:id="rId170"/>
    <hyperlink xmlns:r="http://schemas.openxmlformats.org/officeDocument/2006/relationships" ref="L29" r:id="rId171"/>
    <hyperlink xmlns:r="http://schemas.openxmlformats.org/officeDocument/2006/relationships" ref="O29" r:id="rId172"/>
    <hyperlink xmlns:r="http://schemas.openxmlformats.org/officeDocument/2006/relationships" ref="F30" r:id="rId173"/>
    <hyperlink xmlns:r="http://schemas.openxmlformats.org/officeDocument/2006/relationships" ref="G30" r:id="rId174"/>
    <hyperlink xmlns:r="http://schemas.openxmlformats.org/officeDocument/2006/relationships" ref="I30" r:id="rId175"/>
    <hyperlink xmlns:r="http://schemas.openxmlformats.org/officeDocument/2006/relationships" ref="J30" r:id="rId176"/>
    <hyperlink xmlns:r="http://schemas.openxmlformats.org/officeDocument/2006/relationships" ref="K30" r:id="rId177"/>
    <hyperlink xmlns:r="http://schemas.openxmlformats.org/officeDocument/2006/relationships" ref="L30" r:id="rId178"/>
    <hyperlink xmlns:r="http://schemas.openxmlformats.org/officeDocument/2006/relationships" ref="O30" r:id="rId179"/>
  </hyperlinks>
  <pageMargins left="0.75" right="0.75" top="1" bottom="1" header="0.5" footer="0.5"/>
  <tableParts count="1">
    <tablePart xmlns:r="http://schemas.openxmlformats.org/officeDocument/2006/relationships" r:id="rId18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zh-CN</dc:language>
  <dcterms:created xsi:type="dcterms:W3CDTF">2026-09-18T02:30:03Z</dcterms:created>
  <dcterms:modified xsi:type="dcterms:W3CDTF">2026-10-19T04:15:00Z</dcterms:modified>
  <cp:revision>0</cp:revision>
</cp:coreProperties>
</file>