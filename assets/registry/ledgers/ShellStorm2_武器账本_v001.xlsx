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账本说明" sheetId="2" state="visible" r:id="rId2"/>
    <sheet xmlns:r="http://schemas.openxmlformats.org/officeDocument/2006/relationships" name="资产主表" sheetId="3" state="visible" r:id="rId3"/>
    <sheet xmlns:r="http://schemas.openxmlformats.org/officeDocument/2006/relationships" name="3D-武器" sheetId="4" state="visible" r:id="rId4"/>
    <sheet xmlns:r="http://schemas.openxmlformats.org/officeDocument/2006/relationships" name="域变更日志" sheetId="5" state="visible" r:id="rId5"/>
    <sheet xmlns:r="http://schemas.openxmlformats.org/officeDocument/2006/relationships" name="背包物品调用索引" sheetId="6" state="visible" r:id="rId6"/>
  </sheets>
  <definedNames>
    <definedName name="_xlnm._FilterDatabase" localSheetId="2" hidden="1">'资产主表'!$A$5:$X$41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1">
    <numFmt numFmtId="164" formatCode="yyyy\-mm\-dd"/>
  </numFmts>
  <fonts count="35">
    <font>
      <name val="Linux Libertine G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sz val="11"/>
    </font>
    <font>
      <name val="Arial"/>
      <charset val="1"/>
      <family val="0"/>
      <b val="1"/>
      <color rgb="FFFFFFFF"/>
      <sz val="18"/>
    </font>
    <font>
      <name val="Linux Libertine G"/>
      <family val="2"/>
      <b val="1"/>
      <color rgb="FFFFFFFF"/>
      <sz val="18"/>
    </font>
    <font>
      <name val="Linux Libertine G"/>
      <family val="2"/>
      <i val="1"/>
      <color rgb="FF79D8E8"/>
      <sz val="10"/>
    </font>
    <font>
      <name val="Arial"/>
      <charset val="1"/>
      <family val="0"/>
      <i val="1"/>
      <color rgb="FF79D8E8"/>
      <sz val="10"/>
    </font>
    <font>
      <name val="Linux Libertine G"/>
      <family val="2"/>
      <sz val="11"/>
    </font>
    <font>
      <name val="Linux Libertine G"/>
      <family val="2"/>
      <b val="1"/>
      <color rgb="FF163246"/>
      <sz val="11"/>
    </font>
    <font>
      <name val="Arial"/>
      <charset val="1"/>
      <family val="0"/>
      <b val="1"/>
      <color rgb="FF163246"/>
      <sz val="11"/>
    </font>
    <font>
      <name val="Arial"/>
      <charset val="1"/>
      <family val="0"/>
      <b val="1"/>
      <color rgb="FFF2C94C"/>
      <sz val="20"/>
    </font>
    <font>
      <name val="Linux Libertine G"/>
      <family val="2"/>
      <b val="1"/>
      <color rgb="FFFFFFFF"/>
      <sz val="11"/>
    </font>
    <font>
      <name val="Arial"/>
      <charset val="1"/>
      <family val="0"/>
      <b val="1"/>
      <color rgb="FFFFFFFF"/>
      <sz val="11"/>
    </font>
    <font>
      <name val="Linux Libertine G"/>
      <family val="2"/>
      <color rgb="FF13202B"/>
      <sz val="9"/>
    </font>
    <font>
      <name val="Linux Libertine G"/>
      <family val="2"/>
      <b val="1"/>
      <color rgb="FF13202B"/>
      <sz val="11"/>
    </font>
    <font>
      <name val="Linux Libertine G"/>
      <family val="2"/>
      <b val="1"/>
      <color rgb="FF2E7D32"/>
      <sz val="11"/>
    </font>
    <font>
      <name val="Cambria"/>
      <charset val="1"/>
      <family val="0"/>
      <b val="1"/>
      <color rgb="FF2E7D32"/>
      <sz val="11"/>
    </font>
    <font>
      <name val="Calibri"/>
      <charset val="1"/>
      <family val="0"/>
      <color rgb="FF13202B"/>
      <sz val="9"/>
    </font>
    <font>
      <name val="Calibri"/>
      <charset val="1"/>
      <family val="0"/>
      <b val="1"/>
      <color rgb="FFFFFFFF"/>
      <sz val="18"/>
    </font>
    <font>
      <name val="Calibri"/>
      <charset val="1"/>
      <family val="0"/>
      <i val="1"/>
      <color rgb="FF79D8E8"/>
      <sz val="10"/>
    </font>
    <font>
      <name val="Calibri"/>
      <charset val="1"/>
      <family val="0"/>
      <b val="1"/>
      <color rgb="FFFFFFFF"/>
      <sz val="11"/>
    </font>
    <font>
      <name val="Linux Libertine G"/>
      <family val="2"/>
      <b val="1"/>
      <sz val="11"/>
    </font>
    <font>
      <name val="Cambria"/>
      <charset val="1"/>
      <family val="0"/>
      <b val="1"/>
      <sz val="11"/>
    </font>
    <font>
      <name val="Calibri"/>
      <charset val="1"/>
      <family val="0"/>
      <b val="1"/>
      <color rgb="FFFFFFFF"/>
      <sz val="16"/>
    </font>
    <font>
      <name val="Linux Libertine G"/>
      <family val="2"/>
      <b val="1"/>
      <color rgb="FFFFFFFF"/>
      <sz val="16"/>
    </font>
    <font>
      <name val="Linux Libertine G"/>
      <family val="2"/>
      <i val="1"/>
      <color rgb="FF334155"/>
      <sz val="10"/>
    </font>
    <font>
      <name val="Calibri"/>
      <charset val="1"/>
      <family val="0"/>
      <i val="1"/>
      <color rgb="FF334155"/>
      <sz val="10"/>
    </font>
    <font>
      <name val="Calibri"/>
      <charset val="1"/>
      <family val="0"/>
      <color rgb="FF1F2937"/>
      <sz val="10"/>
    </font>
    <font>
      <name val="Linux Libertine G"/>
      <family val="2"/>
      <color rgb="FF1F2937"/>
      <sz val="10"/>
    </font>
    <font>
      <name val="Microsoft YaHei"/>
      <sz val="11"/>
    </font>
    <font>
      <name val="Microsoft YaHei"/>
      <b val="1"/>
      <color rgb="00FFFFFF"/>
      <sz val="12"/>
    </font>
    <font>
      <name val="Microsoft YaHei"/>
      <color rgb="001565C0"/>
      <sz val="11"/>
      <u val="single"/>
    </font>
    <font>
      <name val="Microsoft YaHei"/>
      <b val="1"/>
      <color rgb="00243B53"/>
      <sz val="14"/>
    </font>
  </fonts>
  <fills count="12">
    <fill>
      <patternFill/>
    </fill>
    <fill>
      <patternFill patternType="gray125"/>
    </fill>
    <fill>
      <patternFill patternType="solid">
        <fgColor rgb="FF13202B"/>
        <bgColor rgb="FF1F2937"/>
      </patternFill>
    </fill>
    <fill>
      <patternFill patternType="solid">
        <fgColor rgb="FF163246"/>
        <bgColor rgb="FF17324D"/>
      </patternFill>
    </fill>
    <fill>
      <patternFill patternType="solid">
        <fgColor rgb="FFDCE8EC"/>
        <bgColor rgb="FFDCE6F1"/>
      </patternFill>
    </fill>
    <fill>
      <patternFill patternType="solid">
        <fgColor rgb="FF1F5A78"/>
        <bgColor rgb="FF156082"/>
      </patternFill>
    </fill>
    <fill>
      <patternFill patternType="solid">
        <fgColor rgb="FFF2C94C"/>
        <bgColor rgb="FFFF9900"/>
      </patternFill>
    </fill>
    <fill>
      <patternFill patternType="solid">
        <fgColor rgb="FFE8F5E9"/>
        <bgColor rgb="FFD9F3E8"/>
      </patternFill>
    </fill>
    <fill>
      <patternFill patternType="solid">
        <fgColor rgb="FF17324D"/>
        <bgColor rgb="FF163246"/>
      </patternFill>
    </fill>
    <fill>
      <patternFill patternType="solid">
        <fgColor rgb="FFDCE6F1"/>
        <bgColor rgb="FFDCE8EC"/>
      </patternFill>
    </fill>
    <fill>
      <patternFill patternType="solid">
        <fgColor rgb="FF2F75B5"/>
        <bgColor rgb="FF156082"/>
      </patternFill>
    </fill>
    <fill>
      <patternFill patternType="solid">
        <fgColor rgb="00243B53"/>
      </patternFill>
    </fill>
  </fills>
  <borders count="23">
    <border>
      <left/>
      <right/>
      <top/>
      <bottom/>
      <diagonal/>
    </border>
    <border>
      <left style="medium">
        <color rgb="FF446170"/>
      </left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/>
      <bottom style="medium">
        <color rgb="FF446170"/>
      </bottom>
      <diagonal/>
    </border>
    <border>
      <left/>
      <right/>
      <top/>
      <bottom style="thin">
        <color rgb="FFB9CBD2"/>
      </bottom>
      <diagonal/>
    </border>
    <border>
      <left/>
      <right/>
      <top style="thin">
        <color rgb="FFB9CBD2"/>
      </top>
      <bottom style="thin">
        <color rgb="FFB9CBD2"/>
      </bottom>
      <diagonal/>
    </border>
    <border>
      <left/>
      <right style="thin">
        <color rgb="FFE5E7EB"/>
      </right>
      <top/>
      <bottom style="thin">
        <color rgb="FFD9E2F3"/>
      </bottom>
      <diagonal/>
    </border>
    <border>
      <left/>
      <right/>
      <top style="medium">
        <color rgb="FF446170"/>
      </top>
      <bottom style="medium">
        <color rgb="FF446170"/>
      </bottom>
      <diagonal/>
    </border>
    <border>
      <left/>
      <right style="medium">
        <color rgb="FF446170"/>
      </right>
      <top style="medium">
        <color rgb="FF446170"/>
      </top>
      <bottom style="medium">
        <color rgb="FF446170"/>
      </bottom>
      <diagonal/>
    </border>
    <border>
      <left style="thin">
        <color rgb="FF9FBAD0"/>
      </left>
      <right/>
      <top style="thin">
        <color rgb="FF9FBAD0"/>
      </top>
      <bottom style="thin">
        <color rgb="FF9FBAD0"/>
      </bottom>
      <diagonal/>
    </border>
    <border>
      <left/>
      <right/>
      <top style="thin">
        <color rgb="FF9FBAD0"/>
      </top>
      <bottom style="thin">
        <color rgb="FF9FBAD0"/>
      </bottom>
      <diagonal/>
    </border>
    <border>
      <left/>
      <right style="thin">
        <color rgb="FF9FBAD0"/>
      </right>
      <top style="thin">
        <color rgb="FF9FBAD0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/>
      <bottom style="thin">
        <color rgb="FFD9E2F3"/>
      </bottom>
      <diagonal/>
    </border>
    <border>
      <left style="thin">
        <color rgb="FFE5E7EB"/>
      </left>
      <right/>
      <top/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D9E2F3"/>
      </bottom>
      <diagonal/>
    </border>
    <border>
      <left style="thin">
        <color rgb="FFE5E7EB"/>
      </left>
      <right/>
      <top style="thin">
        <color rgb="FFD9E2F3"/>
      </top>
      <bottom style="thin">
        <color rgb="FFD9E2F3"/>
      </bottom>
      <diagonal/>
    </border>
    <border>
      <left/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 style="thin">
        <color rgb="FFE5E7EB"/>
      </right>
      <top style="thin">
        <color rgb="FFD9E2F3"/>
      </top>
      <bottom style="thin">
        <color rgb="FF9FBAD0"/>
      </bottom>
      <diagonal/>
    </border>
    <border>
      <left style="thin">
        <color rgb="FFE5E7EB"/>
      </left>
      <right/>
      <top style="thin">
        <color rgb="FFD9E2F3"/>
      </top>
      <bottom style="thin">
        <color rgb="FF9FBAD0"/>
      </bottom>
      <diagonal/>
    </border>
    <border>
      <left/>
      <right style="medium">
        <color rgb="FF446170"/>
      </right>
      <top/>
      <bottom/>
      <diagonal/>
    </border>
    <border>
      <left/>
      <right/>
      <top/>
      <bottom style="medium">
        <color rgb="FF446170"/>
      </bottom>
      <diagonal/>
    </border>
    <border>
      <left/>
      <right style="thin">
        <color rgb="FFE5E7EB"/>
      </right>
      <top/>
      <bottom/>
      <diagonal/>
    </border>
    <border>
      <left/>
      <right/>
      <top/>
      <bottom style="thin">
        <color rgb="FFD9E2F3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bottom"/>
    </xf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0" fillId="4" borderId="0" applyAlignment="1" pivotButton="0" quotePrefix="0" xfId="20">
      <alignment horizontal="general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5" applyAlignment="1" pivotButton="0" quotePrefix="0" xfId="20">
      <alignment horizontal="general" vertical="top" wrapText="1"/>
    </xf>
    <xf numFmtId="0" fontId="30" fillId="0" borderId="11" applyAlignment="1" pivotButton="0" quotePrefix="0" xfId="20">
      <alignment horizontal="general" vertical="top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3" applyAlignment="1" pivotButton="0" quotePrefix="0" xfId="20">
      <alignment horizontal="general" vertical="top" wrapText="1"/>
    </xf>
    <xf numFmtId="0" fontId="30" fillId="0" borderId="14" applyAlignment="1" pivotButton="0" quotePrefix="0" xfId="20">
      <alignment horizontal="general" vertical="top" wrapText="1"/>
    </xf>
    <xf numFmtId="0" fontId="29" fillId="0" borderId="14" applyAlignment="1" pivotButton="0" quotePrefix="0" xfId="20">
      <alignment horizontal="general" vertical="top" wrapText="1"/>
    </xf>
    <xf numFmtId="0" fontId="30" fillId="0" borderId="15" applyAlignment="1" pivotButton="0" quotePrefix="0" xfId="20">
      <alignment horizontal="general" vertical="top" wrapText="1"/>
    </xf>
    <xf numFmtId="0" fontId="29" fillId="0" borderId="16" applyAlignment="1" pivotButton="0" quotePrefix="0" xfId="20">
      <alignment horizontal="general" vertical="top" wrapText="1"/>
    </xf>
    <xf numFmtId="0" fontId="30" fillId="0" borderId="17" applyAlignment="1" pivotButton="0" quotePrefix="0" xfId="20">
      <alignment horizontal="general" vertical="top" wrapText="1"/>
    </xf>
    <xf numFmtId="0" fontId="29" fillId="0" borderId="17" applyAlignment="1" pivotButton="0" quotePrefix="0" xfId="20">
      <alignment horizontal="general" vertical="top" wrapText="1"/>
    </xf>
    <xf numFmtId="0" fontId="30" fillId="0" borderId="18" applyAlignment="1" pivotButton="0" quotePrefix="0" xfId="20">
      <alignment horizontal="general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5" fillId="2" borderId="0" applyAlignment="1" pivotButton="0" quotePrefix="0" xfId="20">
      <alignment horizontal="general" vertical="center" wrapText="1"/>
    </xf>
    <xf numFmtId="0" fontId="7" fillId="3" borderId="0" applyAlignment="1" pivotButton="0" quotePrefix="0" xfId="20">
      <alignment horizontal="general" vertical="center" wrapText="1"/>
    </xf>
    <xf numFmtId="0" fontId="9" fillId="0" borderId="0" applyAlignment="1" pivotButton="0" quotePrefix="0" xfId="20">
      <alignment horizontal="general" vertical="bottom" wrapText="1"/>
    </xf>
    <xf numFmtId="0" fontId="10" fillId="4" borderId="0" applyAlignment="1" pivotButton="0" quotePrefix="0" xfId="20">
      <alignment horizontal="general" vertical="center" wrapText="1"/>
    </xf>
    <xf numFmtId="0" fontId="12" fillId="2" borderId="0" applyAlignment="1" pivotButton="0" quotePrefix="0" xfId="20">
      <alignment horizontal="center" vertical="center" wrapText="1"/>
    </xf>
    <xf numFmtId="0" fontId="13" fillId="5" borderId="1" applyAlignment="1" pivotButton="0" quotePrefix="0" xfId="20">
      <alignment horizontal="center" vertical="center" wrapText="1"/>
    </xf>
    <xf numFmtId="0" fontId="10" fillId="4" borderId="2" applyAlignment="1" pivotButton="0" quotePrefix="0" xfId="20">
      <alignment horizontal="general" vertical="center" wrapText="1"/>
    </xf>
    <xf numFmtId="0" fontId="0" fillId="0" borderId="20" pivotButton="0" quotePrefix="0" xfId="0"/>
    <xf numFmtId="0" fontId="0" fillId="0" borderId="2" pivotButton="0" quotePrefix="0" xfId="0"/>
    <xf numFmtId="0" fontId="15" fillId="0" borderId="3" applyAlignment="1" pivotButton="0" quotePrefix="0" xfId="20">
      <alignment horizontal="general" vertical="top" wrapText="1"/>
    </xf>
    <xf numFmtId="0" fontId="15" fillId="0" borderId="4" applyAlignment="1" pivotButton="0" quotePrefix="0" xfId="20">
      <alignment horizontal="general" vertical="top" wrapText="1"/>
    </xf>
    <xf numFmtId="0" fontId="16" fillId="6" borderId="0" applyAlignment="1" pivotButton="0" quotePrefix="0" xfId="20">
      <alignment horizontal="center" vertical="bottom" wrapText="1"/>
    </xf>
    <xf numFmtId="0" fontId="17" fillId="7" borderId="5" applyAlignment="1" pivotButton="0" quotePrefix="0" xfId="20">
      <alignment horizontal="general" vertical="top" wrapText="1"/>
    </xf>
    <xf numFmtId="0" fontId="0" fillId="0" borderId="22" pivotButton="0" quotePrefix="0" xfId="0"/>
    <xf numFmtId="0" fontId="0" fillId="0" borderId="5" pivotButton="0" quotePrefix="0" xfId="0"/>
    <xf numFmtId="0" fontId="11" fillId="4" borderId="0" applyAlignment="1" pivotButton="0" quotePrefix="0" xfId="20">
      <alignment horizontal="general" vertical="center" wrapText="1"/>
    </xf>
    <xf numFmtId="0" fontId="19" fillId="0" borderId="3" applyAlignment="1" pivotButton="0" quotePrefix="0" xfId="20">
      <alignment horizontal="general" vertical="top" wrapText="1"/>
    </xf>
    <xf numFmtId="0" fontId="6" fillId="2" borderId="0" applyAlignment="1" pivotButton="0" quotePrefix="0" xfId="20">
      <alignment horizontal="general" vertical="center" wrapText="1"/>
    </xf>
    <xf numFmtId="0" fontId="22" fillId="5" borderId="1" applyAlignment="1" pivotButton="0" quotePrefix="0" xfId="20">
      <alignment horizontal="center" vertical="center" wrapText="1"/>
    </xf>
    <xf numFmtId="0" fontId="13" fillId="5" borderId="6" applyAlignment="1" pivotButton="0" quotePrefix="0" xfId="20">
      <alignment horizontal="center" vertical="center" wrapText="1"/>
    </xf>
    <xf numFmtId="0" fontId="22" fillId="5" borderId="6" applyAlignment="1" pivotButton="0" quotePrefix="0" xfId="20">
      <alignment horizontal="center" vertical="center" wrapText="1"/>
    </xf>
    <xf numFmtId="0" fontId="23" fillId="0" borderId="0" applyAlignment="1" pivotButton="0" quotePrefix="0" xfId="20">
      <alignment horizontal="center" vertical="center"/>
    </xf>
    <xf numFmtId="0" fontId="13" fillId="5" borderId="7" applyAlignment="1" pivotButton="0" quotePrefix="0" xfId="20">
      <alignment horizontal="center" vertical="center" wrapText="1"/>
    </xf>
    <xf numFmtId="0" fontId="19" fillId="0" borderId="4" applyAlignment="1" pivotButton="0" quotePrefix="0" xfId="20">
      <alignment horizontal="general" vertical="top" wrapText="1"/>
    </xf>
    <xf numFmtId="164" fontId="19" fillId="0" borderId="4" applyAlignment="1" pivotButton="0" quotePrefix="0" xfId="20">
      <alignment horizontal="general" vertical="top" wrapText="1"/>
    </xf>
    <xf numFmtId="0" fontId="9" fillId="0" borderId="0" applyAlignment="1" pivotButton="0" quotePrefix="0" xfId="20">
      <alignment horizontal="center" vertical="bottom"/>
    </xf>
    <xf numFmtId="0" fontId="4" fillId="0" borderId="0" applyAlignment="1" pivotButton="0" quotePrefix="0" xfId="20">
      <alignment horizontal="general" vertical="bottom" wrapText="1"/>
    </xf>
    <xf numFmtId="164" fontId="4" fillId="0" borderId="0" applyAlignment="1" pivotButton="0" quotePrefix="0" xfId="20">
      <alignment horizontal="general" vertical="bottom" wrapText="1"/>
    </xf>
    <xf numFmtId="0" fontId="25" fillId="8" borderId="0" applyAlignment="1" pivotButton="0" quotePrefix="0" xfId="20">
      <alignment horizontal="general" vertical="center"/>
    </xf>
    <xf numFmtId="0" fontId="27" fillId="9" borderId="0" applyAlignment="1" pivotButton="0" quotePrefix="0" xfId="20">
      <alignment horizontal="general" vertical="center" wrapText="1"/>
    </xf>
    <xf numFmtId="0" fontId="22" fillId="10" borderId="8" applyAlignment="1" pivotButton="0" quotePrefix="0" xfId="20">
      <alignment horizontal="center" vertical="center" wrapText="1"/>
    </xf>
    <xf numFmtId="0" fontId="13" fillId="10" borderId="9" applyAlignment="1" pivotButton="0" quotePrefix="0" xfId="20">
      <alignment horizontal="center" vertical="center" wrapText="1"/>
    </xf>
    <xf numFmtId="0" fontId="22" fillId="10" borderId="9" applyAlignment="1" pivotButton="0" quotePrefix="0" xfId="20">
      <alignment horizontal="center" vertical="center" wrapText="1"/>
    </xf>
    <xf numFmtId="0" fontId="13" fillId="10" borderId="10" applyAlignment="1" pivotButton="0" quotePrefix="0" xfId="20">
      <alignment horizontal="center" vertical="center" wrapText="1"/>
    </xf>
    <xf numFmtId="0" fontId="29" fillId="0" borderId="5" applyAlignment="1" pivotButton="0" quotePrefix="0" xfId="20">
      <alignment horizontal="general" vertical="top" wrapText="1"/>
    </xf>
    <xf numFmtId="0" fontId="30" fillId="0" borderId="11" applyAlignment="1" pivotButton="0" quotePrefix="0" xfId="20">
      <alignment horizontal="general" vertical="top" wrapText="1"/>
    </xf>
    <xf numFmtId="0" fontId="29" fillId="0" borderId="11" applyAlignment="1" pivotButton="0" quotePrefix="0" xfId="20">
      <alignment horizontal="general" vertical="top" wrapText="1"/>
    </xf>
    <xf numFmtId="0" fontId="30" fillId="0" borderId="12" applyAlignment="1" pivotButton="0" quotePrefix="0" xfId="20">
      <alignment horizontal="general" vertical="top" wrapText="1"/>
    </xf>
    <xf numFmtId="0" fontId="29" fillId="0" borderId="13" applyAlignment="1" pivotButton="0" quotePrefix="0" xfId="20">
      <alignment horizontal="general" vertical="top" wrapText="1"/>
    </xf>
    <xf numFmtId="0" fontId="30" fillId="0" borderId="14" applyAlignment="1" pivotButton="0" quotePrefix="0" xfId="20">
      <alignment horizontal="general" vertical="top" wrapText="1"/>
    </xf>
    <xf numFmtId="0" fontId="29" fillId="0" borderId="14" applyAlignment="1" pivotButton="0" quotePrefix="0" xfId="20">
      <alignment horizontal="general" vertical="top" wrapText="1"/>
    </xf>
    <xf numFmtId="0" fontId="30" fillId="0" borderId="15" applyAlignment="1" pivotButton="0" quotePrefix="0" xfId="20">
      <alignment horizontal="general" vertical="top" wrapText="1"/>
    </xf>
    <xf numFmtId="0" fontId="29" fillId="0" borderId="16" applyAlignment="1" pivotButton="0" quotePrefix="0" xfId="20">
      <alignment horizontal="general" vertical="top" wrapText="1"/>
    </xf>
    <xf numFmtId="0" fontId="30" fillId="0" borderId="17" applyAlignment="1" pivotButton="0" quotePrefix="0" xfId="20">
      <alignment horizontal="general" vertical="top" wrapText="1"/>
    </xf>
    <xf numFmtId="0" fontId="29" fillId="0" borderId="17" applyAlignment="1" pivotButton="0" quotePrefix="0" xfId="20">
      <alignment horizontal="general" vertical="top" wrapText="1"/>
    </xf>
    <xf numFmtId="0" fontId="30" fillId="0" borderId="18" applyAlignment="1" pivotButton="0" quotePrefix="0" xfId="20">
      <alignment horizontal="general" vertical="top" wrapText="1"/>
    </xf>
    <xf numFmtId="0" fontId="32" fillId="11" borderId="0" applyAlignment="1" pivotButton="0" quotePrefix="0" xfId="0">
      <alignment vertical="top" wrapText="1"/>
    </xf>
    <xf numFmtId="0" fontId="31" fillId="0" borderId="0" applyAlignment="1" pivotButton="0" quotePrefix="0" xfId="0">
      <alignment vertical="top" wrapText="1"/>
    </xf>
    <xf numFmtId="0" fontId="33" fillId="0" borderId="0" applyAlignment="1" pivotButton="0" quotePrefix="0" xfId="0">
      <alignment vertical="top" wrapText="1"/>
    </xf>
    <xf numFmtId="0" fontId="34" fillId="0" borderId="0" applyAlignment="1" pivotButton="0" quotePrefix="0" xfId="0">
      <alignment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6">
    <dxf>
      <fill>
        <patternFill patternType="solid">
          <fgColor rgb="FF1F5A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3202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F3E8"/>
          <bgColor rgb="FF000000"/>
        </patternFill>
      </fill>
    </dxf>
    <dxf>
      <fill>
        <patternFill patternType="solid">
          <fgColor rgb="FF176C4A"/>
          <bgColor rgb="FF000000"/>
        </patternFill>
      </fill>
    </dxf>
    <dxf>
      <font>
        <b val="1"/>
        <color rgb="FFA61B1B"/>
      </font>
      <fill>
        <patternFill>
          <bgColor rgb="FFFFD6D6"/>
        </patternFill>
      </fill>
    </dxf>
    <dxf>
      <font>
        <color rgb="FF176C4A"/>
      </font>
      <fill>
        <patternFill>
          <bgColor rgb="FFD9F3E8"/>
        </patternFill>
      </fill>
    </dxf>
    <dxf>
      <font>
        <color rgb="FF8A4B08"/>
      </font>
      <fill>
        <patternFill>
          <bgColor rgb="FFFFF0D6"/>
        </patternFill>
      </fill>
    </dxf>
    <dxf>
      <font>
        <color rgb="FF000000"/>
      </font>
      <border>
        <left style="thin">
          <color theme="4" tint="0.4"/>
        </left>
        <right style="thin">
          <color theme="4" tint="0.4"/>
        </right>
        <top style="thin">
          <color theme="4" tint="0.4"/>
        </top>
        <bottom style="thin">
          <color theme="4" tint="0.4"/>
        </bottom>
        <diagonal/>
      </border>
    </dxf>
    <dxf>
      <fill>
        <patternFill>
          <bgColor theme="4" tint="0.8"/>
        </patternFill>
      </fill>
    </dxf>
    <dxf>
      <fill>
        <patternFill>
          <bgColor theme="4" tint="0.8"/>
        </patternFill>
      </fill>
    </dxf>
    <dxf>
      <font>
        <b val="1"/>
        <color rgb="FF000000"/>
      </font>
    </dxf>
    <dxf>
      <font>
        <b val="1"/>
        <color rgb="FF000000"/>
      </font>
    </dxf>
    <dxf>
      <font>
        <b val="1"/>
        <color rgb="FFFFFFFF"/>
      </font>
      <fill>
        <patternFill>
          <bgColor theme="4"/>
        </patternFill>
      </fill>
    </dxf>
    <dxf>
      <font>
        <b val="1"/>
        <color rgb="FF000000"/>
      </font>
      <border>
        <left/>
        <right/>
        <top style="double">
          <color theme="4"/>
        </top>
        <bottom/>
        <diagonal/>
      </border>
    </dxf>
  </dxfs>
  <tableStyles count="1" defaultTableStyle="TableStyleMedium9" defaultPivotStyle="PivotStyleLight16">
    <tableStyle name="TableStyleMedium2" count="7">
      <tableStyleElement type="wholeTable" dxfId="9"/>
      <tableStyleElement type="firstColumnStripe" dxfId="10"/>
      <tableStyleElement type="firstRowStripe" dxfId="11"/>
      <tableStyleElement type="lastColumn" dxfId="12"/>
      <tableStyleElement type="firstColumn" dxfId="13"/>
      <tableStyleElement type="headerRow" dxfId="14"/>
      <tableStyleElement type="totalRow" dxfId="15"/>
    </tableStyle>
  </table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A61B1B"/>
      <rgbColor rgb="FF008000"/>
      <rgbColor rgb="FF000080"/>
      <rgbColor rgb="FF808000"/>
      <rgbColor rgb="FF800080"/>
      <rgbColor rgb="FF176C4A"/>
      <rgbColor rgb="FFB9CBD2"/>
      <rgbColor rgb="FF808080"/>
      <rgbColor rgb="FF79D8E8"/>
      <rgbColor rgb="FF993366"/>
      <rgbColor rgb="FFFFF0D6"/>
      <rgbColor rgb="FFD9F3E8"/>
      <rgbColor rgb="FF660066"/>
      <rgbColor rgb="FFFF8080"/>
      <rgbColor rgb="FF1F5A78"/>
      <rgbColor rgb="FFD9E2F3"/>
      <rgbColor rgb="FF000080"/>
      <rgbColor rgb="FFFF00FF"/>
      <rgbColor rgb="FFFFFF00"/>
      <rgbColor rgb="FF00FFFF"/>
      <rgbColor rgb="FF800080"/>
      <rgbColor rgb="FF800000"/>
      <rgbColor rgb="FF156082"/>
      <rgbColor rgb="FF0000FF"/>
      <rgbColor rgb="FF00CCFF"/>
      <rgbColor rgb="FFE8F5E9"/>
      <rgbColor rgb="FFDCE8EC"/>
      <rgbColor rgb="FFE5E7EB"/>
      <rgbColor rgb="FF9FBAD0"/>
      <rgbColor rgb="FFFF99CC"/>
      <rgbColor rgb="FFDCE6F1"/>
      <rgbColor rgb="FFFFD6D6"/>
      <rgbColor rgb="FF2F75B5"/>
      <rgbColor rgb="FF46B1E1"/>
      <rgbColor rgb="FF99CC00"/>
      <rgbColor rgb="FFF2C94C"/>
      <rgbColor rgb="FFFF9900"/>
      <rgbColor rgb="FFFF6600"/>
      <rgbColor rgb="FF446170"/>
      <rgbColor rgb="FF969696"/>
      <rgbColor rgb="FF17324D"/>
      <rgbColor rgb="FF2E7D32"/>
      <rgbColor rgb="FF13202B"/>
      <rgbColor rgb="FF163246"/>
      <rgbColor rgb="FF8A4B08"/>
      <rgbColor rgb="FF993366"/>
      <rgbColor rgb="FF334155"/>
      <rgbColor rgb="FF1F2937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ables/table1.xml><?xml version="1.0" encoding="utf-8"?>
<table xmlns="http://schemas.openxmlformats.org/spreadsheetml/2006/main" id="1" name="AssetMasterTable" displayName="AssetMasterTable" ref="A5:X115" headerRowCount="1" totalsRowCount="0" totalsRowShown="0">
  <tableColumns count="24">
    <tableColumn id="1" name="AssetID"/>
    <tableColumn id="2" name="中文名"/>
    <tableColumn id="3" name="大类"/>
    <tableColumn id="4" name="子类"/>
    <tableColumn id="5" name="逻辑ID/源键"/>
    <tableColumn id="6" name="组件槽"/>
    <tableColumn id="7" name="变体父ID"/>
    <tableColumn id="8" name="视角"/>
    <tableColumn id="9" name="状态/动画"/>
    <tableColumn id="10" name="复用范围"/>
    <tableColumn id="11" name="制作状态"/>
    <tableColumn id="12" name="优先级"/>
    <tableColumn id="13" name="版本"/>
    <tableColumn id="14" name="规格(px)"/>
    <tableColumn id="15" name="文件路径"/>
    <tableColumn id="16" name="源码/策划依据"/>
    <tableColumn id="17" name="关键词/别名"/>
    <tableColumn id="18" name="查重键"/>
    <tableColumn id="19" name="查重结果"/>
    <tableColumn id="20" name="SHA-256"/>
    <tableColumn id="21" name="负责人"/>
    <tableColumn id="22" name="更新时间"/>
    <tableColumn id="23" name="来源/许可"/>
    <tableColumn id="24" name="源编号（Blender collection）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WeaponInventoryItems" displayName="WeaponInventoryItems" ref="A4:Q30" headerRowCount="1">
  <autoFilter ref="A4:Q30"/>
  <tableColumns count="17">
    <tableColumn id="1" name="内容ID"/>
    <tableColumn id="2" name="名称"/>
    <tableColumn id="3" name="种类"/>
    <tableColumn id="4" name="子类"/>
    <tableColumn id="5" name="唯一登记账本"/>
    <tableColumn id="6" name="内容定义入口"/>
    <tableColumn id="7" name="内容数据库定位"/>
    <tableColumn id="8" name="怪物掉落来源"/>
    <tableColumn id="9" name="池声明入口"/>
    <tableColumn id="10" name="背包接收入口"/>
    <tableColumn id="11" name="使用/装配入口"/>
    <tableColumn id="12" name="模型调用入口"/>
    <tableColumn id="13" name="当前模型表现"/>
    <tableColumn id="14" name="关联AssetID（引用）"/>
    <tableColumn id="15" name="资产登记定位（引用）"/>
    <tableColumn id="16" name="功能模块"/>
    <tableColumn id="17" name="审查备注"/>
  </tableColumns>
  <tableStyleInfo name="TableStyleMedium2" showRowStripes="1"/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../../../src/base/ItemRegistry.gd" TargetMode="External" Id="rId1"/><Relationship Type="http://schemas.openxmlformats.org/officeDocument/2006/relationships/hyperlink" Target="../../../docs/v0.1/data/ShellStorm2_&#28216;&#25103;&#20869;&#23481;&#25968;&#25454;&#24211;_v010.xlsx#&#25481;&#33853;&#29289;&#21697;!A33" TargetMode="External" Id="rId2"/><Relationship Type="http://schemas.openxmlformats.org/officeDocument/2006/relationships/hyperlink" Target="../../../src/base/ItemRegistry.gd" TargetMode="External" Id="rId3"/><Relationship Type="http://schemas.openxmlformats.org/officeDocument/2006/relationships/hyperlink" Target="../../../src/game/InventoryModule.gd" TargetMode="External" Id="rId4"/><Relationship Type="http://schemas.openxmlformats.org/officeDocument/2006/relationships/hyperlink" Target="../../../src/world3d/Dungeon3D.gd" TargetMode="External" Id="rId5"/><Relationship Type="http://schemas.openxmlformats.org/officeDocument/2006/relationships/hyperlink" Target="../../../src/world3d/ItemModelFactory3D.gd" TargetMode="External" Id="rId6"/><Relationship Type="http://schemas.openxmlformats.org/officeDocument/2006/relationships/hyperlink" Target="ShellStorm2_&#27494;&#22120;&#36134;&#26412;_v001.xlsx#&#36164;&#20135;&#20027;&#34920;!A6" TargetMode="External" Id="rId7"/><Relationship Type="http://schemas.openxmlformats.org/officeDocument/2006/relationships/hyperlink" Target="../../../src/base/ItemRegistry.gd" TargetMode="External" Id="rId8"/><Relationship Type="http://schemas.openxmlformats.org/officeDocument/2006/relationships/hyperlink" Target="../../../docs/v0.1/data/ShellStorm2_&#28216;&#25103;&#20869;&#23481;&#25968;&#25454;&#24211;_v010.xlsx#&#25481;&#33853;&#29289;&#21697;!A35" TargetMode="External" Id="rId9"/><Relationship Type="http://schemas.openxmlformats.org/officeDocument/2006/relationships/hyperlink" Target="../../../src/base/ItemRegistry.gd" TargetMode="External" Id="rId10"/><Relationship Type="http://schemas.openxmlformats.org/officeDocument/2006/relationships/hyperlink" Target="../../../src/game/InventoryModule.gd" TargetMode="External" Id="rId11"/><Relationship Type="http://schemas.openxmlformats.org/officeDocument/2006/relationships/hyperlink" Target="../../../src/world3d/Dungeon3D.gd" TargetMode="External" Id="rId12"/><Relationship Type="http://schemas.openxmlformats.org/officeDocument/2006/relationships/hyperlink" Target="../../../src/world3d/ItemModelFactory3D.gd" TargetMode="External" Id="rId13"/><Relationship Type="http://schemas.openxmlformats.org/officeDocument/2006/relationships/hyperlink" Target="ShellStorm2_&#27494;&#22120;&#36134;&#26412;_v001.xlsx#&#36164;&#20135;&#20027;&#34920;!A7" TargetMode="External" Id="rId14"/><Relationship Type="http://schemas.openxmlformats.org/officeDocument/2006/relationships/hyperlink" Target="../../../src/base/ItemRegistry.gd" TargetMode="External" Id="rId15"/><Relationship Type="http://schemas.openxmlformats.org/officeDocument/2006/relationships/hyperlink" Target="../../../docs/v0.1/data/ShellStorm2_&#28216;&#25103;&#20869;&#23481;&#25968;&#25454;&#24211;_v010.xlsx#&#25481;&#33853;&#29289;&#21697;!A34" TargetMode="External" Id="rId16"/><Relationship Type="http://schemas.openxmlformats.org/officeDocument/2006/relationships/hyperlink" Target="../../../src/base/ItemRegistry.gd" TargetMode="External" Id="rId17"/><Relationship Type="http://schemas.openxmlformats.org/officeDocument/2006/relationships/hyperlink" Target="../../../src/game/InventoryModule.gd" TargetMode="External" Id="rId18"/><Relationship Type="http://schemas.openxmlformats.org/officeDocument/2006/relationships/hyperlink" Target="../../../src/world3d/Dungeon3D.gd" TargetMode="External" Id="rId19"/><Relationship Type="http://schemas.openxmlformats.org/officeDocument/2006/relationships/hyperlink" Target="../../../src/world3d/ItemModelFactory3D.gd" TargetMode="External" Id="rId20"/><Relationship Type="http://schemas.openxmlformats.org/officeDocument/2006/relationships/hyperlink" Target="ShellStorm2_&#27494;&#22120;&#36134;&#26412;_v001.xlsx#&#36164;&#20135;&#20027;&#34920;!A8" TargetMode="External" Id="rId21"/><Relationship Type="http://schemas.openxmlformats.org/officeDocument/2006/relationships/hyperlink" Target="../../../src/base/ItemRegistry.gd" TargetMode="External" Id="rId22"/><Relationship Type="http://schemas.openxmlformats.org/officeDocument/2006/relationships/hyperlink" Target="../../../docs/v0.1/data/ShellStorm2_&#28216;&#25103;&#20869;&#23481;&#25968;&#25454;&#24211;_v010.xlsx#&#25481;&#33853;&#29289;&#21697;!A32" TargetMode="External" Id="rId23"/><Relationship Type="http://schemas.openxmlformats.org/officeDocument/2006/relationships/hyperlink" Target="../../../src/base/ItemRegistry.gd" TargetMode="External" Id="rId24"/><Relationship Type="http://schemas.openxmlformats.org/officeDocument/2006/relationships/hyperlink" Target="../../../src/game/InventoryModule.gd" TargetMode="External" Id="rId25"/><Relationship Type="http://schemas.openxmlformats.org/officeDocument/2006/relationships/hyperlink" Target="../../../src/world3d/Dungeon3D.gd" TargetMode="External" Id="rId26"/><Relationship Type="http://schemas.openxmlformats.org/officeDocument/2006/relationships/hyperlink" Target="../../../src/world3d/ItemModelFactory3D.gd" TargetMode="External" Id="rId27"/><Relationship Type="http://schemas.openxmlformats.org/officeDocument/2006/relationships/hyperlink" Target="ShellStorm2_&#27494;&#22120;&#36134;&#26412;_v001.xlsx#&#36164;&#20135;&#20027;&#34920;!A9" TargetMode="External" Id="rId28"/><Relationship Type="http://schemas.openxmlformats.org/officeDocument/2006/relationships/hyperlink" Target="../../../src/base/ItemRegistry.gd" TargetMode="External" Id="rId29"/><Relationship Type="http://schemas.openxmlformats.org/officeDocument/2006/relationships/hyperlink" Target="../../../src/base/ItemRegistry.gd" TargetMode="External" Id="rId30"/><Relationship Type="http://schemas.openxmlformats.org/officeDocument/2006/relationships/hyperlink" Target="../../../src/game/InventoryModule.gd" TargetMode="External" Id="rId31"/><Relationship Type="http://schemas.openxmlformats.org/officeDocument/2006/relationships/hyperlink" Target="../../../src/world3d/Dungeon3D.gd" TargetMode="External" Id="rId32"/><Relationship Type="http://schemas.openxmlformats.org/officeDocument/2006/relationships/hyperlink" Target="../../../src/world3d/ItemModelFactory3D.gd" TargetMode="External" Id="rId33"/><Relationship Type="http://schemas.openxmlformats.org/officeDocument/2006/relationships/hyperlink" Target="../../../src/base/ItemRegistry.gd" TargetMode="External" Id="rId34"/><Relationship Type="http://schemas.openxmlformats.org/officeDocument/2006/relationships/hyperlink" Target="../../../docs/v0.1/data/ShellStorm2_&#28216;&#25103;&#20869;&#23481;&#25968;&#25454;&#24211;_v010.xlsx#&#25481;&#33853;&#29289;&#21697;!A36" TargetMode="External" Id="rId35"/><Relationship Type="http://schemas.openxmlformats.org/officeDocument/2006/relationships/hyperlink" Target="../../../src/base/ItemRegistry.gd" TargetMode="External" Id="rId36"/><Relationship Type="http://schemas.openxmlformats.org/officeDocument/2006/relationships/hyperlink" Target="../../../src/game/InventoryModule.gd" TargetMode="External" Id="rId37"/><Relationship Type="http://schemas.openxmlformats.org/officeDocument/2006/relationships/hyperlink" Target="../../../src/world3d/Dungeon3D.gd" TargetMode="External" Id="rId38"/><Relationship Type="http://schemas.openxmlformats.org/officeDocument/2006/relationships/hyperlink" Target="../../../src/world3d/ItemModelFactory3D.gd" TargetMode="External" Id="rId39"/><Relationship Type="http://schemas.openxmlformats.org/officeDocument/2006/relationships/hyperlink" Target="ShellStorm2_&#27494;&#22120;&#36134;&#26412;_v001.xlsx#&#36164;&#20135;&#20027;&#34920;!A10" TargetMode="External" Id="rId40"/><Relationship Type="http://schemas.openxmlformats.org/officeDocument/2006/relationships/hyperlink" Target="../../../src/base/ItemRegistry.gd" TargetMode="External" Id="rId41"/><Relationship Type="http://schemas.openxmlformats.org/officeDocument/2006/relationships/hyperlink" Target="../../../docs/v0.1/data/ShellStorm2_&#28216;&#25103;&#20869;&#23481;&#25968;&#25454;&#24211;_v010.xlsx#&#25481;&#33853;&#29289;&#21697;!A31" TargetMode="External" Id="rId42"/><Relationship Type="http://schemas.openxmlformats.org/officeDocument/2006/relationships/hyperlink" Target="../../../src/base/ItemRegistry.gd" TargetMode="External" Id="rId43"/><Relationship Type="http://schemas.openxmlformats.org/officeDocument/2006/relationships/hyperlink" Target="../../../src/game/InventoryModule.gd" TargetMode="External" Id="rId44"/><Relationship Type="http://schemas.openxmlformats.org/officeDocument/2006/relationships/hyperlink" Target="../../../src/world3d/Dungeon3D.gd" TargetMode="External" Id="rId45"/><Relationship Type="http://schemas.openxmlformats.org/officeDocument/2006/relationships/hyperlink" Target="../../../src/world3d/ItemModelFactory3D.gd" TargetMode="External" Id="rId46"/><Relationship Type="http://schemas.openxmlformats.org/officeDocument/2006/relationships/hyperlink" Target="ShellStorm2_&#27494;&#22120;&#36134;&#26412;_v001.xlsx#&#36164;&#20135;&#20027;&#34920;!A11" TargetMode="External" Id="rId47"/><Relationship Type="http://schemas.openxmlformats.org/officeDocument/2006/relationships/hyperlink" Target="../../../src/base/ItemRegistry.gd" TargetMode="External" Id="rId48"/><Relationship Type="http://schemas.openxmlformats.org/officeDocument/2006/relationships/hyperlink" Target="../../../docs/v0.1/data/ShellStorm2_&#28216;&#25103;&#20869;&#23481;&#25968;&#25454;&#24211;_v010.xlsx#&#25481;&#33853;&#29289;&#21697;!A30" TargetMode="External" Id="rId49"/><Relationship Type="http://schemas.openxmlformats.org/officeDocument/2006/relationships/hyperlink" Target="../../../src/base/ItemRegistry.gd" TargetMode="External" Id="rId50"/><Relationship Type="http://schemas.openxmlformats.org/officeDocument/2006/relationships/hyperlink" Target="../../../src/game/InventoryModule.gd" TargetMode="External" Id="rId51"/><Relationship Type="http://schemas.openxmlformats.org/officeDocument/2006/relationships/hyperlink" Target="../../../src/world3d/Dungeon3D.gd" TargetMode="External" Id="rId52"/><Relationship Type="http://schemas.openxmlformats.org/officeDocument/2006/relationships/hyperlink" Target="../../../src/world3d/ItemModelFactory3D.gd" TargetMode="External" Id="rId53"/><Relationship Type="http://schemas.openxmlformats.org/officeDocument/2006/relationships/hyperlink" Target="ShellStorm2_&#27494;&#22120;&#36134;&#26412;_v001.xlsx#&#36164;&#20135;&#20027;&#34920;!A12" TargetMode="External" Id="rId54"/><Relationship Type="http://schemas.openxmlformats.org/officeDocument/2006/relationships/hyperlink" Target="../../../src/base/ItemRegistry.gd" TargetMode="External" Id="rId55"/><Relationship Type="http://schemas.openxmlformats.org/officeDocument/2006/relationships/hyperlink" Target="../../../docs/v0.1/data/ShellStorm2_&#28216;&#25103;&#20869;&#23481;&#25968;&#25454;&#24211;_v010.xlsx#&#25481;&#33853;&#29289;&#21697;!A49" TargetMode="External" Id="rId56"/><Relationship Type="http://schemas.openxmlformats.org/officeDocument/2006/relationships/hyperlink" Target="../../../src/base/ItemRegistry.gd" TargetMode="External" Id="rId57"/><Relationship Type="http://schemas.openxmlformats.org/officeDocument/2006/relationships/hyperlink" Target="../../../src/game/InventoryModule.gd" TargetMode="External" Id="rId58"/><Relationship Type="http://schemas.openxmlformats.org/officeDocument/2006/relationships/hyperlink" Target="../../../src/world3d/Dungeon3D.gd" TargetMode="External" Id="rId59"/><Relationship Type="http://schemas.openxmlformats.org/officeDocument/2006/relationships/hyperlink" Target="../../../src/world3d/ItemModelFactory3D.gd" TargetMode="External" Id="rId60"/><Relationship Type="http://schemas.openxmlformats.org/officeDocument/2006/relationships/hyperlink" Target="ShellStorm2_&#27494;&#22120;&#36134;&#26412;_v001.xlsx#&#36164;&#20135;&#20027;&#34920;!A30" TargetMode="External" Id="rId61"/><Relationship Type="http://schemas.openxmlformats.org/officeDocument/2006/relationships/hyperlink" Target="../../../src/base/ItemRegistry.gd" TargetMode="External" Id="rId62"/><Relationship Type="http://schemas.openxmlformats.org/officeDocument/2006/relationships/hyperlink" Target="../../../docs/v0.1/data/ShellStorm2_&#28216;&#25103;&#20869;&#23481;&#25968;&#25454;&#24211;_v010.xlsx#&#25481;&#33853;&#29289;&#21697;!A47" TargetMode="External" Id="rId63"/><Relationship Type="http://schemas.openxmlformats.org/officeDocument/2006/relationships/hyperlink" Target="../../../src/base/ItemRegistry.gd" TargetMode="External" Id="rId64"/><Relationship Type="http://schemas.openxmlformats.org/officeDocument/2006/relationships/hyperlink" Target="../../../src/game/InventoryModule.gd" TargetMode="External" Id="rId65"/><Relationship Type="http://schemas.openxmlformats.org/officeDocument/2006/relationships/hyperlink" Target="../../../src/world3d/Dungeon3D.gd" TargetMode="External" Id="rId66"/><Relationship Type="http://schemas.openxmlformats.org/officeDocument/2006/relationships/hyperlink" Target="../../../src/world3d/ItemModelFactory3D.gd" TargetMode="External" Id="rId67"/><Relationship Type="http://schemas.openxmlformats.org/officeDocument/2006/relationships/hyperlink" Target="ShellStorm2_&#27494;&#22120;&#36134;&#26412;_v001.xlsx#&#36164;&#20135;&#20027;&#34920;!A28" TargetMode="External" Id="rId68"/><Relationship Type="http://schemas.openxmlformats.org/officeDocument/2006/relationships/hyperlink" Target="../../../src/base/ItemRegistry.gd" TargetMode="External" Id="rId69"/><Relationship Type="http://schemas.openxmlformats.org/officeDocument/2006/relationships/hyperlink" Target="../../../docs/v0.1/data/ShellStorm2_&#28216;&#25103;&#20869;&#23481;&#25968;&#25454;&#24211;_v010.xlsx#&#25481;&#33853;&#29289;&#21697;!A48" TargetMode="External" Id="rId70"/><Relationship Type="http://schemas.openxmlformats.org/officeDocument/2006/relationships/hyperlink" Target="../../../src/base/ItemRegistry.gd" TargetMode="External" Id="rId71"/><Relationship Type="http://schemas.openxmlformats.org/officeDocument/2006/relationships/hyperlink" Target="../../../src/game/InventoryModule.gd" TargetMode="External" Id="rId72"/><Relationship Type="http://schemas.openxmlformats.org/officeDocument/2006/relationships/hyperlink" Target="../../../src/world3d/Dungeon3D.gd" TargetMode="External" Id="rId73"/><Relationship Type="http://schemas.openxmlformats.org/officeDocument/2006/relationships/hyperlink" Target="../../../src/world3d/ItemModelFactory3D.gd" TargetMode="External" Id="rId74"/><Relationship Type="http://schemas.openxmlformats.org/officeDocument/2006/relationships/hyperlink" Target="ShellStorm2_&#27494;&#22120;&#36134;&#26412;_v001.xlsx#&#36164;&#20135;&#20027;&#34920;!A29" TargetMode="External" Id="rId75"/><Relationship Type="http://schemas.openxmlformats.org/officeDocument/2006/relationships/hyperlink" Target="../../../src/base/ItemRegistry.gd" TargetMode="External" Id="rId76"/><Relationship Type="http://schemas.openxmlformats.org/officeDocument/2006/relationships/hyperlink" Target="../../../docs/v0.1/data/ShellStorm2_&#28216;&#25103;&#20869;&#23481;&#25968;&#25454;&#24211;_v010.xlsx#&#25481;&#33853;&#29289;&#21697;!A18" TargetMode="External" Id="rId77"/><Relationship Type="http://schemas.openxmlformats.org/officeDocument/2006/relationships/hyperlink" Target="../../../src/base/ItemRegistry.gd" TargetMode="External" Id="rId78"/><Relationship Type="http://schemas.openxmlformats.org/officeDocument/2006/relationships/hyperlink" Target="../../../src/game/InventoryModule.gd" TargetMode="External" Id="rId79"/><Relationship Type="http://schemas.openxmlformats.org/officeDocument/2006/relationships/hyperlink" Target="../../../src/world3d/Dungeon3D.gd" TargetMode="External" Id="rId80"/><Relationship Type="http://schemas.openxmlformats.org/officeDocument/2006/relationships/hyperlink" Target="../../../src/world3d/ItemModelFactory3D.gd" TargetMode="External" Id="rId81"/><Relationship Type="http://schemas.openxmlformats.org/officeDocument/2006/relationships/hyperlink" Target="../../../src/base/ItemRegistry.gd" TargetMode="External" Id="rId82"/><Relationship Type="http://schemas.openxmlformats.org/officeDocument/2006/relationships/hyperlink" Target="../../../docs/v0.1/data/ShellStorm2_&#28216;&#25103;&#20869;&#23481;&#25968;&#25454;&#24211;_v010.xlsx#&#25481;&#33853;&#29289;&#21697;!A28" TargetMode="External" Id="rId83"/><Relationship Type="http://schemas.openxmlformats.org/officeDocument/2006/relationships/hyperlink" Target="../../../src/base/ItemRegistry.gd" TargetMode="External" Id="rId84"/><Relationship Type="http://schemas.openxmlformats.org/officeDocument/2006/relationships/hyperlink" Target="../../../src/game/InventoryModule.gd" TargetMode="External" Id="rId85"/><Relationship Type="http://schemas.openxmlformats.org/officeDocument/2006/relationships/hyperlink" Target="../../../src/world3d/Dungeon3D.gd" TargetMode="External" Id="rId86"/><Relationship Type="http://schemas.openxmlformats.org/officeDocument/2006/relationships/hyperlink" Target="../../../src/world3d/ItemModelFactory3D.gd" TargetMode="External" Id="rId87"/><Relationship Type="http://schemas.openxmlformats.org/officeDocument/2006/relationships/hyperlink" Target="../../../src/base/ItemRegistry.gd" TargetMode="External" Id="rId88"/><Relationship Type="http://schemas.openxmlformats.org/officeDocument/2006/relationships/hyperlink" Target="../../../docs/v0.1/data/ShellStorm2_&#28216;&#25103;&#20869;&#23481;&#25968;&#25454;&#24211;_v010.xlsx#&#25481;&#33853;&#29289;&#21697;!A29" TargetMode="External" Id="rId89"/><Relationship Type="http://schemas.openxmlformats.org/officeDocument/2006/relationships/hyperlink" Target="../../../src/base/ItemRegistry.gd" TargetMode="External" Id="rId90"/><Relationship Type="http://schemas.openxmlformats.org/officeDocument/2006/relationships/hyperlink" Target="../../../src/game/InventoryModule.gd" TargetMode="External" Id="rId91"/><Relationship Type="http://schemas.openxmlformats.org/officeDocument/2006/relationships/hyperlink" Target="../../../src/world3d/Dungeon3D.gd" TargetMode="External" Id="rId92"/><Relationship Type="http://schemas.openxmlformats.org/officeDocument/2006/relationships/hyperlink" Target="../../../src/world3d/ItemModelFactory3D.gd" TargetMode="External" Id="rId93"/><Relationship Type="http://schemas.openxmlformats.org/officeDocument/2006/relationships/hyperlink" Target="../../../src/base/ItemRegistry.gd" TargetMode="External" Id="rId94"/><Relationship Type="http://schemas.openxmlformats.org/officeDocument/2006/relationships/hyperlink" Target="../../../docs/v0.1/data/ShellStorm2_&#28216;&#25103;&#20869;&#23481;&#25968;&#25454;&#24211;_v010.xlsx#&#25481;&#33853;&#29289;&#21697;!A24" TargetMode="External" Id="rId95"/><Relationship Type="http://schemas.openxmlformats.org/officeDocument/2006/relationships/hyperlink" Target="../../../src/base/ItemRegistry.gd" TargetMode="External" Id="rId96"/><Relationship Type="http://schemas.openxmlformats.org/officeDocument/2006/relationships/hyperlink" Target="../../../src/game/InventoryModule.gd" TargetMode="External" Id="rId97"/><Relationship Type="http://schemas.openxmlformats.org/officeDocument/2006/relationships/hyperlink" Target="../../../src/world3d/Dungeon3D.gd" TargetMode="External" Id="rId98"/><Relationship Type="http://schemas.openxmlformats.org/officeDocument/2006/relationships/hyperlink" Target="../../../src/world3d/ItemModelFactory3D.gd" TargetMode="External" Id="rId99"/><Relationship Type="http://schemas.openxmlformats.org/officeDocument/2006/relationships/hyperlink" Target="../../../src/base/ItemRegistry.gd" TargetMode="External" Id="rId100"/><Relationship Type="http://schemas.openxmlformats.org/officeDocument/2006/relationships/hyperlink" Target="../../../docs/v0.1/data/ShellStorm2_&#28216;&#25103;&#20869;&#23481;&#25968;&#25454;&#24211;_v010.xlsx#&#25481;&#33853;&#29289;&#21697;!A27" TargetMode="External" Id="rId101"/><Relationship Type="http://schemas.openxmlformats.org/officeDocument/2006/relationships/hyperlink" Target="../../../src/base/ItemRegistry.gd" TargetMode="External" Id="rId102"/><Relationship Type="http://schemas.openxmlformats.org/officeDocument/2006/relationships/hyperlink" Target="../../../src/game/InventoryModule.gd" TargetMode="External" Id="rId103"/><Relationship Type="http://schemas.openxmlformats.org/officeDocument/2006/relationships/hyperlink" Target="../../../src/world3d/Dungeon3D.gd" TargetMode="External" Id="rId104"/><Relationship Type="http://schemas.openxmlformats.org/officeDocument/2006/relationships/hyperlink" Target="../../../src/world3d/ItemModelFactory3D.gd" TargetMode="External" Id="rId105"/><Relationship Type="http://schemas.openxmlformats.org/officeDocument/2006/relationships/hyperlink" Target="../../../src/base/ItemRegistry.gd" TargetMode="External" Id="rId106"/><Relationship Type="http://schemas.openxmlformats.org/officeDocument/2006/relationships/hyperlink" Target="../../../docs/v0.1/data/ShellStorm2_&#28216;&#25103;&#20869;&#23481;&#25968;&#25454;&#24211;_v010.xlsx#&#25481;&#33853;&#29289;&#21697;!A25" TargetMode="External" Id="rId107"/><Relationship Type="http://schemas.openxmlformats.org/officeDocument/2006/relationships/hyperlink" Target="../../../src/base/ItemRegistry.gd" TargetMode="External" Id="rId108"/><Relationship Type="http://schemas.openxmlformats.org/officeDocument/2006/relationships/hyperlink" Target="../../../src/game/InventoryModule.gd" TargetMode="External" Id="rId109"/><Relationship Type="http://schemas.openxmlformats.org/officeDocument/2006/relationships/hyperlink" Target="../../../src/world3d/Dungeon3D.gd" TargetMode="External" Id="rId110"/><Relationship Type="http://schemas.openxmlformats.org/officeDocument/2006/relationships/hyperlink" Target="../../../src/world3d/ItemModelFactory3D.gd" TargetMode="External" Id="rId111"/><Relationship Type="http://schemas.openxmlformats.org/officeDocument/2006/relationships/hyperlink" Target="../../../src/base/ItemRegistry.gd" TargetMode="External" Id="rId112"/><Relationship Type="http://schemas.openxmlformats.org/officeDocument/2006/relationships/hyperlink" Target="../../../docs/v0.1/data/ShellStorm2_&#28216;&#25103;&#20869;&#23481;&#25968;&#25454;&#24211;_v010.xlsx#&#25481;&#33853;&#29289;&#21697;!A26" TargetMode="External" Id="rId113"/><Relationship Type="http://schemas.openxmlformats.org/officeDocument/2006/relationships/hyperlink" Target="../../../src/base/ItemRegistry.gd" TargetMode="External" Id="rId114"/><Relationship Type="http://schemas.openxmlformats.org/officeDocument/2006/relationships/hyperlink" Target="../../../src/game/InventoryModule.gd" TargetMode="External" Id="rId115"/><Relationship Type="http://schemas.openxmlformats.org/officeDocument/2006/relationships/hyperlink" Target="../../../src/world3d/Dungeon3D.gd" TargetMode="External" Id="rId116"/><Relationship Type="http://schemas.openxmlformats.org/officeDocument/2006/relationships/hyperlink" Target="../../../src/world3d/ItemModelFactory3D.gd" TargetMode="External" Id="rId117"/><Relationship Type="http://schemas.openxmlformats.org/officeDocument/2006/relationships/hyperlink" Target="../../../src/base/ItemRegistry.gd" TargetMode="External" Id="rId118"/><Relationship Type="http://schemas.openxmlformats.org/officeDocument/2006/relationships/hyperlink" Target="../../../docs/v0.1/data/ShellStorm2_&#28216;&#25103;&#20869;&#23481;&#25968;&#25454;&#24211;_v010.xlsx#&#25481;&#33853;&#29289;&#21697;!A23" TargetMode="External" Id="rId119"/><Relationship Type="http://schemas.openxmlformats.org/officeDocument/2006/relationships/hyperlink" Target="../../../src/base/ItemRegistry.gd" TargetMode="External" Id="rId120"/><Relationship Type="http://schemas.openxmlformats.org/officeDocument/2006/relationships/hyperlink" Target="../../../src/game/InventoryModule.gd" TargetMode="External" Id="rId121"/><Relationship Type="http://schemas.openxmlformats.org/officeDocument/2006/relationships/hyperlink" Target="../../../src/world3d/Dungeon3D.gd" TargetMode="External" Id="rId122"/><Relationship Type="http://schemas.openxmlformats.org/officeDocument/2006/relationships/hyperlink" Target="../../../src/world3d/ItemModelFactory3D.gd" TargetMode="External" Id="rId123"/><Relationship Type="http://schemas.openxmlformats.org/officeDocument/2006/relationships/hyperlink" Target="../../../src/base/ItemRegistry.gd" TargetMode="External" Id="rId124"/><Relationship Type="http://schemas.openxmlformats.org/officeDocument/2006/relationships/hyperlink" Target="../../../docs/v0.1/data/ShellStorm2_&#28216;&#25103;&#20869;&#23481;&#25968;&#25454;&#24211;_v010.xlsx#&#25481;&#33853;&#29289;&#21697;!A22" TargetMode="External" Id="rId125"/><Relationship Type="http://schemas.openxmlformats.org/officeDocument/2006/relationships/hyperlink" Target="../../../src/base/ItemRegistry.gd" TargetMode="External" Id="rId126"/><Relationship Type="http://schemas.openxmlformats.org/officeDocument/2006/relationships/hyperlink" Target="../../../src/game/InventoryModule.gd" TargetMode="External" Id="rId127"/><Relationship Type="http://schemas.openxmlformats.org/officeDocument/2006/relationships/hyperlink" Target="../../../src/world3d/Dungeon3D.gd" TargetMode="External" Id="rId128"/><Relationship Type="http://schemas.openxmlformats.org/officeDocument/2006/relationships/hyperlink" Target="../../../src/world3d/ItemModelFactory3D.gd" TargetMode="External" Id="rId129"/><Relationship Type="http://schemas.openxmlformats.org/officeDocument/2006/relationships/hyperlink" Target="../../../src/base/ItemRegistry.gd" TargetMode="External" Id="rId130"/><Relationship Type="http://schemas.openxmlformats.org/officeDocument/2006/relationships/hyperlink" Target="../../../docs/v0.1/data/ShellStorm2_&#28216;&#25103;&#20869;&#23481;&#25968;&#25454;&#24211;_v010.xlsx#&#25481;&#33853;&#29289;&#21697;!A10" TargetMode="External" Id="rId131"/><Relationship Type="http://schemas.openxmlformats.org/officeDocument/2006/relationships/hyperlink" Target="../../../src/base/ItemRegistry.gd" TargetMode="External" Id="rId132"/><Relationship Type="http://schemas.openxmlformats.org/officeDocument/2006/relationships/hyperlink" Target="../../../src/game/InventoryModule.gd" TargetMode="External" Id="rId133"/><Relationship Type="http://schemas.openxmlformats.org/officeDocument/2006/relationships/hyperlink" Target="../../../src/world3d/Dungeon3D.gd" TargetMode="External" Id="rId134"/><Relationship Type="http://schemas.openxmlformats.org/officeDocument/2006/relationships/hyperlink" Target="../../../src/world3d/ItemModelFactory3D.gd" TargetMode="External" Id="rId135"/><Relationship Type="http://schemas.openxmlformats.org/officeDocument/2006/relationships/hyperlink" Target="ShellStorm2_&#27494;&#22120;&#36134;&#26412;_v001.xlsx#&#36164;&#20135;&#20027;&#34920;!A21" TargetMode="External" Id="rId136"/><Relationship Type="http://schemas.openxmlformats.org/officeDocument/2006/relationships/hyperlink" Target="../../../src/base/ItemRegistry.gd" TargetMode="External" Id="rId137"/><Relationship Type="http://schemas.openxmlformats.org/officeDocument/2006/relationships/hyperlink" Target="../../../docs/v0.1/data/ShellStorm2_&#28216;&#25103;&#20869;&#23481;&#25968;&#25454;&#24211;_v010.xlsx#&#25481;&#33853;&#29289;&#21697;!A8" TargetMode="External" Id="rId138"/><Relationship Type="http://schemas.openxmlformats.org/officeDocument/2006/relationships/hyperlink" Target="../../../src/base/ItemRegistry.gd" TargetMode="External" Id="rId139"/><Relationship Type="http://schemas.openxmlformats.org/officeDocument/2006/relationships/hyperlink" Target="../../../src/game/InventoryModule.gd" TargetMode="External" Id="rId140"/><Relationship Type="http://schemas.openxmlformats.org/officeDocument/2006/relationships/hyperlink" Target="../../../src/world3d/Dungeon3D.gd" TargetMode="External" Id="rId141"/><Relationship Type="http://schemas.openxmlformats.org/officeDocument/2006/relationships/hyperlink" Target="../../../src/world3d/ItemModelFactory3D.gd" TargetMode="External" Id="rId142"/><Relationship Type="http://schemas.openxmlformats.org/officeDocument/2006/relationships/hyperlink" Target="ShellStorm2_&#27494;&#22120;&#36134;&#26412;_v001.xlsx#&#36164;&#20135;&#20027;&#34920;!A22" TargetMode="External" Id="rId143"/><Relationship Type="http://schemas.openxmlformats.org/officeDocument/2006/relationships/hyperlink" Target="../../../src/base/ItemRegistry.gd" TargetMode="External" Id="rId144"/><Relationship Type="http://schemas.openxmlformats.org/officeDocument/2006/relationships/hyperlink" Target="../../../docs/v0.1/data/ShellStorm2_&#28216;&#25103;&#20869;&#23481;&#25968;&#25454;&#24211;_v010.xlsx#&#25481;&#33853;&#29289;&#21697;!A9" TargetMode="External" Id="rId145"/><Relationship Type="http://schemas.openxmlformats.org/officeDocument/2006/relationships/hyperlink" Target="../../../src/base/ItemRegistry.gd" TargetMode="External" Id="rId146"/><Relationship Type="http://schemas.openxmlformats.org/officeDocument/2006/relationships/hyperlink" Target="../../../src/game/InventoryModule.gd" TargetMode="External" Id="rId147"/><Relationship Type="http://schemas.openxmlformats.org/officeDocument/2006/relationships/hyperlink" Target="../../../src/world3d/Dungeon3D.gd" TargetMode="External" Id="rId148"/><Relationship Type="http://schemas.openxmlformats.org/officeDocument/2006/relationships/hyperlink" Target="../../../src/world3d/ItemModelFactory3D.gd" TargetMode="External" Id="rId149"/><Relationship Type="http://schemas.openxmlformats.org/officeDocument/2006/relationships/hyperlink" Target="ShellStorm2_&#27494;&#22120;&#36134;&#26412;_v001.xlsx#&#36164;&#20135;&#20027;&#34920;!A23" TargetMode="External" Id="rId150"/><Relationship Type="http://schemas.openxmlformats.org/officeDocument/2006/relationships/hyperlink" Target="../../../src/base/ItemRegistry.gd" TargetMode="External" Id="rId151"/><Relationship Type="http://schemas.openxmlformats.org/officeDocument/2006/relationships/hyperlink" Target="../../../docs/v0.1/data/ShellStorm2_&#28216;&#25103;&#20869;&#23481;&#25968;&#25454;&#24211;_v010.xlsx#&#25481;&#33853;&#29289;&#21697;!A5" TargetMode="External" Id="rId152"/><Relationship Type="http://schemas.openxmlformats.org/officeDocument/2006/relationships/hyperlink" Target="../../../src/base/ItemRegistry.gd" TargetMode="External" Id="rId153"/><Relationship Type="http://schemas.openxmlformats.org/officeDocument/2006/relationships/hyperlink" Target="../../../src/game/InventoryModule.gd" TargetMode="External" Id="rId154"/><Relationship Type="http://schemas.openxmlformats.org/officeDocument/2006/relationships/hyperlink" Target="../../../src/world3d/Dungeon3D.gd" TargetMode="External" Id="rId155"/><Relationship Type="http://schemas.openxmlformats.org/officeDocument/2006/relationships/hyperlink" Target="../../../src/world3d/ItemModelFactory3D.gd" TargetMode="External" Id="rId156"/><Relationship Type="http://schemas.openxmlformats.org/officeDocument/2006/relationships/hyperlink" Target="ShellStorm2_&#27494;&#22120;&#36134;&#26412;_v001.xlsx#&#36164;&#20135;&#20027;&#34920;!A24" TargetMode="External" Id="rId157"/><Relationship Type="http://schemas.openxmlformats.org/officeDocument/2006/relationships/hyperlink" Target="../../../src/base/ItemRegistry.gd" TargetMode="External" Id="rId158"/><Relationship Type="http://schemas.openxmlformats.org/officeDocument/2006/relationships/hyperlink" Target="../../../docs/v0.1/data/ShellStorm2_&#28216;&#25103;&#20869;&#23481;&#25968;&#25454;&#24211;_v010.xlsx#&#25481;&#33853;&#29289;&#21697;!A7" TargetMode="External" Id="rId159"/><Relationship Type="http://schemas.openxmlformats.org/officeDocument/2006/relationships/hyperlink" Target="../../../src/base/ItemRegistry.gd" TargetMode="External" Id="rId160"/><Relationship Type="http://schemas.openxmlformats.org/officeDocument/2006/relationships/hyperlink" Target="../../../src/game/InventoryModule.gd" TargetMode="External" Id="rId161"/><Relationship Type="http://schemas.openxmlformats.org/officeDocument/2006/relationships/hyperlink" Target="../../../src/world3d/Dungeon3D.gd" TargetMode="External" Id="rId162"/><Relationship Type="http://schemas.openxmlformats.org/officeDocument/2006/relationships/hyperlink" Target="../../../src/world3d/ItemModelFactory3D.gd" TargetMode="External" Id="rId163"/><Relationship Type="http://schemas.openxmlformats.org/officeDocument/2006/relationships/hyperlink" Target="ShellStorm2_&#27494;&#22120;&#36134;&#26412;_v001.xlsx#&#36164;&#20135;&#20027;&#34920;!A25" TargetMode="External" Id="rId164"/><Relationship Type="http://schemas.openxmlformats.org/officeDocument/2006/relationships/hyperlink" Target="../../../src/base/ItemRegistry.gd" TargetMode="External" Id="rId165"/><Relationship Type="http://schemas.openxmlformats.org/officeDocument/2006/relationships/hyperlink" Target="../../../docs/v0.1/data/ShellStorm2_&#28216;&#25103;&#20869;&#23481;&#25968;&#25454;&#24211;_v010.xlsx#&#25481;&#33853;&#29289;&#21697;!A6" TargetMode="External" Id="rId166"/><Relationship Type="http://schemas.openxmlformats.org/officeDocument/2006/relationships/hyperlink" Target="../../../src/base/ItemRegistry.gd" TargetMode="External" Id="rId167"/><Relationship Type="http://schemas.openxmlformats.org/officeDocument/2006/relationships/hyperlink" Target="../../../src/game/InventoryModule.gd" TargetMode="External" Id="rId168"/><Relationship Type="http://schemas.openxmlformats.org/officeDocument/2006/relationships/hyperlink" Target="../../../src/world3d/Dungeon3D.gd" TargetMode="External" Id="rId169"/><Relationship Type="http://schemas.openxmlformats.org/officeDocument/2006/relationships/hyperlink" Target="../../../src/world3d/ItemModelFactory3D.gd" TargetMode="External" Id="rId170"/><Relationship Type="http://schemas.openxmlformats.org/officeDocument/2006/relationships/hyperlink" Target="ShellStorm2_&#27494;&#22120;&#36134;&#26412;_v001.xlsx#&#36164;&#20135;&#20027;&#34920;!A26" TargetMode="External" Id="rId171"/><Relationship Type="http://schemas.openxmlformats.org/officeDocument/2006/relationships/table" Target="/xl/tables/table2.xml" Id="rId172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J20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1.48" customWidth="1" style="45" min="1" max="1"/>
    <col width="16.71" customWidth="1" style="45" min="2" max="3"/>
    <col width="3.58" customWidth="1" style="45" min="4" max="4"/>
    <col width="9.550000000000001" customWidth="1" style="45" min="5" max="5"/>
    <col width="35.81" customWidth="1" style="45" min="6" max="6"/>
    <col width="50.13" customWidth="1" style="45" min="7" max="7"/>
    <col width="3.58" customWidth="1" style="45" min="8" max="8"/>
    <col width="25.07" customWidth="1" style="45" min="9" max="10"/>
  </cols>
  <sheetData>
    <row r="1" ht="24.75" customHeight="1" s="46">
      <c r="A1" s="47" t="inlineStr">
        <is>
          <t>SHELLSTORM 2 · 武器美术账本 v0.1</t>
        </is>
      </c>
    </row>
    <row r="2" ht="12" customHeight="1" s="46"/>
    <row r="3" ht="22.5" customHeight="1" s="46">
      <c r="A3" s="48" t="inlineStr">
        <is>
          <t>归属域=武器｜覆盖大类=武器｜AssetID 前缀=WPN｜主账本（总目录）=assets/registry/ShellStorm2_美术资产台账_v001.xlsx；本账本可独立并行编辑，跨域契约见主账本</t>
        </is>
      </c>
    </row>
    <row r="4" ht="15" customHeight="1" s="46">
      <c r="A4" s="49" t="n"/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</row>
    <row r="5" ht="27.6" customHeight="1" s="46">
      <c r="A5" s="50" t="inlineStr">
        <is>
          <t>资产总数</t>
        </is>
      </c>
      <c r="B5" s="50" t="n"/>
      <c r="C5" s="50" t="inlineStr">
        <is>
          <t>已完成/已接入</t>
        </is>
      </c>
      <c r="D5" s="50" t="n"/>
      <c r="E5" s="50" t="inlineStr">
        <is>
          <t>待制作/程序占位</t>
        </is>
      </c>
      <c r="F5" s="50" t="n"/>
      <c r="G5" s="50" t="inlineStr">
        <is>
          <t>重复警报</t>
        </is>
      </c>
      <c r="H5" s="50" t="n"/>
      <c r="I5" s="50" t="inlineStr">
        <is>
          <t>域内专表 / 3D Prefab 分页</t>
        </is>
      </c>
      <c r="J5" s="50" t="n"/>
    </row>
    <row r="6" ht="42" customHeight="1" s="46">
      <c r="A6" s="51">
        <f>COUNTA('资产主表'!$A$6:$A$41)</f>
        <v/>
      </c>
      <c r="B6" s="49" t="n"/>
      <c r="C6" s="51">
        <f>COUNTIF('资产主表'!$K$6:$K$41,"已完成")+COUNTIF('资产主表'!$K$6:$K$41,"原型已接入")+COUNTIF('资产主表'!$K$6:$K$41,"正式美术已接入")+COUNTIF('资产主表'!$K$6:$K$41,"已优化并正式接入")+COUNTIF('资产主表'!$K$6:$K$41,"Blender源已完成")+COUNTIF('资产主表'!$K$6:$K$41,"已导入；优化完成")+COUNTIF('资产主表'!$K$6:$K$41,"白模源已完成；QA PASS")</f>
        <v/>
      </c>
      <c r="D6" s="49" t="n"/>
      <c r="E6" s="51">
        <f>COUNTIF('资产主表'!$K$6:$K$41,"待制作")+COUNTIF('资产主表'!$K$6:$K$41,"程序占位")</f>
        <v/>
      </c>
      <c r="F6" s="49" t="n"/>
      <c r="G6" s="51">
        <f>COUNTIF('资产主表'!$S$6:$S$41,"重复")</f>
        <v/>
      </c>
      <c r="H6" s="49" t="n"/>
      <c r="I6" s="50" t="inlineStr">
        <is>
          <t>域内专表：3D-武器　|　3D Prefab 分页：3D-武器</t>
        </is>
      </c>
    </row>
    <row r="7" ht="15" customHeight="1" s="46">
      <c r="A7" s="49" t="n"/>
      <c r="B7" s="49" t="n"/>
      <c r="C7" s="49" t="n"/>
      <c r="D7" s="49" t="n"/>
      <c r="E7" s="49" t="n"/>
      <c r="F7" s="49" t="n"/>
      <c r="G7" s="49" t="n"/>
      <c r="H7" s="49" t="n"/>
      <c r="I7" s="49" t="n"/>
      <c r="J7" s="49" t="n"/>
    </row>
    <row r="8" ht="15" customHeight="1" s="46">
      <c r="A8" s="49" t="n"/>
      <c r="B8" s="49" t="n"/>
      <c r="C8" s="49" t="n"/>
      <c r="D8" s="49" t="n"/>
      <c r="E8" s="49" t="n"/>
      <c r="F8" s="49" t="n"/>
      <c r="G8" s="49" t="n"/>
      <c r="H8" s="49" t="n"/>
      <c r="I8" s="49" t="n"/>
      <c r="J8" s="49" t="n"/>
    </row>
    <row r="9" ht="31.5" customHeight="1" s="46">
      <c r="A9" s="52" t="inlineStr">
        <is>
          <t>大类</t>
        </is>
      </c>
      <c r="B9" s="52" t="inlineStr">
        <is>
          <t>资产数</t>
        </is>
      </c>
      <c r="C9" s="52" t="inlineStr">
        <is>
          <t>完成/接入</t>
        </is>
      </c>
      <c r="D9" s="52" t="n"/>
      <c r="E9" s="53" t="inlineStr">
        <is>
          <t>本账本只登记上列大类；跨域搬运资产须同步主账本《分类与编码》并重跑门禁</t>
        </is>
      </c>
      <c r="F9" s="54" t="n"/>
      <c r="G9" s="54" t="n"/>
      <c r="H9" s="54" t="n"/>
      <c r="I9" s="54" t="n"/>
      <c r="J9" s="55" t="n"/>
    </row>
    <row r="10" ht="21.75" customHeight="1" s="46">
      <c r="A10" s="56" t="inlineStr">
        <is>
          <t>武器</t>
        </is>
      </c>
      <c r="B10" s="56">
        <f>COUNTIF('资产主表'!$C$6:$C$41,A10)</f>
        <v/>
      </c>
      <c r="C10" s="56">
        <f>SUMPRODUCT(('资产主表'!$C$6:$C$41=A10)*(('资产主表'!$K$6:$K$41="已完成")+('资产主表'!$K$6:$K$41="原型已接入")+('资产主表'!$K$6:$K$41="正式美术已接入")+('资产主表'!$K$6:$K$41="已优化并正式接入")+('资产主表'!$K$6:$K$41="Blender源已完成")+('资产主表'!$K$6:$K$41="已导入；优化完成")+('资产主表'!$K$6:$K$41="白模源已完成；QA PASS")))</f>
        <v/>
      </c>
      <c r="D10" s="56" t="n"/>
      <c r="E10" s="56" t="n"/>
      <c r="F10" s="56" t="n"/>
      <c r="G10" s="56" t="n"/>
      <c r="H10" s="56" t="n"/>
      <c r="I10" s="56" t="n"/>
      <c r="J10" s="56" t="n"/>
    </row>
    <row r="11" ht="15" customHeight="1" s="46">
      <c r="A11" s="52" t="inlineStr">
        <is>
          <t>合计</t>
        </is>
      </c>
      <c r="B11" s="52">
        <f>COUNTIF('资产主表'!$C$6:$C$41,A11)</f>
        <v/>
      </c>
      <c r="C11" s="52">
        <f>SUMPRODUCT(('资产主表'!$C$6:$C$41=A11)*(('资产主表'!$K$6:$K$41="已完成")+('资产主表'!$K$6:$K$41="原型已接入")+('资产主表'!$K$6:$K$41="正式美术已接入")+('资产主表'!$K$6:$K$41="已优化并正式接入")+('资产主表'!$K$6:$K$41="Blender源已完成")+('资产主表'!$K$6:$K$41="已导入；优化完成")+('资产主表'!$K$6:$K$41="白模源已完成；QA PASS")))</f>
        <v/>
      </c>
      <c r="D11" s="52" t="n"/>
      <c r="E11" s="52" t="n"/>
      <c r="F11" s="52" t="n"/>
      <c r="G11" s="52" t="n"/>
      <c r="H11" s="52" t="n"/>
      <c r="I11" s="52" t="n"/>
      <c r="J11" s="52" t="n"/>
    </row>
    <row r="12" ht="15" customHeight="1" s="46">
      <c r="A12" s="57" t="n"/>
      <c r="B12" s="57" t="n"/>
      <c r="C12" s="57" t="n"/>
      <c r="D12" s="49" t="n"/>
      <c r="E12" s="58" t="n"/>
      <c r="F12" s="57" t="n"/>
      <c r="G12" s="57" t="n"/>
      <c r="H12" s="49" t="n"/>
      <c r="I12" s="49" t="n"/>
      <c r="J12" s="49" t="n"/>
    </row>
    <row r="13" ht="15" customHeight="1" s="46">
      <c r="A13" s="59" t="inlineStr">
        <is>
          <t>域内 3D Prefab 分页统计（快照口径与本账本分页一致；权威清单在各分页表）</t>
        </is>
      </c>
      <c r="B13" s="60" t="n"/>
      <c r="C13" s="60" t="n"/>
      <c r="D13" s="60" t="n"/>
      <c r="E13" s="60" t="n"/>
      <c r="F13" s="60" t="n"/>
      <c r="G13" s="60" t="n"/>
      <c r="H13" s="60" t="n"/>
      <c r="I13" s="60" t="n"/>
      <c r="J13" s="61" t="n"/>
    </row>
    <row r="14" ht="39.55" customHeight="1" s="46">
      <c r="A14" s="50" t="inlineStr">
        <is>
          <t>分页</t>
        </is>
      </c>
      <c r="B14" s="62" t="inlineStr">
        <is>
          <t>Prefab 数</t>
        </is>
      </c>
      <c r="C14" s="50" t="inlineStr">
        <is>
          <t>直接引用 GLB</t>
        </is>
      </c>
      <c r="D14" s="50" t="inlineStr">
        <is>
          <t>有功能脚本</t>
        </is>
      </c>
      <c r="E14" s="50" t="inlineStr">
        <is>
          <t>碰撞开启</t>
        </is>
      </c>
      <c r="F14" s="50" t="inlineStr">
        <is>
          <t>说明</t>
        </is>
      </c>
      <c r="G14" s="57" t="n"/>
      <c r="H14" s="49" t="n"/>
      <c r="I14" s="49" t="n"/>
      <c r="J14" s="49" t="n"/>
    </row>
    <row r="15" ht="15" customHeight="1" s="46">
      <c r="A15" s="63" t="inlineStr">
        <is>
          <t>3D-武器</t>
        </is>
      </c>
      <c r="B15" s="56">
        <f>COUNTA('3D-武器'!$A$5:$A$204)</f>
        <v/>
      </c>
      <c r="C15" s="56">
        <f>COUNTIF('3D-武器'!$D$5:$D$204,"&lt;&gt;")</f>
        <v/>
      </c>
      <c r="D15" s="56">
        <f>COUNTIF('3D-武器'!$G$5:$G$204,"&lt;&gt;")</f>
        <v/>
      </c>
      <c r="E15" s="56">
        <f>COUNTIF('3D-武器'!$H$5:$H$204,"开")</f>
        <v/>
      </c>
      <c r="F15" s="56" t="inlineStr">
        <is>
          <t>一行 = 一个实际存在的 Godot PackedScene</t>
        </is>
      </c>
      <c r="G15" s="56" t="n"/>
      <c r="H15" s="56" t="n"/>
      <c r="I15" s="56" t="n"/>
      <c r="J15" s="56" t="n"/>
    </row>
    <row r="16" ht="15" customHeight="1" s="46">
      <c r="A16" s="52" t="inlineStr">
        <is>
          <t>合计</t>
        </is>
      </c>
      <c r="B16" s="52">
        <f>SUM(B15)</f>
        <v/>
      </c>
      <c r="C16" s="52">
        <f>SUM(C15)</f>
        <v/>
      </c>
      <c r="D16" s="52">
        <f>SUM(D15)</f>
        <v/>
      </c>
      <c r="E16" s="52">
        <f>SUM(E15)</f>
        <v/>
      </c>
      <c r="F16" s="52" t="n"/>
      <c r="G16" s="52" t="n"/>
      <c r="H16" s="52" t="n"/>
      <c r="I16" s="52" t="n"/>
      <c r="J16" s="52" t="n"/>
    </row>
    <row r="17" ht="15" customHeight="1" s="46">
      <c r="A17" s="57" t="n"/>
      <c r="B17" s="57" t="n"/>
      <c r="C17" s="57" t="n"/>
      <c r="D17" s="49" t="n"/>
      <c r="E17" s="49" t="n"/>
      <c r="F17" s="49" t="n"/>
      <c r="G17" s="49" t="n"/>
      <c r="H17" s="49" t="n"/>
      <c r="I17" s="49" t="n"/>
      <c r="J17" s="49" t="n"/>
    </row>
    <row r="18" ht="15" customHeight="1" s="46">
      <c r="A18" s="57" t="n"/>
      <c r="B18" s="57" t="n"/>
      <c r="C18" s="57" t="n"/>
      <c r="D18" s="49" t="n"/>
      <c r="E18" s="49" t="n"/>
      <c r="F18" s="49" t="n"/>
      <c r="G18" s="49" t="n"/>
      <c r="H18" s="49" t="n"/>
      <c r="I18" s="49" t="n"/>
      <c r="J18" s="49" t="n"/>
    </row>
    <row r="19" ht="15" customHeight="1" s="46">
      <c r="A19" s="49" t="n"/>
      <c r="B19" s="49" t="n"/>
      <c r="C19" s="49" t="n"/>
      <c r="D19" s="49" t="n"/>
      <c r="E19" s="49" t="n"/>
      <c r="F19" s="49" t="n"/>
      <c r="G19" s="49" t="n"/>
      <c r="H19" s="49" t="n"/>
      <c r="I19" s="49" t="n"/>
      <c r="J19" s="49" t="n"/>
    </row>
    <row r="20" ht="15" customHeight="1" s="46">
      <c r="A20" s="49" t="n"/>
      <c r="B20" s="49" t="n"/>
      <c r="C20" s="49" t="n"/>
      <c r="D20" s="49" t="n"/>
      <c r="E20" s="49" t="n"/>
      <c r="F20" s="49" t="n"/>
      <c r="G20" s="49" t="n"/>
      <c r="H20" s="49" t="n"/>
      <c r="I20" s="49" t="n"/>
      <c r="J20" s="49" t="n"/>
    </row>
  </sheetData>
  <mergeCells count="5">
    <mergeCell ref="A1:J2"/>
    <mergeCell ref="I6:J6"/>
    <mergeCell ref="A3:J3"/>
    <mergeCell ref="E9:J9"/>
    <mergeCell ref="A13:J13"/>
  </mergeCell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F23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6.26" customWidth="1" style="45" min="1" max="1"/>
    <col width="74" customWidth="1" style="45" min="2" max="2"/>
    <col width="40.58" customWidth="1" style="45" min="3" max="3"/>
    <col width="28.65" customWidth="1" style="45" min="4" max="6"/>
  </cols>
  <sheetData>
    <row r="1" ht="15" customHeight="1" s="46">
      <c r="A1" s="64" t="inlineStr">
        <is>
          <t>本账本说明 · 武器</t>
        </is>
      </c>
    </row>
    <row r="2" ht="15" customHeight="1" s="46"/>
    <row r="3" ht="15" customHeight="1" s="46">
      <c r="A3" s="48" t="inlineStr">
        <is>
          <t>本表是分账本自描述；机器可读真源为 assets/registry/ledger_index.json，二者不一致时以 JSON 为准</t>
        </is>
      </c>
    </row>
    <row r="5" ht="15" customHeight="1" s="46">
      <c r="A5" s="52" t="inlineStr">
        <is>
          <t>项</t>
        </is>
      </c>
      <c r="B5" s="52" t="inlineStr">
        <is>
          <t>值</t>
        </is>
      </c>
      <c r="C5" s="52" t="n"/>
      <c r="D5" s="52" t="n"/>
      <c r="E5" s="52" t="n"/>
      <c r="F5" s="52" t="n"/>
    </row>
    <row r="6" ht="30" customHeight="1" s="46">
      <c r="A6" s="56" t="inlineStr">
        <is>
          <t>账本归属域</t>
        </is>
      </c>
      <c r="B6" s="56" t="inlineStr">
        <is>
          <t>武器</t>
        </is>
      </c>
      <c r="C6" s="56" t="n"/>
      <c r="D6" s="56" t="n"/>
      <c r="E6" s="56" t="n"/>
      <c r="F6" s="56" t="n"/>
    </row>
    <row r="7" ht="30" customHeight="1" s="46">
      <c r="A7" s="56" t="inlineStr">
        <is>
          <t>分账本文件</t>
        </is>
      </c>
      <c r="B7" s="63" t="inlineStr">
        <is>
          <t>assets/registry/ledgers/ShellStorm2_武器账本_v001.xlsx</t>
        </is>
      </c>
      <c r="C7" s="56" t="n"/>
      <c r="D7" s="56" t="n"/>
      <c r="E7" s="56" t="n"/>
      <c r="F7" s="56" t="n"/>
    </row>
    <row r="8" ht="30" customHeight="1" s="46">
      <c r="A8" s="56" t="inlineStr">
        <is>
          <t>覆盖大类</t>
        </is>
      </c>
      <c r="B8" s="56" t="inlineStr">
        <is>
          <t>武器</t>
        </is>
      </c>
      <c r="C8" s="56" t="n"/>
      <c r="D8" s="56" t="n"/>
      <c r="E8" s="56" t="n"/>
      <c r="F8" s="56" t="n"/>
    </row>
    <row r="9" ht="30" customHeight="1" s="46">
      <c r="A9" s="63" t="inlineStr">
        <is>
          <t>AssetID 前缀</t>
        </is>
      </c>
      <c r="B9" s="63" t="inlineStr">
        <is>
          <t>WPN</t>
        </is>
      </c>
      <c r="C9" s="56" t="n"/>
      <c r="D9" s="56" t="n"/>
      <c r="E9" s="56" t="n"/>
      <c r="F9" s="56" t="n"/>
    </row>
    <row r="10" ht="30" customHeight="1" s="46">
      <c r="A10" s="56" t="inlineStr">
        <is>
          <t>域内专表</t>
        </is>
      </c>
      <c r="B10" s="63" t="inlineStr">
        <is>
          <t>3D-武器</t>
        </is>
      </c>
      <c r="C10" s="56" t="n"/>
      <c r="D10" s="56" t="n"/>
      <c r="E10" s="56" t="n"/>
      <c r="F10" s="56" t="n"/>
    </row>
    <row r="11" ht="30" customHeight="1" s="46">
      <c r="A11" s="63" t="inlineStr">
        <is>
          <t>3D Prefab 分页</t>
        </is>
      </c>
      <c r="B11" s="63" t="inlineStr">
        <is>
          <t>3D-武器</t>
        </is>
      </c>
      <c r="C11" s="56" t="n"/>
      <c r="D11" s="56" t="n"/>
      <c r="E11" s="56" t="n"/>
      <c r="F11" s="56" t="n"/>
    </row>
    <row r="12" ht="30" customHeight="1" s="46">
      <c r="A12" s="56" t="inlineStr">
        <is>
          <t>动画登记表</t>
        </is>
      </c>
      <c r="B12" s="56" t="inlineStr">
        <is>
          <t>无</t>
        </is>
      </c>
      <c r="C12" s="56" t="n"/>
      <c r="D12" s="56" t="n"/>
      <c r="E12" s="56" t="n"/>
      <c r="F12" s="56" t="n"/>
    </row>
    <row r="13" ht="30" customHeight="1" s="46">
      <c r="A13" s="56" t="inlineStr">
        <is>
          <t>主账本（总目录）</t>
        </is>
      </c>
      <c r="B13" s="63" t="inlineStr">
        <is>
          <t>assets/registry/ShellStorm2_美术资产台账_v001.xlsx</t>
        </is>
      </c>
      <c r="C13" s="56" t="n"/>
      <c r="D13" s="56" t="n"/>
      <c r="E13" s="56" t="n"/>
      <c r="F13" s="56" t="n"/>
    </row>
    <row r="14" ht="30" customHeight="1" s="46">
      <c r="A14" s="56" t="inlineStr">
        <is>
          <t>跨域契约</t>
        </is>
      </c>
      <c r="B14" s="56" t="inlineStr">
        <is>
          <t>分类与编码 / 命名与查重 / 版本记录 / Skill 清单 / 3D Prefab 总控 —— 全部只在主账本维护</t>
        </is>
      </c>
      <c r="C14" s="56" t="n"/>
      <c r="D14" s="56" t="n"/>
      <c r="E14" s="56" t="n"/>
      <c r="F14" s="56" t="n"/>
    </row>
    <row r="15" ht="30" customHeight="1" s="46">
      <c r="A15" s="56" t="inlineStr">
        <is>
          <t>首选制作 Skill</t>
        </is>
      </c>
      <c r="B15" s="63" t="inlineStr">
        <is>
          <t>game-weapon-model-pipeline</t>
        </is>
      </c>
      <c r="C15" s="56" t="n"/>
      <c r="D15" s="56" t="n"/>
      <c r="E15" s="56" t="n"/>
      <c r="F15" s="56" t="n"/>
    </row>
    <row r="16" ht="30" customHeight="1" s="46">
      <c r="A16" s="56" t="inlineStr">
        <is>
          <t>协作 Skill</t>
        </is>
      </c>
      <c r="B16" s="56" t="inlineStr">
        <is>
          <t>无</t>
        </is>
      </c>
      <c r="C16" s="56" t="n"/>
      <c r="D16" s="56" t="n"/>
      <c r="E16" s="56" t="n"/>
      <c r="F16" s="56" t="n"/>
    </row>
    <row r="17" ht="30" customHeight="1" s="46">
      <c r="A17" s="56" t="inlineStr">
        <is>
          <t>负责人</t>
        </is>
      </c>
      <c r="B17" s="56" t="inlineStr">
        <is>
          <t>待分配</t>
        </is>
      </c>
      <c r="C17" s="56" t="n"/>
      <c r="D17" s="56" t="n"/>
      <c r="E17" s="56" t="n"/>
      <c r="F17" s="56" t="n"/>
    </row>
    <row r="18" ht="30" customHeight="1" s="46">
      <c r="A18" s="56" t="inlineStr">
        <is>
          <t>登记范围</t>
        </is>
      </c>
      <c r="B18" s="56" t="inlineStr">
        <is>
          <t>枪械（手枪/霰弹/步枪/机枪/狙击/发射器）与近战武器（棒球棍/巨刃/战斧）、子弹模块与配件。挂点契约见该 Skill。</t>
        </is>
      </c>
      <c r="C18" s="56" t="n"/>
      <c r="D18" s="56" t="n"/>
      <c r="E18" s="56" t="n"/>
      <c r="F18" s="56" t="n"/>
    </row>
    <row r="19" ht="30" customHeight="1" s="46">
      <c r="A19" s="56" t="inlineStr">
        <is>
          <t>编辑边界</t>
        </is>
      </c>
      <c r="B19" s="56" t="inlineStr">
        <is>
          <t>只在本账本内增删改资产行。把资产从一个域搬到另一个域，属于跨域变更：必须同时改主账本《分类与编码》与 ledger_index.json，并重跑门禁。</t>
        </is>
      </c>
      <c r="C19" s="56" t="n"/>
      <c r="D19" s="56" t="n"/>
      <c r="E19" s="56" t="n"/>
      <c r="F19" s="56" t="n"/>
    </row>
    <row r="20" ht="30" customHeight="1" s="46">
      <c r="A20" s="56" t="inlineStr">
        <is>
          <t>登记口径</t>
        </is>
      </c>
      <c r="B20" s="56" t="inlineStr">
        <is>
          <t>资产条目以《资产主表》一行为准；一行只能有一个大类，且必须落在本账本声明的大类内。Prefab 详情按分页登记到对应的 3D-* 表，一行 = 一个实际存在的 Godot PackedScene。</t>
        </is>
      </c>
      <c r="C20" s="56" t="n"/>
      <c r="D20" s="56" t="n"/>
      <c r="E20" s="56" t="n"/>
      <c r="F20" s="56" t="n"/>
    </row>
    <row r="21" ht="30" customHeight="1" s="46">
      <c r="A21" s="56" t="inlineStr">
        <is>
          <t>门禁</t>
        </is>
      </c>
      <c r="B21" s="63" t="inlineStr">
        <is>
          <t>python3 scripts/check_asset_registry.py --scope structure（需 venv python + openpyxl，且在 /tmp 下跑）</t>
        </is>
      </c>
      <c r="C21" s="56" t="n"/>
      <c r="D21" s="56" t="n"/>
      <c r="E21" s="56" t="n"/>
      <c r="F21" s="56" t="n"/>
    </row>
    <row r="22" ht="30" customHeight="1" s="46">
      <c r="A22" s="56" t="inlineStr">
        <is>
          <t>无损基线</t>
        </is>
      </c>
      <c r="B22" s="63" t="inlineStr">
        <is>
          <t>assets/registry/ledger_split_baseline.json；python3 tools/asset_pipeline/verify_ledger_split.py 断言并集与拆分前逐格一致</t>
        </is>
      </c>
      <c r="C22" s="56" t="n"/>
      <c r="D22" s="56" t="n"/>
      <c r="E22" s="56" t="n"/>
      <c r="F22" s="56" t="n"/>
    </row>
    <row r="23" ht="30" customHeight="1" s="46">
      <c r="A23" s="56" t="inlineStr">
        <is>
          <t>快照日期</t>
        </is>
      </c>
      <c r="B23" s="63" t="inlineStr">
        <is>
          <t>2026-09-18</t>
        </is>
      </c>
      <c r="C23" s="56" t="n"/>
      <c r="D23" s="56" t="n"/>
      <c r="E23" s="56" t="n"/>
      <c r="F23" s="56" t="n"/>
    </row>
  </sheetData>
  <mergeCells count="2">
    <mergeCell ref="A3:F3"/>
    <mergeCell ref="A1:F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41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29.84" customWidth="1" style="45" min="1" max="1"/>
    <col width="21.48" customWidth="1" style="45" min="2" max="2"/>
    <col width="11.94" customWidth="1" style="45" min="3" max="3"/>
    <col width="21.48" customWidth="1" style="45" min="4" max="4"/>
    <col width="26.26" customWidth="1" style="45" min="5" max="5"/>
    <col width="14.33" customWidth="1" style="45" min="6" max="6"/>
    <col width="29.84" customWidth="1" style="45" min="7" max="7"/>
    <col width="22.68" customWidth="1" style="45" min="8" max="8"/>
    <col width="17.9" customWidth="1" style="45" min="9" max="9"/>
    <col width="21.48" customWidth="1" style="45" min="10" max="10"/>
    <col width="14.33" customWidth="1" style="45" min="11" max="11"/>
    <col width="9.550000000000001" customWidth="1" style="45" min="12" max="12"/>
    <col width="10.74" customWidth="1" style="45" min="13" max="13"/>
    <col width="19.1" customWidth="1" style="45" min="14" max="14"/>
    <col width="42.97" customWidth="1" style="45" min="15" max="15"/>
    <col width="40.58" customWidth="1" style="45" min="16" max="16"/>
    <col width="31.03" customWidth="1" style="45" min="17" max="17"/>
    <col width="50.13" customWidth="1" style="45" min="18" max="18"/>
    <col width="14.33" customWidth="1" style="45" min="19" max="19"/>
    <col width="35.81" customWidth="1" style="45" min="20" max="20"/>
    <col width="14.33" customWidth="1" style="45" min="21" max="21"/>
    <col width="15.51" customWidth="1" style="45" min="22" max="22"/>
    <col width="19.1" customWidth="1" style="45" min="23" max="23"/>
    <col width="62.06" customWidth="1" style="45" min="24" max="24"/>
  </cols>
  <sheetData>
    <row r="1" ht="24.75" customHeight="1" s="46">
      <c r="A1" s="64" t="inlineStr">
        <is>
          <t>资产主表 · 唯一登记源</t>
        </is>
      </c>
    </row>
    <row r="2" ht="12" customHeight="1" s="46"/>
    <row r="3" ht="22.5" customHeight="1" s="46">
      <c r="A3" s="48" t="inlineStr">
        <is>
          <t>查重键由公式生成；S 列出现“重复”时禁止制作，先合并或建立变体父子关系</t>
        </is>
      </c>
    </row>
    <row r="4" ht="15" customHeight="1" s="46">
      <c r="A4" s="49" t="n"/>
      <c r="B4" s="49" t="n"/>
      <c r="C4" s="49" t="n"/>
      <c r="D4" s="49" t="n"/>
      <c r="E4" s="49" t="n"/>
      <c r="F4" s="49" t="n"/>
      <c r="G4" s="49" t="n"/>
      <c r="H4" s="49" t="n"/>
      <c r="I4" s="49" t="n"/>
      <c r="J4" s="49" t="n"/>
      <c r="K4" s="49" t="n"/>
      <c r="L4" s="49" t="n"/>
      <c r="M4" s="49" t="n"/>
      <c r="N4" s="49" t="n"/>
      <c r="O4" s="49" t="n"/>
      <c r="P4" s="49" t="n"/>
      <c r="Q4" s="49" t="n"/>
      <c r="R4" s="49" t="n"/>
      <c r="S4" s="49" t="n"/>
      <c r="T4" s="49" t="n"/>
      <c r="U4" s="49" t="n"/>
      <c r="V4" s="49" t="n"/>
      <c r="W4" s="49" t="n"/>
      <c r="Y4" s="49" t="n"/>
    </row>
    <row r="5" ht="31.5" customHeight="1" s="46">
      <c r="A5" s="65" t="inlineStr">
        <is>
          <t>AssetID</t>
        </is>
      </c>
      <c r="B5" s="66" t="inlineStr">
        <is>
          <t>中文名</t>
        </is>
      </c>
      <c r="C5" s="66" t="inlineStr">
        <is>
          <t>大类</t>
        </is>
      </c>
      <c r="D5" s="66" t="inlineStr">
        <is>
          <t>子类</t>
        </is>
      </c>
      <c r="E5" s="66" t="inlineStr">
        <is>
          <t>逻辑ID/源键</t>
        </is>
      </c>
      <c r="F5" s="66" t="inlineStr">
        <is>
          <t>组件槽</t>
        </is>
      </c>
      <c r="G5" s="66" t="inlineStr">
        <is>
          <t>变体父ID</t>
        </is>
      </c>
      <c r="H5" s="66" t="inlineStr">
        <is>
          <t>视角</t>
        </is>
      </c>
      <c r="I5" s="66" t="inlineStr">
        <is>
          <t>状态/动画</t>
        </is>
      </c>
      <c r="J5" s="66" t="inlineStr">
        <is>
          <t>复用范围</t>
        </is>
      </c>
      <c r="K5" s="66" t="inlineStr">
        <is>
          <t>制作状态</t>
        </is>
      </c>
      <c r="L5" s="66" t="inlineStr">
        <is>
          <t>优先级</t>
        </is>
      </c>
      <c r="M5" s="66" t="inlineStr">
        <is>
          <t>版本</t>
        </is>
      </c>
      <c r="N5" s="66" t="inlineStr">
        <is>
          <t>规格(px)</t>
        </is>
      </c>
      <c r="O5" s="66" t="inlineStr">
        <is>
          <t>文件路径</t>
        </is>
      </c>
      <c r="P5" s="66" t="inlineStr">
        <is>
          <t>源码/策划依据</t>
        </is>
      </c>
      <c r="Q5" s="66" t="inlineStr">
        <is>
          <t>关键词/别名</t>
        </is>
      </c>
      <c r="R5" s="66" t="inlineStr">
        <is>
          <t>查重键</t>
        </is>
      </c>
      <c r="S5" s="66" t="inlineStr">
        <is>
          <t>查重结果</t>
        </is>
      </c>
      <c r="T5" s="67" t="inlineStr">
        <is>
          <t>SHA-256</t>
        </is>
      </c>
      <c r="U5" s="66" t="inlineStr">
        <is>
          <t>负责人</t>
        </is>
      </c>
      <c r="V5" s="66" t="inlineStr">
        <is>
          <t>更新时间</t>
        </is>
      </c>
      <c r="W5" s="66" t="inlineStr">
        <is>
          <t>来源/许可</t>
        </is>
      </c>
      <c r="X5" s="68" t="inlineStr">
        <is>
          <t>源编号（Blender collection）</t>
        </is>
      </c>
      <c r="Y5" s="69" t="inlineStr">
        <is>
          <t>备注</t>
        </is>
      </c>
    </row>
    <row r="6" ht="441.75" customHeight="1" s="46">
      <c r="A6" s="70" t="inlineStr">
        <is>
          <t>WPN-GUN-BP-PISTOL</t>
        </is>
      </c>
      <c r="B6" s="57" t="inlineStr">
        <is>
          <t>豌豆手枪 / 吹风机造型</t>
        </is>
      </c>
      <c r="C6" s="57" t="inlineStr">
        <is>
          <t>武器</t>
        </is>
      </c>
      <c r="D6" s="70" t="inlineStr">
        <is>
          <t>gunbody</t>
        </is>
      </c>
      <c r="E6" s="70" t="inlineStr">
        <is>
          <t>bp_pistol</t>
        </is>
      </c>
      <c r="F6" s="70" t="inlineStr">
        <is>
          <t>root</t>
        </is>
      </c>
      <c r="G6" s="57" t="n"/>
      <c r="H6" s="57" t="inlineStr">
        <is>
          <t>俯视3D / local -Z 枪口</t>
        </is>
      </c>
      <c r="I6" s="70" t="inlineStr">
        <is>
          <t>default / 标准握把与8类挂点</t>
        </is>
      </c>
      <c r="J6" s="57" t="inlineStr">
        <is>
          <t>手持/背负/地面/UI 共用独立PackedScene</t>
        </is>
      </c>
      <c r="K6" s="57" t="inlineStr">
        <is>
          <t>已完成</t>
        </is>
      </c>
      <c r="L6" s="70" t="inlineStr">
        <is>
          <t>P0</t>
        </is>
      </c>
      <c r="M6" s="70" t="inlineStr">
        <is>
          <t>v001</t>
        </is>
      </c>
      <c r="N6" s="57" t="inlineStr">
        <is>
          <t>握把原点；local -Z枪口；3材质；独立GLB/PackedScene</t>
        </is>
      </c>
      <c r="O6" s="70" t="inlineStr">
        <is>
          <t>assets/art/weapons/weapon_3d/runtime/hair_dryer/wpn_hair_dryer_root_top3d_v001.tscn</t>
        </is>
      </c>
      <c r="P6" s="70" t="inlineStr">
        <is>
          <t>art_source/weapons/weapon_3d/source/hair_dryer/wpn_hair_dryer_source_v003.blend; src/combat3d/WeaponModel3D.gd</t>
        </is>
      </c>
      <c r="Q6" s="70" t="inlineStr">
        <is>
          <t>bp_pistol; 吹风机; 握把原点; -Z枪口; 通用挂点; 多巴胺配色</t>
        </is>
      </c>
      <c r="R6" s="57">
        <f>LOWER(TRIM(C6)&amp;"|"&amp;TRIM(D6)&amp;"|"&amp;TRIM(E6)&amp;"|"&amp;TRIM(F6)&amp;"|"&amp;TRIM(H6)&amp;"|"&amp;TRIM(I6))</f>
        <v/>
      </c>
      <c r="S6" s="57">
        <f>IF(COUNTIF($R$6:$R$41,R6)&gt;1,"重复","唯一")</f>
        <v/>
      </c>
      <c r="T6" s="70" t="inlineStr">
        <is>
          <t>ec5be48b60ec8724759108b9d8f0530473e324e0df25f392622474909f52f05e</t>
        </is>
      </c>
      <c r="U6" s="70" t="inlineStr">
        <is>
          <t>Codex</t>
        </is>
      </c>
      <c r="V6" s="71" t="n">
        <v>46264</v>
      </c>
      <c r="W6" s="57" t="inlineStr">
        <is>
          <t>用户自制Blender资产</t>
        </is>
      </c>
      <c r="X6" s="72" t="inlineStr">
        <is>
          <t>—</t>
        </is>
      </c>
      <c r="Y6" s="57" t="inlineStr">
        <is>
          <t>由18枪合集拆成独立资产；根节点即握把原点，枪口统一local -Z；无需玩家侧逐枪旋转补丁。
2026-08-21：复用WPN-GUN-BP-PISTOL与v003 GLB；Godot包装层保持GripSocket=根原点，将可见握把中心及全部非Grip语义挂点统一校正(0,-0.122838,-0.168785)。待机与开火时枪模local -Z锁定真实aim_direction，后坐只沿枪轴平移，不改变弹道、伤害、碰撞或装配。
2026-08-30 AST-01规范化（原制作状态：正式美术已接入；原大类：枪械）
2026-08-30 AST-02：合法内容更新；文件为Git已跟踪且修改时间不早于原台账日期；验收：verify_weapon_instance_contract_matrix；SHA c8e52bda1186→ec5be48b60ec。</t>
        </is>
      </c>
    </row>
    <row r="7" ht="240.25" customHeight="1" s="46">
      <c r="A7" s="70" t="inlineStr">
        <is>
          <t>WPN-GUN-BP-SHOTGUN</t>
        </is>
      </c>
      <c r="B7" s="57" t="inlineStr">
        <is>
          <t>散射喷壶 / 双管炮造型</t>
        </is>
      </c>
      <c r="C7" s="57" t="inlineStr">
        <is>
          <t>武器</t>
        </is>
      </c>
      <c r="D7" s="70" t="inlineStr">
        <is>
          <t>gunbody</t>
        </is>
      </c>
      <c r="E7" s="70" t="inlineStr">
        <is>
          <t>bp_shotgun</t>
        </is>
      </c>
      <c r="F7" s="70" t="inlineStr">
        <is>
          <t>root</t>
        </is>
      </c>
      <c r="G7" s="57" t="n"/>
      <c r="H7" s="57" t="inlineStr">
        <is>
          <t>俯视3D / local -Z 枪口</t>
        </is>
      </c>
      <c r="I7" s="70" t="inlineStr">
        <is>
          <t>default / 标准握把与8类挂点</t>
        </is>
      </c>
      <c r="J7" s="57" t="inlineStr">
        <is>
          <t>手持/背负/地面/UI 共用独立PackedScene</t>
        </is>
      </c>
      <c r="K7" s="57" t="inlineStr">
        <is>
          <t>已完成</t>
        </is>
      </c>
      <c r="L7" s="70" t="inlineStr">
        <is>
          <t>P0</t>
        </is>
      </c>
      <c r="M7" s="70" t="inlineStr">
        <is>
          <t>v001</t>
        </is>
      </c>
      <c r="N7" s="57" t="inlineStr">
        <is>
          <t>握把原点；local -Z枪口；3材质；独立GLB/PackedScene</t>
        </is>
      </c>
      <c r="O7" s="70" t="inlineStr">
        <is>
          <t>assets/art/weapons/weapon_3d/runtime/double_barrel_cannon/wpn_double_barrel_cannon_root_top3d_v001.tscn</t>
        </is>
      </c>
      <c r="P7" s="70" t="inlineStr">
        <is>
          <t>../ShellStorm2-backup/2026-10-11_slimming/original_tree/art_source/weapons/weapon_3d/source/double_barrel_cannon/wpn_double_barrel_cannon_source_v001.blend; src/combat3d/WeaponModel3D.gd</t>
        </is>
      </c>
      <c r="Q7" s="70" t="inlineStr">
        <is>
          <t>bp_shotgun; 双管炮; 握把原点; -Z枪口; 通用挂点; 多巴胺配色</t>
        </is>
      </c>
      <c r="R7" s="57">
        <f>LOWER(TRIM(C7)&amp;"|"&amp;TRIM(D7)&amp;"|"&amp;TRIM(E7)&amp;"|"&amp;TRIM(F7)&amp;"|"&amp;TRIM(H7)&amp;"|"&amp;TRIM(I7))</f>
        <v/>
      </c>
      <c r="S7" s="57">
        <f>IF(COUNTIF($R$6:$R$41,R7)&gt;1,"重复","唯一")</f>
        <v/>
      </c>
      <c r="T7" s="70" t="inlineStr">
        <is>
          <t>67aa2883793ca21ce27b41732c48b1f4b250182c505dfab8267fcd45eb74831b</t>
        </is>
      </c>
      <c r="U7" s="70" t="inlineStr">
        <is>
          <t>Codex</t>
        </is>
      </c>
      <c r="V7" s="71" t="n">
        <v>46264</v>
      </c>
      <c r="W7" s="57" t="inlineStr">
        <is>
          <t>用户自制Blender资产</t>
        </is>
      </c>
      <c r="X7" s="72" t="inlineStr">
        <is>
          <t>—</t>
        </is>
      </c>
      <c r="Y7" s="57" t="inlineStr">
        <is>
          <t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8e026c49d788→67aa2883793c。</t>
        </is>
      </c>
    </row>
    <row r="8" ht="240.25" customHeight="1" s="46">
      <c r="A8" s="70" t="inlineStr">
        <is>
          <t>WPN-GUN-BP-RIFLE</t>
        </is>
      </c>
      <c r="B8" s="57" t="inlineStr">
        <is>
          <t>步枪 / 扫帚步枪造型</t>
        </is>
      </c>
      <c r="C8" s="57" t="inlineStr">
        <is>
          <t>武器</t>
        </is>
      </c>
      <c r="D8" s="70" t="inlineStr">
        <is>
          <t>gunbody</t>
        </is>
      </c>
      <c r="E8" s="70" t="inlineStr">
        <is>
          <t>bp_rifle</t>
        </is>
      </c>
      <c r="F8" s="70" t="inlineStr">
        <is>
          <t>root</t>
        </is>
      </c>
      <c r="G8" s="57" t="n"/>
      <c r="H8" s="57" t="inlineStr">
        <is>
          <t>俯视3D / local -Z 枪口</t>
        </is>
      </c>
      <c r="I8" s="70" t="inlineStr">
        <is>
          <t>default / 标准握把与8类挂点</t>
        </is>
      </c>
      <c r="J8" s="57" t="inlineStr">
        <is>
          <t>手持/背负/地面/UI 共用独立PackedScene</t>
        </is>
      </c>
      <c r="K8" s="57" t="inlineStr">
        <is>
          <t>已完成</t>
        </is>
      </c>
      <c r="L8" s="70" t="inlineStr">
        <is>
          <t>P0</t>
        </is>
      </c>
      <c r="M8" s="70" t="inlineStr">
        <is>
          <t>v001</t>
        </is>
      </c>
      <c r="N8" s="57" t="inlineStr">
        <is>
          <t>握把原点；local -Z枪口；3材质；独立GLB/PackedScene</t>
        </is>
      </c>
      <c r="O8" s="70" t="inlineStr">
        <is>
          <t>assets/art/weapons/weapon_3d/runtime/broom_rifle/wpn_broom_rifle_root_top3d_v001.tscn</t>
        </is>
      </c>
      <c r="P8" s="70" t="inlineStr">
        <is>
          <t>../ShellStorm2-backup/2026-10-11_slimming/original_tree/art_source/weapons/weapon_3d/source/broom_rifle/wpn_broom_rifle_source_v001.blend; src/combat3d/WeaponModel3D.gd</t>
        </is>
      </c>
      <c r="Q8" s="70" t="inlineStr">
        <is>
          <t>bp_rifle; 扫帚步枪; 握把原点; -Z枪口; 通用挂点; 多巴胺配色</t>
        </is>
      </c>
      <c r="R8" s="57">
        <f>LOWER(TRIM(C8)&amp;"|"&amp;TRIM(D8)&amp;"|"&amp;TRIM(E8)&amp;"|"&amp;TRIM(F8)&amp;"|"&amp;TRIM(H8)&amp;"|"&amp;TRIM(I8))</f>
        <v/>
      </c>
      <c r="S8" s="57">
        <f>IF(COUNTIF($R$6:$R$41,R8)&gt;1,"重复","唯一")</f>
        <v/>
      </c>
      <c r="T8" s="70" t="inlineStr">
        <is>
          <t>ce12927b14a1cb3be4f8403dfca41347f21a038faab502b3779245ef9f211cd8</t>
        </is>
      </c>
      <c r="U8" s="70" t="inlineStr">
        <is>
          <t>Codex</t>
        </is>
      </c>
      <c r="V8" s="71" t="n">
        <v>46264</v>
      </c>
      <c r="W8" s="57" t="inlineStr">
        <is>
          <t>用户自制Blender资产</t>
        </is>
      </c>
      <c r="X8" s="72" t="inlineStr">
        <is>
          <t>—</t>
        </is>
      </c>
      <c r="Y8" s="57" t="inlineStr">
        <is>
          <t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67a1515e3659→ce12927b14a1。</t>
        </is>
      </c>
    </row>
    <row r="9" ht="240.25" customHeight="1" s="46">
      <c r="A9" s="70" t="inlineStr">
        <is>
          <t>WPN-GUN-BP-MACHINEGUN</t>
        </is>
      </c>
      <c r="B9" s="57" t="inlineStr">
        <is>
          <t>蜂窝机枪 / 水箱爆能枪造型</t>
        </is>
      </c>
      <c r="C9" s="57" t="inlineStr">
        <is>
          <t>武器</t>
        </is>
      </c>
      <c r="D9" s="70" t="inlineStr">
        <is>
          <t>gunbody</t>
        </is>
      </c>
      <c r="E9" s="70" t="inlineStr">
        <is>
          <t>bp_machinegun</t>
        </is>
      </c>
      <c r="F9" s="70" t="inlineStr">
        <is>
          <t>root</t>
        </is>
      </c>
      <c r="G9" s="57" t="n"/>
      <c r="H9" s="57" t="inlineStr">
        <is>
          <t>俯视3D / local -Z 枪口</t>
        </is>
      </c>
      <c r="I9" s="70" t="inlineStr">
        <is>
          <t>default / 标准握把与8类挂点</t>
        </is>
      </c>
      <c r="J9" s="57" t="inlineStr">
        <is>
          <t>手持/背负/地面/UI 共用独立PackedScene</t>
        </is>
      </c>
      <c r="K9" s="57" t="inlineStr">
        <is>
          <t>已完成</t>
        </is>
      </c>
      <c r="L9" s="70" t="inlineStr">
        <is>
          <t>P1</t>
        </is>
      </c>
      <c r="M9" s="70" t="inlineStr">
        <is>
          <t>v001</t>
        </is>
      </c>
      <c r="N9" s="57" t="inlineStr">
        <is>
          <t>握把原点；local -Z枪口；3材质；独立GLB/PackedScene</t>
        </is>
      </c>
      <c r="O9" s="70" t="inlineStr">
        <is>
          <t>assets/art/weapons/weapon_3d/runtime/water_tank_blaster/wpn_water_tank_blaster_root_top3d.tscn</t>
        </is>
      </c>
      <c r="P9" s="70" t="inlineStr">
        <is>
          <t>../ShellStorm2-backup/2026-10-11_slimming/original_tree/art_source/weapons/weapon_3d/source/water_tank_blaster/wpn_water_tank_blaster_source_v001.blend; src/combat3d/WeaponModel3D.gd</t>
        </is>
      </c>
      <c r="Q9" s="70" t="inlineStr">
        <is>
          <t>bp_machinegun; 水箱爆能枪; 握把原点; -Z枪口; 通用挂点; 多巴胺配色</t>
        </is>
      </c>
      <c r="R9" s="57">
        <f>LOWER(TRIM(C9)&amp;"|"&amp;TRIM(D9)&amp;"|"&amp;TRIM(E9)&amp;"|"&amp;TRIM(F9)&amp;"|"&amp;TRIM(H9)&amp;"|"&amp;TRIM(I9))</f>
        <v/>
      </c>
      <c r="S9" s="57">
        <f>IF(COUNTIF($R$6:$R$41,R9)&gt;1,"重复","唯一")</f>
        <v/>
      </c>
      <c r="T9" s="70" t="inlineStr">
        <is>
          <t>037a040062930e47d813d7b1ffd5f6cff96b826750d4a9b2e38f42a78b5f5f98</t>
        </is>
      </c>
      <c r="U9" s="70" t="inlineStr">
        <is>
          <t>Codex</t>
        </is>
      </c>
      <c r="V9" s="71" t="n">
        <v>46264</v>
      </c>
      <c r="W9" s="57" t="inlineStr">
        <is>
          <t>用户自制Blender资产</t>
        </is>
      </c>
      <c r="X9" s="72" t="inlineStr">
        <is>
          <t>—</t>
        </is>
      </c>
      <c r="Y9" s="57" t="inlineStr">
        <is>
          <t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24608d0d872a→037a04006293。</t>
        </is>
      </c>
    </row>
    <row r="10" ht="240.25" customHeight="1" s="46">
      <c r="A10" s="70" t="inlineStr">
        <is>
          <t>WPN-GUN-BP-SNIPER</t>
        </is>
      </c>
      <c r="B10" s="57" t="inlineStr">
        <is>
          <t>弹弓狙击 / 糖果狙击枪造型</t>
        </is>
      </c>
      <c r="C10" s="57" t="inlineStr">
        <is>
          <t>武器</t>
        </is>
      </c>
      <c r="D10" s="70" t="inlineStr">
        <is>
          <t>gunbody</t>
        </is>
      </c>
      <c r="E10" s="70" t="inlineStr">
        <is>
          <t>bp_sniper</t>
        </is>
      </c>
      <c r="F10" s="70" t="inlineStr">
        <is>
          <t>root</t>
        </is>
      </c>
      <c r="G10" s="57" t="n"/>
      <c r="H10" s="57" t="inlineStr">
        <is>
          <t>俯视3D / local -Z 枪口</t>
        </is>
      </c>
      <c r="I10" s="70" t="inlineStr">
        <is>
          <t>default / 标准握把与8类挂点</t>
        </is>
      </c>
      <c r="J10" s="57" t="inlineStr">
        <is>
          <t>手持/背负/地面/UI 共用独立PackedScene</t>
        </is>
      </c>
      <c r="K10" s="57" t="inlineStr">
        <is>
          <t>已完成</t>
        </is>
      </c>
      <c r="L10" s="70" t="inlineStr">
        <is>
          <t>P1</t>
        </is>
      </c>
      <c r="M10" s="70" t="inlineStr">
        <is>
          <t>v001</t>
        </is>
      </c>
      <c r="N10" s="57" t="inlineStr">
        <is>
          <t>握把原点；local -Z枪口；3材质；独立GLB/PackedScene</t>
        </is>
      </c>
      <c r="O10" s="70" t="inlineStr">
        <is>
          <t>assets/art/weapons/weapon_3d/runtime/candy_sniper/wpn_candy_sniper_root_top3d_v001.tscn</t>
        </is>
      </c>
      <c r="P10" s="70" t="inlineStr">
        <is>
          <t>../ShellStorm2-backup/2026-10-11_slimming/original_tree/art_source/weapons/weapon_3d/source/candy_sniper/wpn_candy_sniper_source_v001.blend; src/combat3d/WeaponModel3D.gd</t>
        </is>
      </c>
      <c r="Q10" s="70" t="inlineStr">
        <is>
          <t>bp_sniper; 糖果狙击枪; 握把原点; -Z枪口; 通用挂点; 多巴胺配色</t>
        </is>
      </c>
      <c r="R10" s="57">
        <f>LOWER(TRIM(C10)&amp;"|"&amp;TRIM(D10)&amp;"|"&amp;TRIM(E10)&amp;"|"&amp;TRIM(F10)&amp;"|"&amp;TRIM(H10)&amp;"|"&amp;TRIM(I10))</f>
        <v/>
      </c>
      <c r="S10" s="57">
        <f>IF(COUNTIF($R$6:$R$41,R10)&gt;1,"重复","唯一")</f>
        <v/>
      </c>
      <c r="T10" s="70" t="inlineStr">
        <is>
          <t>a9c319e031c0f30b7404a435de8b5aaf2f5d5e470bd591e7dfbcf2e6ed8f2753</t>
        </is>
      </c>
      <c r="U10" s="70" t="inlineStr">
        <is>
          <t>Codex</t>
        </is>
      </c>
      <c r="V10" s="71" t="n">
        <v>46264</v>
      </c>
      <c r="W10" s="57" t="inlineStr">
        <is>
          <t>用户自制Blender资产</t>
        </is>
      </c>
      <c r="X10" s="72" t="inlineStr">
        <is>
          <t>—</t>
        </is>
      </c>
      <c r="Y10" s="57" t="inlineStr">
        <is>
          <t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3900da0b2425→a9c319e031c0。</t>
        </is>
      </c>
    </row>
    <row r="11" ht="240.25" customHeight="1" s="46">
      <c r="A11" s="70" t="inlineStr">
        <is>
          <t>WPN-GUN-BP-LAUNCHER</t>
        </is>
      </c>
      <c r="B11" s="57" t="inlineStr">
        <is>
          <t>反胃榴弹筒 / 烤面包机造型</t>
        </is>
      </c>
      <c r="C11" s="57" t="inlineStr">
        <is>
          <t>武器</t>
        </is>
      </c>
      <c r="D11" s="70" t="inlineStr">
        <is>
          <t>gunbody</t>
        </is>
      </c>
      <c r="E11" s="70" t="inlineStr">
        <is>
          <t>bp_launcher</t>
        </is>
      </c>
      <c r="F11" s="70" t="inlineStr">
        <is>
          <t>root</t>
        </is>
      </c>
      <c r="G11" s="57" t="n"/>
      <c r="H11" s="57" t="inlineStr">
        <is>
          <t>俯视3D / local -Z 枪口</t>
        </is>
      </c>
      <c r="I11" s="70" t="inlineStr">
        <is>
          <t>default / 标准握把与8类挂点</t>
        </is>
      </c>
      <c r="J11" s="57" t="inlineStr">
        <is>
          <t>手持/背负/地面/UI 共用独立PackedScene</t>
        </is>
      </c>
      <c r="K11" s="57" t="inlineStr">
        <is>
          <t>已完成</t>
        </is>
      </c>
      <c r="L11" s="70" t="inlineStr">
        <is>
          <t>P1</t>
        </is>
      </c>
      <c r="M11" s="70" t="inlineStr">
        <is>
          <t>v001</t>
        </is>
      </c>
      <c r="N11" s="57" t="inlineStr">
        <is>
          <t>握把原点；local -Z枪口；3材质；独立GLB/PackedScene</t>
        </is>
      </c>
      <c r="O11" s="70" t="inlineStr">
        <is>
          <t>assets/art/weapons/weapon_3d/runtime/toaster_launcher/wpn_toaster_launcher_root_top3d_v001.tscn</t>
        </is>
      </c>
      <c r="P11" s="70" t="inlineStr">
        <is>
          <t>../ShellStorm2-backup/2026-10-11_slimming/original_tree/art_source/weapons/weapon_3d/source/toaster_launcher/wpn_toaster_launcher_source_v001.blend; src/combat3d/WeaponModel3D.gd</t>
        </is>
      </c>
      <c r="Q11" s="70" t="inlineStr">
        <is>
          <t>bp_launcher; 烤面包机发射器; 握把原点; -Z枪口; 通用挂点; 多巴胺配色</t>
        </is>
      </c>
      <c r="R11" s="57">
        <f>LOWER(TRIM(C11)&amp;"|"&amp;TRIM(D11)&amp;"|"&amp;TRIM(E11)&amp;"|"&amp;TRIM(F11)&amp;"|"&amp;TRIM(H11)&amp;"|"&amp;TRIM(I11))</f>
        <v/>
      </c>
      <c r="S11" s="57">
        <f>IF(COUNTIF($R$6:$R$41,R11)&gt;1,"重复","唯一")</f>
        <v/>
      </c>
      <c r="T11" s="70" t="inlineStr">
        <is>
          <t>97d05fc29d0ed170225489c8d7282c0065757d557c9bfaa31bd31761f8f67a41</t>
        </is>
      </c>
      <c r="U11" s="70" t="inlineStr">
        <is>
          <t>Codex</t>
        </is>
      </c>
      <c r="V11" s="71" t="n">
        <v>46264</v>
      </c>
      <c r="W11" s="57" t="inlineStr">
        <is>
          <t>用户自制Blender资产</t>
        </is>
      </c>
      <c r="X11" s="72" t="inlineStr">
        <is>
          <t>—</t>
        </is>
      </c>
      <c r="Y11" s="57" t="inlineStr">
        <is>
          <t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461e79fd5256→97d05fc29d0e。</t>
        </is>
      </c>
    </row>
    <row r="12" ht="240.25" customHeight="1" s="46">
      <c r="A12" s="70" t="inlineStr">
        <is>
          <t>WPN-GUN-BP-CHARGE</t>
        </is>
      </c>
      <c r="B12" s="57" t="inlineStr">
        <is>
          <t>蓄力萝卜炮 / 口香糖机造型</t>
        </is>
      </c>
      <c r="C12" s="57" t="inlineStr">
        <is>
          <t>武器</t>
        </is>
      </c>
      <c r="D12" s="70" t="inlineStr">
        <is>
          <t>gunbody</t>
        </is>
      </c>
      <c r="E12" s="70" t="inlineStr">
        <is>
          <t>bp_charge</t>
        </is>
      </c>
      <c r="F12" s="70" t="inlineStr">
        <is>
          <t>root</t>
        </is>
      </c>
      <c r="G12" s="57" t="n"/>
      <c r="H12" s="57" t="inlineStr">
        <is>
          <t>俯视3D / local -Z 枪口</t>
        </is>
      </c>
      <c r="I12" s="70" t="inlineStr">
        <is>
          <t>default / 标准握把与8类挂点</t>
        </is>
      </c>
      <c r="J12" s="57" t="inlineStr">
        <is>
          <t>手持/背负/地面/UI 共用独立PackedScene</t>
        </is>
      </c>
      <c r="K12" s="57" t="inlineStr">
        <is>
          <t>已完成</t>
        </is>
      </c>
      <c r="L12" s="70" t="inlineStr">
        <is>
          <t>P2</t>
        </is>
      </c>
      <c r="M12" s="70" t="inlineStr">
        <is>
          <t>v001</t>
        </is>
      </c>
      <c r="N12" s="57" t="inlineStr">
        <is>
          <t>握把原点；local -Z枪口；3材质；独立GLB/PackedScene</t>
        </is>
      </c>
      <c r="O12" s="70" t="inlineStr">
        <is>
          <t>assets/art/weapons/weapon_3d/runtime/gumball_cannon/wpn_gumball_cannon_root_top3d_v001.tscn</t>
        </is>
      </c>
      <c r="P12" s="70" t="inlineStr">
        <is>
          <t>../ShellStorm2-backup/2026-10-11_slimming/original_tree/art_source/weapons/weapon_3d/source/gumball_cannon/wpn_gumball_cannon_source_v001.blend; src/combat3d/WeaponModel3D.gd</t>
        </is>
      </c>
      <c r="Q12" s="70" t="inlineStr">
        <is>
          <t>bp_charge; 口香糖机加农炮; 握把原点; -Z枪口; 通用挂点; 多巴胺配色</t>
        </is>
      </c>
      <c r="R12" s="57">
        <f>LOWER(TRIM(C12)&amp;"|"&amp;TRIM(D12)&amp;"|"&amp;TRIM(E12)&amp;"|"&amp;TRIM(F12)&amp;"|"&amp;TRIM(H12)&amp;"|"&amp;TRIM(I12))</f>
        <v/>
      </c>
      <c r="S12" s="57">
        <f>IF(COUNTIF($R$6:$R$41,R12)&gt;1,"重复","唯一")</f>
        <v/>
      </c>
      <c r="T12" s="70" t="inlineStr">
        <is>
          <t>1c494d0811ef503c74e8dc61277b307e35db210241b46083a6da7b2121b54cee</t>
        </is>
      </c>
      <c r="U12" s="70" t="inlineStr">
        <is>
          <t>Codex</t>
        </is>
      </c>
      <c r="V12" s="71" t="n">
        <v>46264</v>
      </c>
      <c r="W12" s="57" t="inlineStr">
        <is>
          <t>用户自制Blender资产</t>
        </is>
      </c>
      <c r="X12" s="72" t="inlineStr">
        <is>
          <t>—</t>
        </is>
      </c>
      <c r="Y12" s="57" t="inlineStr">
        <is>
          <t>由18枪合集拆成独立资产；根节点即握把原点，枪口统一local -Z；无需玩家侧逐枪旋转补丁。
2026-08-30 AST-01规范化（原制作状态：正式美术已接入；原大类：枪械）
2026-08-30 AST-02：合法内容更新；文件为Git已跟踪且修改时间不早于原台账日期；验收：verify_weapon_instance_contract_matrix；SHA 94576279e46f→1c494d0811ef。</t>
        </is>
      </c>
    </row>
    <row r="13" ht="62.65" customHeight="1" s="46">
      <c r="A13" s="70" t="inlineStr">
        <is>
          <t>WPN-BUL-MOD-BULLET-STANDARD</t>
        </is>
      </c>
      <c r="B13" s="57" t="inlineStr">
        <is>
          <t>标准子弹模块</t>
        </is>
      </c>
      <c r="C13" s="57" t="inlineStr">
        <is>
          <t>武器</t>
        </is>
      </c>
      <c r="D13" s="70" t="inlineStr">
        <is>
          <t>bullet_module</t>
        </is>
      </c>
      <c r="E13" s="70" t="inlineStr">
        <is>
          <t>mod_bullet_standard</t>
        </is>
      </c>
      <c r="F13" s="70" t="inlineStr">
        <is>
          <t>root</t>
        </is>
      </c>
      <c r="G13" s="57" t="n"/>
      <c r="H13" s="57" t="inlineStr">
        <is>
          <t>底面中心原点；Blender +Z向上，正面-Y；Godot +Y向上、正面+Z</t>
        </is>
      </c>
      <c r="I13" s="70" t="inlineStr">
        <is>
          <t>tier_0_static</t>
        </is>
      </c>
      <c r="J13" s="57" t="inlineStr">
        <is>
          <t>独立物品/配件原始源；后续拾取、库存与武器装配复用</t>
        </is>
      </c>
      <c r="K13" s="57" t="inlineStr">
        <is>
          <t>Blender源已完成</t>
        </is>
      </c>
      <c r="L13" s="70" t="inlineStr">
        <is>
          <t>P1</t>
        </is>
      </c>
      <c r="M13" s="70" t="inlineStr">
        <is>
          <t>v001</t>
        </is>
      </c>
      <c r="N13" s="57" t="inlineStr">
        <is>
          <t>0.3760×0.3760×0.9400m；单位米；根缩放1；场景四材质/公共色盘/PaletteUV；实测快照见asset_contract.json；preview高模；ground 176三角面（100–200预算）</t>
        </is>
      </c>
      <c r="O13" s="57" t="inlineStr">
        <is>
          <t>art_source/items_weapons/weapons/bullet_standard/source/wpn_bullet_standard_source_v001.blend; art_source/items_weapons/weapons/bullet_standard/source/wpn_bullet_standard_ground_source_v001.blend</t>
        </is>
      </c>
      <c r="P13" s="70" t="inlineStr">
        <is>
          <t>src/world3d/ItemModelFactory3D.gd; src/world3d/GroundLootPickup3D.gd; src/combat3d/WeaponModel3D.gd; art_source/items_weapons/weapons/bullet_standard/asset_contract.json</t>
        </is>
      </c>
      <c r="Q13" s="57" t="inlineStr">
        <is>
          <t>mod_bullet_standard;标准子弹模块</t>
        </is>
      </c>
      <c r="R13" s="57">
        <f>LOWER(TRIM(C13)&amp;"|"&amp;TRIM(D13)&amp;"|"&amp;TRIM(E13)&amp;"|"&amp;TRIM(F13)&amp;"|"&amp;TRIM(H13)&amp;"|"&amp;TRIM(I13))</f>
        <v/>
      </c>
      <c r="S13" s="57">
        <f>IF(COUNTIF($R$6:$R$41,R13)&gt;1,"重复","唯一")</f>
        <v/>
      </c>
      <c r="T13" s="57" t="inlineStr">
        <is>
          <t>9c1f7ffa3a57dc6b2bfedbb10ccb1d023df98c7761ea42f9eb00aa729958bb5e</t>
        </is>
      </c>
      <c r="U13" s="57" t="inlineStr">
        <is>
          <t>Codex</t>
        </is>
      </c>
      <c r="V13" s="71" t="n">
        <v>46309</v>
      </c>
      <c r="W13" s="57" t="inlineStr">
        <is>
          <t>用户提供参考图重建；项目公共色盘</t>
        </is>
      </c>
      <c r="X13" s="72" t="inlineStr">
        <is>
          <t>WPN_标准子弹模块_中文资产管理</t>
        </is>
      </c>
      <c r="Y13" s="57" t="inlineStr">
        <is>
          <t>2026-10-14 用户参考图制作；Godot物品工厂/拾取实体/配件挂点实测后冻结主轴尺寸，其余轴按图等比。仅Blender原始源；未导出GLB、未导入Godot；运行时仍用现有占位。 双模型源：preview=3368三角；ground=176三角；地面源SHA256=183bdba5012c84457782d224b2cc6e871af09e3d126187f665497d98a8ca89cd；高模哈希保持；未接入运行时。</t>
        </is>
      </c>
    </row>
    <row r="14" ht="62.65" customHeight="1" s="46">
      <c r="A14" s="70" t="inlineStr">
        <is>
          <t>WPN-BUL-MOD-BULLET-STICKY</t>
        </is>
      </c>
      <c r="B14" s="57" t="inlineStr">
        <is>
          <t>黏黏弹</t>
        </is>
      </c>
      <c r="C14" s="57" t="inlineStr">
        <is>
          <t>武器</t>
        </is>
      </c>
      <c r="D14" s="70" t="inlineStr">
        <is>
          <t>bullet_module</t>
        </is>
      </c>
      <c r="E14" s="70" t="inlineStr">
        <is>
          <t>mod_bullet_sticky</t>
        </is>
      </c>
      <c r="F14" s="70" t="inlineStr">
        <is>
          <t>root</t>
        </is>
      </c>
      <c r="G14" s="57" t="n"/>
      <c r="H14" s="57" t="inlineStr">
        <is>
          <t>顶视/方向无关</t>
        </is>
      </c>
      <c r="I14" s="70" t="inlineStr">
        <is>
          <t>default</t>
        </is>
      </c>
      <c r="J14" s="57" t="inlineStr">
        <is>
          <t>弹体/VFX/UI 图标</t>
        </is>
      </c>
      <c r="K14" s="57" t="inlineStr">
        <is>
          <t>程序占位</t>
        </is>
      </c>
      <c r="L14" s="70" t="inlineStr">
        <is>
          <t>P1</t>
        </is>
      </c>
      <c r="M14" s="70" t="inlineStr">
        <is>
          <t>v001</t>
        </is>
      </c>
      <c r="N14" s="57" t="inlineStr">
        <is>
          <t>建议 12×12 px</t>
        </is>
      </c>
      <c r="O14" s="57" t="n"/>
      <c r="P14" s="70" t="inlineStr">
        <is>
          <t>src/base/BlueprintRegistry.gd</t>
        </is>
      </c>
      <c r="Q14" s="57" t="n"/>
      <c r="R14" s="57">
        <f>LOWER(TRIM(C14)&amp;"|"&amp;TRIM(D14)&amp;"|"&amp;TRIM(E14)&amp;"|"&amp;TRIM(F14)&amp;"|"&amp;TRIM(H14)&amp;"|"&amp;TRIM(I14))</f>
        <v/>
      </c>
      <c r="S14" s="57">
        <f>IF(COUNTIF($R$6:$R$41,R14)&gt;1,"重复","唯一")</f>
        <v/>
      </c>
      <c r="T14" s="57" t="n"/>
      <c r="U14" s="57" t="inlineStr">
        <is>
          <t>待分配</t>
        </is>
      </c>
      <c r="V14" s="71" t="n">
        <v>46224</v>
      </c>
      <c r="W14" s="57" t="inlineStr">
        <is>
          <t>原创/待确认</t>
        </is>
      </c>
      <c r="X14" s="72" t="inlineStr">
        <is>
          <t>—</t>
        </is>
      </c>
      <c r="Y14" s="57" t="inlineStr">
        <is>
          <t>优先复用颜色和弹道特效，不为每把枪重复制作
2026-08-30 AST-01规范化（原大类：枪械）</t>
        </is>
      </c>
    </row>
    <row r="15" ht="62.65" customHeight="1" s="46">
      <c r="A15" s="70" t="inlineStr">
        <is>
          <t>WPN-BUL-MOD-BULLET-BOUNCE</t>
        </is>
      </c>
      <c r="B15" s="57" t="inlineStr">
        <is>
          <t>回旋镖弹</t>
        </is>
      </c>
      <c r="C15" s="57" t="inlineStr">
        <is>
          <t>武器</t>
        </is>
      </c>
      <c r="D15" s="70" t="inlineStr">
        <is>
          <t>bullet_module</t>
        </is>
      </c>
      <c r="E15" s="70" t="inlineStr">
        <is>
          <t>mod_bullet_bounce</t>
        </is>
      </c>
      <c r="F15" s="70" t="inlineStr">
        <is>
          <t>root</t>
        </is>
      </c>
      <c r="G15" s="57" t="n"/>
      <c r="H15" s="57" t="inlineStr">
        <is>
          <t>顶视/方向无关</t>
        </is>
      </c>
      <c r="I15" s="70" t="inlineStr">
        <is>
          <t>default</t>
        </is>
      </c>
      <c r="J15" s="57" t="inlineStr">
        <is>
          <t>弹体/VFX/UI 图标</t>
        </is>
      </c>
      <c r="K15" s="57" t="inlineStr">
        <is>
          <t>程序占位</t>
        </is>
      </c>
      <c r="L15" s="70" t="inlineStr">
        <is>
          <t>P1</t>
        </is>
      </c>
      <c r="M15" s="70" t="inlineStr">
        <is>
          <t>v001</t>
        </is>
      </c>
      <c r="N15" s="57" t="inlineStr">
        <is>
          <t>建议 12×12 px</t>
        </is>
      </c>
      <c r="O15" s="57" t="n"/>
      <c r="P15" s="70" t="inlineStr">
        <is>
          <t>src/base/BlueprintRegistry.gd</t>
        </is>
      </c>
      <c r="Q15" s="57" t="n"/>
      <c r="R15" s="57">
        <f>LOWER(TRIM(C15)&amp;"|"&amp;TRIM(D15)&amp;"|"&amp;TRIM(E15)&amp;"|"&amp;TRIM(F15)&amp;"|"&amp;TRIM(H15)&amp;"|"&amp;TRIM(I15))</f>
        <v/>
      </c>
      <c r="S15" s="57">
        <f>IF(COUNTIF($R$6:$R$41,R15)&gt;1,"重复","唯一")</f>
        <v/>
      </c>
      <c r="T15" s="57" t="n"/>
      <c r="U15" s="57" t="inlineStr">
        <is>
          <t>待分配</t>
        </is>
      </c>
      <c r="V15" s="71" t="n">
        <v>46224</v>
      </c>
      <c r="W15" s="57" t="inlineStr">
        <is>
          <t>原创/待确认</t>
        </is>
      </c>
      <c r="X15" s="72" t="inlineStr">
        <is>
          <t>—</t>
        </is>
      </c>
      <c r="Y15" s="57" t="inlineStr">
        <is>
          <t>优先复用颜色和弹道特效，不为每把枪重复制作
2026-08-30 AST-01规范化（原大类：枪械）</t>
        </is>
      </c>
    </row>
    <row r="16" ht="62.65" customHeight="1" s="46">
      <c r="A16" s="70" t="inlineStr">
        <is>
          <t>WPN-BUL-MOD-BULLET-PIERCING</t>
        </is>
      </c>
      <c r="B16" s="57" t="inlineStr">
        <is>
          <t>穿甲弹</t>
        </is>
      </c>
      <c r="C16" s="57" t="inlineStr">
        <is>
          <t>武器</t>
        </is>
      </c>
      <c r="D16" s="70" t="inlineStr">
        <is>
          <t>bullet_module</t>
        </is>
      </c>
      <c r="E16" s="70" t="inlineStr">
        <is>
          <t>mod_bullet_piercing</t>
        </is>
      </c>
      <c r="F16" s="70" t="inlineStr">
        <is>
          <t>root</t>
        </is>
      </c>
      <c r="G16" s="57" t="n"/>
      <c r="H16" s="57" t="inlineStr">
        <is>
          <t>顶视/方向无关</t>
        </is>
      </c>
      <c r="I16" s="70" t="inlineStr">
        <is>
          <t>default</t>
        </is>
      </c>
      <c r="J16" s="57" t="inlineStr">
        <is>
          <t>弹体/VFX/UI 图标</t>
        </is>
      </c>
      <c r="K16" s="57" t="inlineStr">
        <is>
          <t>程序占位</t>
        </is>
      </c>
      <c r="L16" s="70" t="inlineStr">
        <is>
          <t>P1</t>
        </is>
      </c>
      <c r="M16" s="70" t="inlineStr">
        <is>
          <t>v001</t>
        </is>
      </c>
      <c r="N16" s="57" t="inlineStr">
        <is>
          <t>建议 12×12 px</t>
        </is>
      </c>
      <c r="O16" s="57" t="n"/>
      <c r="P16" s="70" t="inlineStr">
        <is>
          <t>src/base/BlueprintRegistry.gd</t>
        </is>
      </c>
      <c r="Q16" s="57" t="n"/>
      <c r="R16" s="57">
        <f>LOWER(TRIM(C16)&amp;"|"&amp;TRIM(D16)&amp;"|"&amp;TRIM(E16)&amp;"|"&amp;TRIM(F16)&amp;"|"&amp;TRIM(H16)&amp;"|"&amp;TRIM(I16))</f>
        <v/>
      </c>
      <c r="S16" s="57">
        <f>IF(COUNTIF($R$6:$R$41,R16)&gt;1,"重复","唯一")</f>
        <v/>
      </c>
      <c r="T16" s="57" t="n"/>
      <c r="U16" s="57" t="inlineStr">
        <is>
          <t>待分配</t>
        </is>
      </c>
      <c r="V16" s="71" t="n">
        <v>46224</v>
      </c>
      <c r="W16" s="57" t="inlineStr">
        <is>
          <t>原创/待确认</t>
        </is>
      </c>
      <c r="X16" s="72" t="inlineStr">
        <is>
          <t>—</t>
        </is>
      </c>
      <c r="Y16" s="57" t="inlineStr">
        <is>
          <t>优先复用颜色和弹道特效，不为每把枪重复制作
2026-08-30 AST-01规范化（原大类：枪械）</t>
        </is>
      </c>
    </row>
    <row r="17" ht="62.65" customHeight="1" s="46">
      <c r="A17" s="70" t="inlineStr">
        <is>
          <t>WPN-BUL-MOD-BULLET-EXPLOSIVE</t>
        </is>
      </c>
      <c r="B17" s="57" t="inlineStr">
        <is>
          <t>爆炸弹</t>
        </is>
      </c>
      <c r="C17" s="57" t="inlineStr">
        <is>
          <t>武器</t>
        </is>
      </c>
      <c r="D17" s="70" t="inlineStr">
        <is>
          <t>bullet_module</t>
        </is>
      </c>
      <c r="E17" s="70" t="inlineStr">
        <is>
          <t>mod_bullet_explosive</t>
        </is>
      </c>
      <c r="F17" s="70" t="inlineStr">
        <is>
          <t>root</t>
        </is>
      </c>
      <c r="G17" s="57" t="n"/>
      <c r="H17" s="57" t="inlineStr">
        <is>
          <t>顶视/方向无关</t>
        </is>
      </c>
      <c r="I17" s="70" t="inlineStr">
        <is>
          <t>default</t>
        </is>
      </c>
      <c r="J17" s="57" t="inlineStr">
        <is>
          <t>弹体/VFX/UI 图标</t>
        </is>
      </c>
      <c r="K17" s="57" t="inlineStr">
        <is>
          <t>程序占位</t>
        </is>
      </c>
      <c r="L17" s="70" t="inlineStr">
        <is>
          <t>P1</t>
        </is>
      </c>
      <c r="M17" s="70" t="inlineStr">
        <is>
          <t>v001</t>
        </is>
      </c>
      <c r="N17" s="57" t="inlineStr">
        <is>
          <t>建议 12×12 px</t>
        </is>
      </c>
      <c r="O17" s="57" t="n"/>
      <c r="P17" s="70" t="inlineStr">
        <is>
          <t>src/base/BlueprintRegistry.gd</t>
        </is>
      </c>
      <c r="Q17" s="57" t="n"/>
      <c r="R17" s="57">
        <f>LOWER(TRIM(C17)&amp;"|"&amp;TRIM(D17)&amp;"|"&amp;TRIM(E17)&amp;"|"&amp;TRIM(F17)&amp;"|"&amp;TRIM(H17)&amp;"|"&amp;TRIM(I17))</f>
        <v/>
      </c>
      <c r="S17" s="57">
        <f>IF(COUNTIF($R$6:$R$41,R17)&gt;1,"重复","唯一")</f>
        <v/>
      </c>
      <c r="T17" s="57" t="n"/>
      <c r="U17" s="57" t="inlineStr">
        <is>
          <t>待分配</t>
        </is>
      </c>
      <c r="V17" s="71" t="n">
        <v>46224</v>
      </c>
      <c r="W17" s="57" t="inlineStr">
        <is>
          <t>原创/待确认</t>
        </is>
      </c>
      <c r="X17" s="72" t="inlineStr">
        <is>
          <t>—</t>
        </is>
      </c>
      <c r="Y17" s="57" t="inlineStr">
        <is>
          <t>优先复用颜色和弹道特效，不为每把枪重复制作
2026-08-30 AST-01规范化（原大类：枪械）</t>
        </is>
      </c>
    </row>
    <row r="18" ht="62.65" customHeight="1" s="46">
      <c r="A18" s="70" t="inlineStr">
        <is>
          <t>WPN-BUL-MOD-BULLET-HOMING</t>
        </is>
      </c>
      <c r="B18" s="57" t="inlineStr">
        <is>
          <t>蜂卵弹</t>
        </is>
      </c>
      <c r="C18" s="57" t="inlineStr">
        <is>
          <t>武器</t>
        </is>
      </c>
      <c r="D18" s="70" t="inlineStr">
        <is>
          <t>bullet_module</t>
        </is>
      </c>
      <c r="E18" s="70" t="inlineStr">
        <is>
          <t>mod_bullet_homing</t>
        </is>
      </c>
      <c r="F18" s="70" t="inlineStr">
        <is>
          <t>root</t>
        </is>
      </c>
      <c r="G18" s="57" t="n"/>
      <c r="H18" s="57" t="inlineStr">
        <is>
          <t>顶视/方向无关</t>
        </is>
      </c>
      <c r="I18" s="70" t="inlineStr">
        <is>
          <t>default</t>
        </is>
      </c>
      <c r="J18" s="57" t="inlineStr">
        <is>
          <t>弹体/VFX/UI 图标</t>
        </is>
      </c>
      <c r="K18" s="57" t="inlineStr">
        <is>
          <t>程序占位</t>
        </is>
      </c>
      <c r="L18" s="70" t="inlineStr">
        <is>
          <t>P1</t>
        </is>
      </c>
      <c r="M18" s="70" t="inlineStr">
        <is>
          <t>v001</t>
        </is>
      </c>
      <c r="N18" s="57" t="inlineStr">
        <is>
          <t>建议 12×12 px</t>
        </is>
      </c>
      <c r="O18" s="57" t="n"/>
      <c r="P18" s="70" t="inlineStr">
        <is>
          <t>src/base/BlueprintRegistry.gd</t>
        </is>
      </c>
      <c r="Q18" s="57" t="n"/>
      <c r="R18" s="57">
        <f>LOWER(TRIM(C18)&amp;"|"&amp;TRIM(D18)&amp;"|"&amp;TRIM(E18)&amp;"|"&amp;TRIM(F18)&amp;"|"&amp;TRIM(H18)&amp;"|"&amp;TRIM(I18))</f>
        <v/>
      </c>
      <c r="S18" s="57">
        <f>IF(COUNTIF($R$6:$R$41,R18)&gt;1,"重复","唯一")</f>
        <v/>
      </c>
      <c r="T18" s="57" t="n"/>
      <c r="U18" s="57" t="inlineStr">
        <is>
          <t>待分配</t>
        </is>
      </c>
      <c r="V18" s="71" t="n">
        <v>46224</v>
      </c>
      <c r="W18" s="57" t="inlineStr">
        <is>
          <t>原创/待确认</t>
        </is>
      </c>
      <c r="X18" s="72" t="inlineStr">
        <is>
          <t>—</t>
        </is>
      </c>
      <c r="Y18" s="57" t="inlineStr">
        <is>
          <t>优先复用颜色和弹道特效，不为每把枪重复制作
2026-08-30 AST-01规范化（原大类：枪械）</t>
        </is>
      </c>
    </row>
    <row r="19" ht="62.65" customHeight="1" s="46">
      <c r="A19" s="70" t="inlineStr">
        <is>
          <t>WPN-BUL-MOD-BULLET-BLACKHOLE</t>
        </is>
      </c>
      <c r="B19" s="57" t="inlineStr">
        <is>
          <t>黑洞弹</t>
        </is>
      </c>
      <c r="C19" s="57" t="inlineStr">
        <is>
          <t>武器</t>
        </is>
      </c>
      <c r="D19" s="70" t="inlineStr">
        <is>
          <t>bullet_module</t>
        </is>
      </c>
      <c r="E19" s="70" t="inlineStr">
        <is>
          <t>mod_bullet_blackhole</t>
        </is>
      </c>
      <c r="F19" s="70" t="inlineStr">
        <is>
          <t>root</t>
        </is>
      </c>
      <c r="G19" s="57" t="n"/>
      <c r="H19" s="57" t="inlineStr">
        <is>
          <t>顶视/方向无关</t>
        </is>
      </c>
      <c r="I19" s="70" t="inlineStr">
        <is>
          <t>default</t>
        </is>
      </c>
      <c r="J19" s="57" t="inlineStr">
        <is>
          <t>弹体/VFX/UI 图标</t>
        </is>
      </c>
      <c r="K19" s="57" t="inlineStr">
        <is>
          <t>程序占位</t>
        </is>
      </c>
      <c r="L19" s="70" t="inlineStr">
        <is>
          <t>P1</t>
        </is>
      </c>
      <c r="M19" s="70" t="inlineStr">
        <is>
          <t>v001</t>
        </is>
      </c>
      <c r="N19" s="57" t="inlineStr">
        <is>
          <t>建议 12×12 px</t>
        </is>
      </c>
      <c r="O19" s="57" t="n"/>
      <c r="P19" s="70" t="inlineStr">
        <is>
          <t>src/base/BlueprintRegistry.gd</t>
        </is>
      </c>
      <c r="Q19" s="57" t="n"/>
      <c r="R19" s="57">
        <f>LOWER(TRIM(C19)&amp;"|"&amp;TRIM(D19)&amp;"|"&amp;TRIM(E19)&amp;"|"&amp;TRIM(F19)&amp;"|"&amp;TRIM(H19)&amp;"|"&amp;TRIM(I19))</f>
        <v/>
      </c>
      <c r="S19" s="57">
        <f>IF(COUNTIF($R$6:$R$41,R19)&gt;1,"重复","唯一")</f>
        <v/>
      </c>
      <c r="T19" s="57" t="n"/>
      <c r="U19" s="57" t="inlineStr">
        <is>
          <t>待分配</t>
        </is>
      </c>
      <c r="V19" s="71" t="n">
        <v>46224</v>
      </c>
      <c r="W19" s="57" t="inlineStr">
        <is>
          <t>原创/待确认</t>
        </is>
      </c>
      <c r="X19" s="72" t="inlineStr">
        <is>
          <t>—</t>
        </is>
      </c>
      <c r="Y19" s="57" t="inlineStr">
        <is>
          <t>优先复用颜色和弹道特效，不为每把枪重复制作
2026-08-30 AST-01规范化（原大类：枪械）</t>
        </is>
      </c>
    </row>
    <row r="20" ht="62.65" customHeight="1" s="46">
      <c r="A20" s="70" t="inlineStr">
        <is>
          <t>WPN-BUL-MOD-BULLET-BALLOON</t>
        </is>
      </c>
      <c r="B20" s="57" t="inlineStr">
        <is>
          <t>气球弹</t>
        </is>
      </c>
      <c r="C20" s="57" t="inlineStr">
        <is>
          <t>武器</t>
        </is>
      </c>
      <c r="D20" s="70" t="inlineStr">
        <is>
          <t>bullet_module</t>
        </is>
      </c>
      <c r="E20" s="70" t="inlineStr">
        <is>
          <t>mod_bullet_balloon</t>
        </is>
      </c>
      <c r="F20" s="70" t="inlineStr">
        <is>
          <t>root</t>
        </is>
      </c>
      <c r="G20" s="57" t="n"/>
      <c r="H20" s="57" t="inlineStr">
        <is>
          <t>顶视/方向无关</t>
        </is>
      </c>
      <c r="I20" s="70" t="inlineStr">
        <is>
          <t>default</t>
        </is>
      </c>
      <c r="J20" s="57" t="inlineStr">
        <is>
          <t>弹体/VFX/UI 图标</t>
        </is>
      </c>
      <c r="K20" s="57" t="inlineStr">
        <is>
          <t>程序占位</t>
        </is>
      </c>
      <c r="L20" s="70" t="inlineStr">
        <is>
          <t>P1</t>
        </is>
      </c>
      <c r="M20" s="70" t="inlineStr">
        <is>
          <t>v001</t>
        </is>
      </c>
      <c r="N20" s="57" t="inlineStr">
        <is>
          <t>建议 12×12 px</t>
        </is>
      </c>
      <c r="O20" s="57" t="n"/>
      <c r="P20" s="70" t="inlineStr">
        <is>
          <t>src/base/BlueprintRegistry.gd</t>
        </is>
      </c>
      <c r="Q20" s="57" t="n"/>
      <c r="R20" s="57">
        <f>LOWER(TRIM(C20)&amp;"|"&amp;TRIM(D20)&amp;"|"&amp;TRIM(E20)&amp;"|"&amp;TRIM(F20)&amp;"|"&amp;TRIM(H20)&amp;"|"&amp;TRIM(I20))</f>
        <v/>
      </c>
      <c r="S20" s="57">
        <f>IF(COUNTIF($R$6:$R$41,R20)&gt;1,"重复","唯一")</f>
        <v/>
      </c>
      <c r="T20" s="57" t="n"/>
      <c r="U20" s="57" t="inlineStr">
        <is>
          <t>待分配</t>
        </is>
      </c>
      <c r="V20" s="71" t="n">
        <v>46224</v>
      </c>
      <c r="W20" s="57" t="inlineStr">
        <is>
          <t>原创/待确认</t>
        </is>
      </c>
      <c r="X20" s="72" t="inlineStr">
        <is>
          <t>—</t>
        </is>
      </c>
      <c r="Y20" s="57" t="inlineStr">
        <is>
          <t>优先复用颜色和弹道特效，不为每把枪重复制作
2026-08-30 AST-01规范化（原大类：枪械）</t>
        </is>
      </c>
    </row>
    <row r="21" ht="52.2" customHeight="1" s="46">
      <c r="A21" s="70" t="inlineStr">
        <is>
          <t>WPN-ATT-ATTACH-TRIPLE-MUZZLE</t>
        </is>
      </c>
      <c r="B21" s="57" t="inlineStr">
        <is>
          <t>三叉枪口</t>
        </is>
      </c>
      <c r="C21" s="57" t="inlineStr">
        <is>
          <t>武器</t>
        </is>
      </c>
      <c r="D21" s="70" t="inlineStr">
        <is>
          <t>attachment</t>
        </is>
      </c>
      <c r="E21" s="70" t="inlineStr">
        <is>
          <t>attach_triple_muzzle</t>
        </is>
      </c>
      <c r="F21" s="70" t="inlineStr">
        <is>
          <t>root</t>
        </is>
      </c>
      <c r="G21" s="57" t="n"/>
      <c r="H21" s="57" t="inlineStr">
        <is>
          <t>挂点中心原点；Blender +Y 对应 Godot -Z 枪口，+Z向上</t>
        </is>
      </c>
      <c r="I21" s="70" t="inlineStr">
        <is>
          <t>tier_0_static</t>
        </is>
      </c>
      <c r="J21" s="57" t="inlineStr">
        <is>
          <t>独立物品/配件原始源；后续拾取、库存与武器装配复用</t>
        </is>
      </c>
      <c r="K21" s="57" t="inlineStr">
        <is>
          <t>Blender源已完成</t>
        </is>
      </c>
      <c r="L21" s="70" t="inlineStr">
        <is>
          <t>P2</t>
        </is>
      </c>
      <c r="M21" s="70" t="inlineStr">
        <is>
          <t>v001</t>
        </is>
      </c>
      <c r="N21" s="57" t="inlineStr">
        <is>
          <t>0.1404×0.1600×0.1460m；单位米；根缩放1；场景四材质/公共色盘/PaletteUV；实测快照见asset_contract.json；preview高模；ground 198三角面（100–200预算）</t>
        </is>
      </c>
      <c r="O21" s="57" t="inlineStr">
        <is>
          <t>art_source/items_weapons/weapons/triple_muzzle/source/wpn_triple_muzzle_source_v001.blend; art_source/items_weapons/weapons/triple_muzzle/source/wpn_triple_muzzle_ground_source_v001.blend</t>
        </is>
      </c>
      <c r="P21" s="70" t="inlineStr">
        <is>
          <t>src/world3d/ItemModelFactory3D.gd; src/world3d/GroundLootPickup3D.gd; src/combat3d/WeaponModel3D.gd; art_source/items_weapons/weapons/triple_muzzle/asset_contract.json</t>
        </is>
      </c>
      <c r="Q21" s="57" t="inlineStr">
        <is>
          <t>attach_triple_muzzle;三叉枪口</t>
        </is>
      </c>
      <c r="R21" s="57">
        <f>LOWER(TRIM(C21)&amp;"|"&amp;TRIM(D21)&amp;"|"&amp;TRIM(E21)&amp;"|"&amp;TRIM(F21)&amp;"|"&amp;TRIM(H21)&amp;"|"&amp;TRIM(I21))</f>
        <v/>
      </c>
      <c r="S21" s="57">
        <f>IF(COUNTIF($R$6:$R$41,R21)&gt;1,"重复","唯一")</f>
        <v/>
      </c>
      <c r="T21" s="57" t="inlineStr">
        <is>
          <t>53871c61c511ac2ac41685bcc65e765b591b5cbcd7880d3685cacf545cdd94c5</t>
        </is>
      </c>
      <c r="U21" s="57" t="inlineStr">
        <is>
          <t>Codex</t>
        </is>
      </c>
      <c r="V21" s="71" t="n">
        <v>46309</v>
      </c>
      <c r="W21" s="57" t="inlineStr">
        <is>
          <t>用户提供参考图重建；项目公共色盘</t>
        </is>
      </c>
      <c r="X21" s="72" t="inlineStr">
        <is>
          <t>WPN_三叉枪口_中文资产管理</t>
        </is>
      </c>
      <c r="Y21" s="57" t="inlineStr">
        <is>
          <t>2026-10-14 用户参考图制作；Godot物品工厂/拾取实体/配件挂点实测后冻结主轴尺寸，其余轴按图等比。仅Blender原始源；未导出GLB、未导入Godot；运行时仍用现有占位。 双模型源：preview=7820三角；ground=198三角；地面源SHA256=3fba4ba572c107b080cb05289d21f8d5f6ae778776f7587ffa998222bdf7c293；高模哈希保持；未接入运行时。</t>
        </is>
      </c>
    </row>
    <row r="22" ht="52.2" customHeight="1" s="46">
      <c r="A22" s="70" t="inlineStr">
        <is>
          <t>WPN-ATT-ATTACH-RUBBER-STOCK</t>
        </is>
      </c>
      <c r="B22" s="57" t="inlineStr">
        <is>
          <t>橡皮枪托</t>
        </is>
      </c>
      <c r="C22" s="57" t="inlineStr">
        <is>
          <t>武器</t>
        </is>
      </c>
      <c r="D22" s="70" t="inlineStr">
        <is>
          <t>attachment</t>
        </is>
      </c>
      <c r="E22" s="70" t="inlineStr">
        <is>
          <t>attach_rubber_stock</t>
        </is>
      </c>
      <c r="F22" s="70" t="inlineStr">
        <is>
          <t>root</t>
        </is>
      </c>
      <c r="G22" s="57" t="n"/>
      <c r="H22" s="57" t="inlineStr">
        <is>
          <t>挂点中心原点；Blender +Y 对应 Godot -Z 枪口，+Z向上</t>
        </is>
      </c>
      <c r="I22" s="70" t="inlineStr">
        <is>
          <t>tier_0_static</t>
        </is>
      </c>
      <c r="J22" s="57" t="inlineStr">
        <is>
          <t>独立物品/配件原始源；后续拾取、库存与武器装配复用</t>
        </is>
      </c>
      <c r="K22" s="57" t="inlineStr">
        <is>
          <t>Blender源已完成</t>
        </is>
      </c>
      <c r="L22" s="70" t="inlineStr">
        <is>
          <t>P2</t>
        </is>
      </c>
      <c r="M22" s="70" t="inlineStr">
        <is>
          <t>v001</t>
        </is>
      </c>
      <c r="N22" s="57" t="inlineStr">
        <is>
          <t>0.1246×0.3200×0.2222m；单位米；根缩放1；场景四材质/公共色盘/PaletteUV；实测快照见asset_contract.json；preview高模；ground 145三角面（100–200预算）</t>
        </is>
      </c>
      <c r="O22" s="57" t="inlineStr">
        <is>
          <t>art_source/items_weapons/weapons/rubber_stock/source/wpn_rubber_stock_source_v001.blend; art_source/items_weapons/weapons/rubber_stock/source/wpn_rubber_stock_ground_source_v001.blend</t>
        </is>
      </c>
      <c r="P22" s="70" t="inlineStr">
        <is>
          <t>src/world3d/ItemModelFactory3D.gd; src/world3d/GroundLootPickup3D.gd; src/combat3d/WeaponModel3D.gd; art_source/items_weapons/weapons/rubber_stock/asset_contract.json</t>
        </is>
      </c>
      <c r="Q22" s="57" t="inlineStr">
        <is>
          <t>attach_rubber_stock;橡皮枪托</t>
        </is>
      </c>
      <c r="R22" s="57">
        <f>LOWER(TRIM(C22)&amp;"|"&amp;TRIM(D22)&amp;"|"&amp;TRIM(E22)&amp;"|"&amp;TRIM(F22)&amp;"|"&amp;TRIM(H22)&amp;"|"&amp;TRIM(I22))</f>
        <v/>
      </c>
      <c r="S22" s="57">
        <f>IF(COUNTIF($R$6:$R$41,R22)&gt;1,"重复","唯一")</f>
        <v/>
      </c>
      <c r="T22" s="57" t="inlineStr">
        <is>
          <t>f1cf82e20b7c1a481dfe979503bc3f98fd9566cac09ede315ba238ab9a6c90bb</t>
        </is>
      </c>
      <c r="U22" s="57" t="inlineStr">
        <is>
          <t>Codex</t>
        </is>
      </c>
      <c r="V22" s="71" t="n">
        <v>46309</v>
      </c>
      <c r="W22" s="57" t="inlineStr">
        <is>
          <t>用户提供参考图重建；项目公共色盘</t>
        </is>
      </c>
      <c r="X22" s="72" t="inlineStr">
        <is>
          <t>WPN_橡皮枪托_中文资产管理</t>
        </is>
      </c>
      <c r="Y22" s="57" t="inlineStr">
        <is>
          <t>2026-10-14 用户参考图制作；Godot物品工厂/拾取实体/配件挂点实测后冻结主轴尺寸，其余轴按图等比。仅Blender原始源；未导出GLB、未导入Godot；运行时仍用现有占位。 双模型源：preview=20732三角；ground=145三角；地面源SHA256=4e4a906492d9eb1f79bfd5e756991584422fd30664dd502a25cfe542436791d7；高模哈希保持；未接入运行时。</t>
        </is>
      </c>
    </row>
    <row r="23" ht="52.2" customHeight="1" s="46">
      <c r="A23" s="70" t="inlineStr">
        <is>
          <t>WPN-ATT-ATTACH-SCOPE</t>
        </is>
      </c>
      <c r="B23" s="57" t="inlineStr">
        <is>
          <t>放大镜瞄具</t>
        </is>
      </c>
      <c r="C23" s="57" t="inlineStr">
        <is>
          <t>武器</t>
        </is>
      </c>
      <c r="D23" s="70" t="inlineStr">
        <is>
          <t>attachment</t>
        </is>
      </c>
      <c r="E23" s="70" t="inlineStr">
        <is>
          <t>attach_scope</t>
        </is>
      </c>
      <c r="F23" s="70" t="inlineStr">
        <is>
          <t>root</t>
        </is>
      </c>
      <c r="G23" s="57" t="n"/>
      <c r="H23" s="57" t="inlineStr">
        <is>
          <t>挂点中心原点；Blender +Y 对应 Godot -Z 枪口，+Z向上</t>
        </is>
      </c>
      <c r="I23" s="70" t="inlineStr">
        <is>
          <t>tier_0_static</t>
        </is>
      </c>
      <c r="J23" s="57" t="inlineStr">
        <is>
          <t>独立物品/配件原始源；后续拾取、库存与武器装配复用</t>
        </is>
      </c>
      <c r="K23" s="57" t="inlineStr">
        <is>
          <t>Blender源已完成</t>
        </is>
      </c>
      <c r="L23" s="70" t="inlineStr">
        <is>
          <t>P2</t>
        </is>
      </c>
      <c r="M23" s="70" t="inlineStr">
        <is>
          <t>v001</t>
        </is>
      </c>
      <c r="N23" s="57" t="inlineStr">
        <is>
          <t>0.1346×0.2800×0.1806m；单位米；根缩放1；场景四材质/公共色盘/PaletteUV；实测快照见asset_contract.json；preview高模；ground 198三角面（100–200预算）</t>
        </is>
      </c>
      <c r="O23" s="57" t="inlineStr">
        <is>
          <t>art_source/items_weapons/weapons/scope/source/wpn_scope_source_v001.blend; art_source/items_weapons/weapons/scope/source/wpn_scope_ground_source_v001.blend</t>
        </is>
      </c>
      <c r="P23" s="70" t="inlineStr">
        <is>
          <t>src/world3d/ItemModelFactory3D.gd; src/world3d/GroundLootPickup3D.gd; src/combat3d/WeaponModel3D.gd; art_source/items_weapons/weapons/scope/asset_contract.json</t>
        </is>
      </c>
      <c r="Q23" s="57" t="inlineStr">
        <is>
          <t>attach_scope;放大镜瞄具</t>
        </is>
      </c>
      <c r="R23" s="57">
        <f>LOWER(TRIM(C23)&amp;"|"&amp;TRIM(D23)&amp;"|"&amp;TRIM(E23)&amp;"|"&amp;TRIM(F23)&amp;"|"&amp;TRIM(H23)&amp;"|"&amp;TRIM(I23))</f>
        <v/>
      </c>
      <c r="S23" s="57">
        <f>IF(COUNTIF($R$6:$R$41,R23)&gt;1,"重复","唯一")</f>
        <v/>
      </c>
      <c r="T23" s="57" t="inlineStr">
        <is>
          <t>6c4244348bb117f35a862187503ab5577be801b5f1dd00e72bcb17c095274b95</t>
        </is>
      </c>
      <c r="U23" s="57" t="inlineStr">
        <is>
          <t>Codex</t>
        </is>
      </c>
      <c r="V23" s="71" t="n">
        <v>46309</v>
      </c>
      <c r="W23" s="57" t="inlineStr">
        <is>
          <t>用户提供参考图重建；项目公共色盘</t>
        </is>
      </c>
      <c r="X23" s="72" t="inlineStr">
        <is>
          <t>WPN_放大镜瞄具_中文资产管理</t>
        </is>
      </c>
      <c r="Y23" s="57" t="inlineStr">
        <is>
          <t>2026-10-14 用户参考图制作；Godot物品工厂/拾取实体/配件挂点实测后冻结主轴尺寸，其余轴按图等比。仅Blender原始源；未导出GLB、未导入Godot；运行时仍用现有占位。 双模型源：preview=9044三角；ground=198三角；地面源SHA256=a6ebf1f74d67fb2ee77f1be0bc5442fe1d74d1058826c6cf4d0a43d3f9b9e138；高模哈希保持；未接入运行时。</t>
        </is>
      </c>
    </row>
    <row r="24" ht="52.2" customHeight="1" s="46">
      <c r="A24" s="70" t="inlineStr">
        <is>
          <t>WPN-ATT-ATTACH-BIG-MAG</t>
        </is>
      </c>
      <c r="B24" s="57" t="inlineStr">
        <is>
          <t>肉质弹匣</t>
        </is>
      </c>
      <c r="C24" s="57" t="inlineStr">
        <is>
          <t>武器</t>
        </is>
      </c>
      <c r="D24" s="70" t="inlineStr">
        <is>
          <t>attachment</t>
        </is>
      </c>
      <c r="E24" s="70" t="inlineStr">
        <is>
          <t>attach_big_mag</t>
        </is>
      </c>
      <c r="F24" s="70" t="inlineStr">
        <is>
          <t>root</t>
        </is>
      </c>
      <c r="G24" s="57" t="n"/>
      <c r="H24" s="57" t="inlineStr">
        <is>
          <t>挂点中心原点；Blender +Y 对应 Godot -Z 枪口，+Z向上</t>
        </is>
      </c>
      <c r="I24" s="70" t="inlineStr">
        <is>
          <t>tier_0_static</t>
        </is>
      </c>
      <c r="J24" s="57" t="inlineStr">
        <is>
          <t>独立物品/配件原始源；后续拾取、库存与武器装配复用</t>
        </is>
      </c>
      <c r="K24" s="57" t="inlineStr">
        <is>
          <t>Blender源已完成</t>
        </is>
      </c>
      <c r="L24" s="70" t="inlineStr">
        <is>
          <t>P2</t>
        </is>
      </c>
      <c r="M24" s="70" t="inlineStr">
        <is>
          <t>v001</t>
        </is>
      </c>
      <c r="N24" s="57" t="inlineStr">
        <is>
          <t>0.1101×0.0705×0.2400m；单位米；根缩放1；场景四材质/公共色盘/PaletteUV；实测快照见asset_contract.json；preview高模；ground 192三角面（100–200预算）</t>
        </is>
      </c>
      <c r="O24" s="57" t="inlineStr">
        <is>
          <t>art_source/items_weapons/weapons/big_mag/source/wpn_big_mag_source_v001.blend; art_source/items_weapons/weapons/big_mag/source/wpn_big_mag_ground_source_v001.blend</t>
        </is>
      </c>
      <c r="P24" s="70" t="inlineStr">
        <is>
          <t>src/world3d/ItemModelFactory3D.gd; src/world3d/GroundLootPickup3D.gd; src/combat3d/WeaponModel3D.gd; art_source/items_weapons/weapons/big_mag/asset_contract.json</t>
        </is>
      </c>
      <c r="Q24" s="57" t="inlineStr">
        <is>
          <t>attach_big_mag;肉质弹匣</t>
        </is>
      </c>
      <c r="R24" s="57">
        <f>LOWER(TRIM(C24)&amp;"|"&amp;TRIM(D24)&amp;"|"&amp;TRIM(E24)&amp;"|"&amp;TRIM(F24)&amp;"|"&amp;TRIM(H24)&amp;"|"&amp;TRIM(I24))</f>
        <v/>
      </c>
      <c r="S24" s="57">
        <f>IF(COUNTIF($R$6:$R$41,R24)&gt;1,"重复","唯一")</f>
        <v/>
      </c>
      <c r="T24" s="57" t="inlineStr">
        <is>
          <t>8513e3320fad3a4af8ee4562b5149b9a45f0e95d72df06accb96b0b7befe72f5</t>
        </is>
      </c>
      <c r="U24" s="57" t="inlineStr">
        <is>
          <t>Codex</t>
        </is>
      </c>
      <c r="V24" s="71" t="n">
        <v>46309</v>
      </c>
      <c r="W24" s="57" t="inlineStr">
        <is>
          <t>用户提供参考图重建；项目公共色盘</t>
        </is>
      </c>
      <c r="X24" s="72" t="inlineStr">
        <is>
          <t>WPN_肉质弹匣_中文资产管理</t>
        </is>
      </c>
      <c r="Y24" s="57" t="inlineStr">
        <is>
          <t>2026-10-14 用户参考图制作；Godot物品工厂/拾取实体/配件挂点实测后冻结主轴尺寸，其余轴按图等比。仅Blender原始源；未导出GLB、未导入Godot；运行时仍用现有占位。 双模型源：preview=5856三角；ground=192三角；地面源SHA256=a67664acb24910e970b61d43ed1cf2e3395a876a6896a67853cd5648a19cafff；高模哈希保持；未接入运行时。</t>
        </is>
      </c>
    </row>
    <row r="25" ht="52.2" customHeight="1" s="46">
      <c r="A25" s="70" t="inlineStr">
        <is>
          <t>WPN-ATT-ATTACH-FAN</t>
        </is>
      </c>
      <c r="B25" s="57" t="inlineStr">
        <is>
          <t>小风扇</t>
        </is>
      </c>
      <c r="C25" s="57" t="inlineStr">
        <is>
          <t>武器</t>
        </is>
      </c>
      <c r="D25" s="70" t="inlineStr">
        <is>
          <t>attachment</t>
        </is>
      </c>
      <c r="E25" s="70" t="inlineStr">
        <is>
          <t>attach_fan</t>
        </is>
      </c>
      <c r="F25" s="70" t="inlineStr">
        <is>
          <t>root</t>
        </is>
      </c>
      <c r="G25" s="57" t="n"/>
      <c r="H25" s="57" t="inlineStr">
        <is>
          <t>侧面朝右</t>
        </is>
      </c>
      <c r="I25" s="70" t="inlineStr">
        <is>
          <t>default</t>
        </is>
      </c>
      <c r="J25" s="57" t="inlineStr">
        <is>
          <t>装配树/枪身/UI 图标</t>
        </is>
      </c>
      <c r="K25" s="57" t="inlineStr">
        <is>
          <t>程序占位</t>
        </is>
      </c>
      <c r="L25" s="70" t="inlineStr">
        <is>
          <t>P2</t>
        </is>
      </c>
      <c r="M25" s="70" t="inlineStr">
        <is>
          <t>v001</t>
        </is>
      </c>
      <c r="N25" s="57" t="inlineStr">
        <is>
          <t>建议 12–24 px</t>
        </is>
      </c>
      <c r="O25" s="57" t="n"/>
      <c r="P25" s="70" t="inlineStr">
        <is>
          <t>src/base/BlueprintRegistry.gd</t>
        </is>
      </c>
      <c r="Q25" s="57" t="n"/>
      <c r="R25" s="57">
        <f>LOWER(TRIM(C25)&amp;"|"&amp;TRIM(D25)&amp;"|"&amp;TRIM(E25)&amp;"|"&amp;TRIM(F25)&amp;"|"&amp;TRIM(H25)&amp;"|"&amp;TRIM(I25))</f>
        <v/>
      </c>
      <c r="S25" s="57">
        <f>IF(COUNTIF($R$6:$R$41,R25)&gt;1,"重复","唯一")</f>
        <v/>
      </c>
      <c r="T25" s="57" t="n"/>
      <c r="U25" s="57" t="inlineStr">
        <is>
          <t>待分配</t>
        </is>
      </c>
      <c r="V25" s="71" t="n">
        <v>46224</v>
      </c>
      <c r="W25" s="57" t="inlineStr">
        <is>
          <t>原创/待确认</t>
        </is>
      </c>
      <c r="X25" s="72" t="inlineStr">
        <is>
          <t>—</t>
        </is>
      </c>
      <c r="Y25" s="57" t="inlineStr">
        <is>
          <t>以挂点部件制作，不烘焙进整枪
2026-08-30 AST-01规范化（原大类：枪械）</t>
        </is>
      </c>
    </row>
    <row r="26" ht="52.2" customHeight="1" s="46">
      <c r="A26" s="70" t="inlineStr">
        <is>
          <t>WPN-ATT-ATTACH-COPY-STICKER</t>
        </is>
      </c>
      <c r="B26" s="57" t="inlineStr">
        <is>
          <t>复制贴纸</t>
        </is>
      </c>
      <c r="C26" s="57" t="inlineStr">
        <is>
          <t>武器</t>
        </is>
      </c>
      <c r="D26" s="70" t="inlineStr">
        <is>
          <t>attachment</t>
        </is>
      </c>
      <c r="E26" s="70" t="inlineStr">
        <is>
          <t>attach_copy_sticker</t>
        </is>
      </c>
      <c r="F26" s="70" t="inlineStr">
        <is>
          <t>root</t>
        </is>
      </c>
      <c r="G26" s="57" t="n"/>
      <c r="H26" s="57" t="inlineStr">
        <is>
          <t>侧面朝右</t>
        </is>
      </c>
      <c r="I26" s="70" t="inlineStr">
        <is>
          <t>default</t>
        </is>
      </c>
      <c r="J26" s="57" t="inlineStr">
        <is>
          <t>装配树/枪身/UI 图标</t>
        </is>
      </c>
      <c r="K26" s="57" t="inlineStr">
        <is>
          <t>程序占位</t>
        </is>
      </c>
      <c r="L26" s="70" t="inlineStr">
        <is>
          <t>P2</t>
        </is>
      </c>
      <c r="M26" s="70" t="inlineStr">
        <is>
          <t>v001</t>
        </is>
      </c>
      <c r="N26" s="57" t="inlineStr">
        <is>
          <t>建议 12–24 px</t>
        </is>
      </c>
      <c r="O26" s="57" t="n"/>
      <c r="P26" s="70" t="inlineStr">
        <is>
          <t>src/base/BlueprintRegistry.gd</t>
        </is>
      </c>
      <c r="Q26" s="57" t="n"/>
      <c r="R26" s="57">
        <f>LOWER(TRIM(C26)&amp;"|"&amp;TRIM(D26)&amp;"|"&amp;TRIM(E26)&amp;"|"&amp;TRIM(F26)&amp;"|"&amp;TRIM(H26)&amp;"|"&amp;TRIM(I26))</f>
        <v/>
      </c>
      <c r="S26" s="57">
        <f>IF(COUNTIF($R$6:$R$41,R26)&gt;1,"重复","唯一")</f>
        <v/>
      </c>
      <c r="T26" s="57" t="n"/>
      <c r="U26" s="57" t="inlineStr">
        <is>
          <t>待分配</t>
        </is>
      </c>
      <c r="V26" s="71" t="n">
        <v>46224</v>
      </c>
      <c r="W26" s="57" t="inlineStr">
        <is>
          <t>原创/待确认</t>
        </is>
      </c>
      <c r="X26" s="72" t="inlineStr">
        <is>
          <t>—</t>
        </is>
      </c>
      <c r="Y26" s="57" t="inlineStr">
        <is>
          <t>以挂点部件制作，不烘焙进整枪
2026-08-30 AST-01规范化（原大类：枪械）</t>
        </is>
      </c>
    </row>
    <row r="27" ht="383.55" customHeight="1" s="46">
      <c r="A27" s="73" t="inlineStr">
        <is>
          <t>WPN-GUN-KIT-3D</t>
        </is>
      </c>
      <c r="B27" s="49" t="inlineStr">
        <is>
          <t>枪械3D通用模型套件</t>
        </is>
      </c>
      <c r="C27" s="49" t="inlineStr">
        <is>
          <t>武器</t>
        </is>
      </c>
      <c r="D27" s="73" t="inlineStr">
        <is>
          <t>gunbody</t>
        </is>
      </c>
      <c r="E27" s="73" t="inlineStr">
        <is>
          <t>blueprint_gun_catalog</t>
        </is>
      </c>
      <c r="F27" s="73" t="inlineStr">
        <is>
          <t>root_3d</t>
        </is>
      </c>
      <c r="G27" s="73" t="n"/>
      <c r="H27" s="49" t="inlineStr">
        <is>
          <t>俯视3D</t>
        </is>
      </c>
      <c r="I27" s="73" t="inlineStr">
        <is>
          <t>default</t>
        </is>
      </c>
      <c r="J27" s="49" t="inlineStr">
        <is>
          <t>玩家/靶场/全部副本</t>
        </is>
      </c>
      <c r="K27" s="49" t="inlineStr">
        <is>
          <t>原型已接入</t>
        </is>
      </c>
      <c r="L27" s="73" t="inlineStr">
        <is>
          <t>P0</t>
        </is>
      </c>
      <c r="M27" s="73" t="inlineStr">
        <is>
          <t>v001</t>
        </is>
      </c>
      <c r="N27" s="73" t="inlineStr">
        <is>
          <t>PackedScene/7枪配置模型</t>
        </is>
      </c>
      <c r="O27" s="73" t="inlineStr">
        <is>
          <t>assets/art/weapons/weapon_3d/wpn_gun_kit_root_top3d_v001.tscn</t>
        </is>
      </c>
      <c r="P27" s="73" t="inlineStr">
        <is>
          <t>src/combat3d/WeaponModel3D.gd</t>
        </is>
      </c>
      <c r="Q27" s="49" t="inlineStr">
        <is>
          <t>枪械;7枪身;8弹药;后坐力;枪口</t>
        </is>
      </c>
      <c r="R27" s="73">
        <f>LOWER(TRIM(C27)&amp;"|"&amp;TRIM(D27)&amp;"|"&amp;TRIM(E27)&amp;"|"&amp;TRIM(F27)&amp;"|"&amp;TRIM(H27)&amp;"|"&amp;TRIM(I27))</f>
        <v/>
      </c>
      <c r="S27" s="49">
        <f>IF(COUNTIF($R$6:$R$41,R27)&gt;1,"重复","唯一")</f>
        <v/>
      </c>
      <c r="T27" s="73" t="inlineStr">
        <is>
          <t>e13801540404433f6fc5f00faa0f523b804d18ec7fa30c0f6c15fab48f1ec4c9</t>
        </is>
      </c>
      <c r="U27" s="73" t="inlineStr">
        <is>
          <t>Codex</t>
        </is>
      </c>
      <c r="V27" s="74" t="n">
        <v>46225</v>
      </c>
      <c r="W27" s="49" t="inlineStr">
        <is>
          <t>原创程序几何</t>
        </is>
      </c>
      <c r="X27" s="72" t="inlineStr">
        <is>
          <t>—</t>
        </is>
      </c>
      <c r="Y27" s="49" t="inlineStr">
        <is>
          <t>真实GPU窗口检查暗室、家具、角色、怪物和战斗；开灯状态复用同一身份，验收图：assets/art/environments/dungeon_3d/env_dungeon_runtime_light_on_preview_top3d_v001.png；WeaponModel3D为换弹唯一计时源；开始/连续进度/完成或取消信号驱动六态覆盖动画与头顶条；56组合共用
2026-08-30 AST-01规范化（原大类：枪械）</t>
        </is>
      </c>
    </row>
    <row r="28" ht="141" customHeight="1" s="46">
      <c r="A28" s="73" t="inlineStr">
        <is>
          <t>WPN-MELEE-BP-GREATBLADE</t>
        </is>
      </c>
      <c r="B28" s="49" t="inlineStr">
        <is>
          <t>巨型工业断刃程序原型</t>
        </is>
      </c>
      <c r="C28" s="49" t="inlineStr">
        <is>
          <t>武器</t>
        </is>
      </c>
      <c r="D28" s="73" t="inlineStr">
        <is>
          <t>melee</t>
        </is>
      </c>
      <c r="E28" s="73" t="inlineStr">
        <is>
          <t>bp_greatblade</t>
        </is>
      </c>
      <c r="F28" s="73" t="inlineStr">
        <is>
          <t>root</t>
        </is>
      </c>
      <c r="G28" s="73" t="n"/>
      <c r="H28" s="49" t="inlineStr">
        <is>
          <t>俯视3D</t>
        </is>
      </c>
      <c r="I28" s="73" t="inlineStr">
        <is>
          <t>default / three_step_combo</t>
        </is>
      </c>
      <c r="J28" s="49" t="inlineStr">
        <is>
          <t>手持/背负/地面/背包图标/表现页</t>
        </is>
      </c>
      <c r="K28" s="49" t="inlineStr">
        <is>
          <t>程序占位</t>
        </is>
      </c>
      <c r="L28" s="73" t="inlineStr">
        <is>
          <t>P0</t>
        </is>
      </c>
      <c r="M28" s="73" t="inlineStr">
        <is>
          <t>v001</t>
        </is>
      </c>
      <c r="N28" s="49" t="inlineStr">
        <is>
          <t>程序Mesh；0.82×0.30×2.42m；无碰撞</t>
        </is>
      </c>
      <c r="O28" s="73" t="inlineStr">
        <is>
          <t>assets/art/weapons/melee_3d/wpn_melee_greatblade_root_top3d_v001.tscn</t>
        </is>
      </c>
      <c r="P28" s="73" t="inlineStr">
        <is>
          <t>src/combat3d/MeleeWeaponVisual3D.gd; src/player3d/melee/PlayerMeleeCombat3D.gd</t>
        </is>
      </c>
      <c r="Q28" s="49" t="inlineStr">
        <is>
          <t>近战;大型武器;工业断刃;三段连击;greatblade;melee</t>
        </is>
      </c>
      <c r="R28" s="73">
        <f>LOWER(TRIM(C28)&amp;"|"&amp;TRIM(D28)&amp;"|"&amp;TRIM(E28)&amp;"|"&amp;TRIM(F28)&amp;"|"&amp;TRIM(H28)&amp;"|"&amp;TRIM(I28))</f>
        <v/>
      </c>
      <c r="S28" s="49">
        <f>IF(COUNTIF($R$6:$R$41,R28)&gt;1,"重复","唯一")</f>
        <v/>
      </c>
      <c r="T28" s="73" t="n"/>
      <c r="U28" s="73" t="inlineStr">
        <is>
          <t>Codex</t>
        </is>
      </c>
      <c r="V28" s="74" t="n">
        <v>46244</v>
      </c>
      <c r="W28" s="49" t="inlineStr">
        <is>
          <t>原创程序原型</t>
        </is>
      </c>
      <c r="X28" s="72" t="inlineStr">
        <is>
          <t>—</t>
        </is>
      </c>
      <c r="Y28" s="49" t="inlineStr">
        <is>
          <t>总长2.42m；双手重型持握；四态动作子状态机；三段池化弧光/命中爆点与专属挥砍/冲击音频已接入；最终美术替换保留握柄原点/local -Z与稳定ID。</t>
        </is>
      </c>
    </row>
    <row r="29" ht="128.35" customHeight="1" s="46">
      <c r="A29" s="73" t="inlineStr">
        <is>
          <t>WPN-MELEE-BP-WARAXE</t>
        </is>
      </c>
      <c r="B29" s="49" t="inlineStr">
        <is>
          <t>攻城裂甲斧程序原型</t>
        </is>
      </c>
      <c r="C29" s="49" t="inlineStr">
        <is>
          <t>武器</t>
        </is>
      </c>
      <c r="D29" s="73" t="inlineStr">
        <is>
          <t>melee</t>
        </is>
      </c>
      <c r="E29" s="73" t="inlineStr">
        <is>
          <t>bp_waraxe</t>
        </is>
      </c>
      <c r="F29" s="73" t="inlineStr">
        <is>
          <t>root</t>
        </is>
      </c>
      <c r="G29" s="73" t="n"/>
      <c r="H29" s="49" t="inlineStr">
        <is>
          <t>俯视3D</t>
        </is>
      </c>
      <c r="I29" s="73" t="inlineStr">
        <is>
          <t>default / three_step_combo</t>
        </is>
      </c>
      <c r="J29" s="49" t="inlineStr">
        <is>
          <t>手持/背负/地面/背包图标/表现页</t>
        </is>
      </c>
      <c r="K29" s="49" t="inlineStr">
        <is>
          <t>程序占位</t>
        </is>
      </c>
      <c r="L29" s="73" t="inlineStr">
        <is>
          <t>P0</t>
        </is>
      </c>
      <c r="M29" s="73" t="inlineStr">
        <is>
          <t>v001</t>
        </is>
      </c>
      <c r="N29" s="49" t="inlineStr">
        <is>
          <t>程序Mesh；1.18×0.34×2.62m；无碰撞</t>
        </is>
      </c>
      <c r="O29" s="73" t="inlineStr">
        <is>
          <t>assets/art/weapons/melee_3d/wpn_melee_waraxe_root_top3d_v001.tscn</t>
        </is>
      </c>
      <c r="P29" s="73" t="inlineStr">
        <is>
          <t>src/combat3d/MeleeWeaponVisual3D.gd; src/player3d/melee/PlayerMeleeCombat3D.gd</t>
        </is>
      </c>
      <c r="Q29" s="49" t="inlineStr">
        <is>
          <t>近战;大型武器;攻城斧;三段连击;waraxe;melee</t>
        </is>
      </c>
      <c r="R29" s="73">
        <f>LOWER(TRIM(C29)&amp;"|"&amp;TRIM(D29)&amp;"|"&amp;TRIM(E29)&amp;"|"&amp;TRIM(F29)&amp;"|"&amp;TRIM(H29)&amp;"|"&amp;TRIM(I29))</f>
        <v/>
      </c>
      <c r="S29" s="49">
        <f>IF(COUNTIF($R$6:$R$41,R29)&gt;1,"重复","唯一")</f>
        <v/>
      </c>
      <c r="T29" s="73" t="n"/>
      <c r="U29" s="73" t="inlineStr">
        <is>
          <t>Codex</t>
        </is>
      </c>
      <c r="V29" s="74" t="n">
        <v>46244</v>
      </c>
      <c r="W29" s="49" t="inlineStr">
        <is>
          <t>原创程序原型</t>
        </is>
      </c>
      <c r="X29" s="72" t="inlineStr">
        <is>
          <t>—</t>
        </is>
      </c>
      <c r="Y29" s="49" t="inlineStr">
        <is>
          <t>总长2.62m；高伤高击退；四态动作子状态机；第三段最大弧光并降低音高/提高冲击响度；最终美术替换保留握柄原点/local -Z与稳定ID。</t>
        </is>
      </c>
    </row>
    <row r="30" ht="128.35" customHeight="1" s="46">
      <c r="A30" s="73" t="inlineStr">
        <is>
          <t>WPN-MELEE-BP-BASEBALL-BAT</t>
        </is>
      </c>
      <c r="B30" s="49" t="inlineStr">
        <is>
          <t>废土棒球棍程序原型</t>
        </is>
      </c>
      <c r="C30" s="49" t="inlineStr">
        <is>
          <t>武器</t>
        </is>
      </c>
      <c r="D30" s="73" t="inlineStr">
        <is>
          <t>melee</t>
        </is>
      </c>
      <c r="E30" s="73" t="inlineStr">
        <is>
          <t>bp_baseball_bat</t>
        </is>
      </c>
      <c r="F30" s="73" t="inlineStr">
        <is>
          <t>root</t>
        </is>
      </c>
      <c r="G30" s="73" t="n"/>
      <c r="H30" s="49" t="inlineStr">
        <is>
          <t>俯视3D</t>
        </is>
      </c>
      <c r="I30" s="73" t="inlineStr">
        <is>
          <t>default / three_step_combo</t>
        </is>
      </c>
      <c r="J30" s="49" t="inlineStr">
        <is>
          <t>手持/背负/地面/背包图标/表现页/基地贩卖机</t>
        </is>
      </c>
      <c r="K30" s="49" t="inlineStr">
        <is>
          <t>程序占位</t>
        </is>
      </c>
      <c r="L30" s="73" t="inlineStr">
        <is>
          <t>P0</t>
        </is>
      </c>
      <c r="M30" s="73" t="inlineStr">
        <is>
          <t>v001</t>
        </is>
      </c>
      <c r="N30" s="49" t="inlineStr">
        <is>
          <t>程序Mesh；0.28×0.28×1.48m；无碰撞</t>
        </is>
      </c>
      <c r="O30" s="73" t="inlineStr">
        <is>
          <t>assets/art/weapons/melee_3d/wpn_melee_baseball_bat_root_top3d_v001.tscn</t>
        </is>
      </c>
      <c r="P30" s="73" t="inlineStr">
        <is>
          <t>src/combat3d/MeleeWeaponVisual3D.gd; src/player3d/melee/PlayerMeleeCombat3D.gd; tests/verification/verify_weapon_attachment_inventory_flow.gd</t>
        </is>
      </c>
      <c r="Q30" s="49" t="inlineStr">
        <is>
          <t>近战;初级武器;棒球棍;三段连击;baseball_bat;melee;基地贩卖机</t>
        </is>
      </c>
      <c r="R30" s="73">
        <f>LOWER(TRIM(C30)&amp;"|"&amp;TRIM(D30)&amp;"|"&amp;TRIM(E30)&amp;"|"&amp;TRIM(F30)&amp;"|"&amp;TRIM(H30)&amp;"|"&amp;TRIM(I30))</f>
        <v/>
      </c>
      <c r="S30" s="49">
        <f>IF(COUNTIF($R$6:$R$41,R30)&gt;1,"重复","唯一")</f>
        <v/>
      </c>
      <c r="T30" s="73" t="inlineStr">
        <is>
          <t>700ecf26ca26d653967db40dbe48f8572387ae63b43a1428aa54721c25ca7b0a</t>
        </is>
      </c>
      <c r="U30" s="73" t="inlineStr">
        <is>
          <t>Codex</t>
        </is>
      </c>
      <c r="V30" s="73" t="n">
        <v>46244</v>
      </c>
      <c r="W30" s="49" t="inlineStr">
        <is>
          <t>原创程序原型</t>
        </is>
      </c>
      <c r="X30" s="72" t="inlineStr">
        <is>
          <t>—</t>
        </is>
      </c>
      <c r="Y30" s="49" t="inlineStr">
        <is>
          <t>基地45魂初级近战；三段快速挥击、第三段强化击退；复用近战四态、弧光/命中VFX和版本化音频。最终美术替换须保留握柄原点/local -Z与稳定ID。</t>
        </is>
      </c>
    </row>
    <row r="31" ht="276.1" customHeight="1" s="46">
      <c r="A31" s="70" t="inlineStr">
        <is>
          <t>WPN-GUN-FUTURE-MEGAPHONE-CANNON-3D</t>
        </is>
      </c>
      <c r="B31" s="57" t="inlineStr">
        <is>
          <t>扩音器加农炮</t>
        </is>
      </c>
      <c r="C31" s="57" t="inlineStr">
        <is>
          <t>武器</t>
        </is>
      </c>
      <c r="D31" s="70" t="inlineStr">
        <is>
          <t>gunbody</t>
        </is>
      </c>
      <c r="E31" s="70" t="inlineStr">
        <is>
          <t>future_megaphone_cannon</t>
        </is>
      </c>
      <c r="F31" s="70" t="inlineStr">
        <is>
          <t>root</t>
        </is>
      </c>
      <c r="G31" s="57" t="n"/>
      <c r="H31" s="57" t="inlineStr">
        <is>
          <t>俯视3D / local -Z 枪口</t>
        </is>
      </c>
      <c r="I31" s="70" t="inlineStr">
        <is>
          <t>default / 标准握把与8类挂点</t>
        </is>
      </c>
      <c r="J31" s="57" t="inlineStr">
        <is>
          <t>未来枪械池/独立资产</t>
        </is>
      </c>
      <c r="K31" s="57" t="inlineStr">
        <is>
          <t>已完成</t>
        </is>
      </c>
      <c r="L31" s="70" t="inlineStr">
        <is>
          <t>P2</t>
        </is>
      </c>
      <c r="M31" s="70" t="inlineStr">
        <is>
          <t>v001</t>
        </is>
      </c>
      <c r="N31" s="57" t="inlineStr">
        <is>
          <t>握把原点；local -Z枪口；3材质；独立GLB/PackedScene</t>
        </is>
      </c>
      <c r="O31" s="70" t="inlineStr">
        <is>
          <t>assets/art/weapons/weapon_3d/runtime/megaphone_cannon/wpn_megaphone_cannon_root_top3d_v001.tscn</t>
        </is>
      </c>
      <c r="P31" s="70" t="inlineStr">
        <is>
          <t>../ShellStorm2-backup/2026-10-11_slimming/original_tree/art_source/weapons/weapon_3d/source/megaphone_cannon/wpn_megaphone_cannon_source_v001.blend</t>
        </is>
      </c>
      <c r="Q31" s="70" t="inlineStr">
        <is>
          <t>megaphone_cannon; 扩音器加农炮; 未来枪械; 通用挂点; 多巴胺配色</t>
        </is>
      </c>
      <c r="R31" s="57">
        <f>LOWER(TRIM(C31)&amp;"|"&amp;TRIM(D31)&amp;"|"&amp;TRIM(E31)&amp;"|"&amp;TRIM(F31)&amp;"|"&amp;TRIM(H31)&amp;"|"&amp;TRIM(I31))</f>
        <v/>
      </c>
      <c r="S31" s="57">
        <f>IF(COUNTIF($R$6:$R$41,R31)&gt;1,"重复","唯一")</f>
        <v/>
      </c>
      <c r="T31" s="70" t="inlineStr">
        <is>
          <t>5af8a086bf2988755cc0e385bb5b6d527e9dbde0d11123c809741d306b38e45f</t>
        </is>
      </c>
      <c r="U31" s="70" t="inlineStr">
        <is>
          <t>Codex</t>
        </is>
      </c>
      <c r="V31" s="71" t="n">
        <v>46264</v>
      </c>
      <c r="W31" s="57" t="inlineStr">
        <is>
          <t>用户自制Blender资产</t>
        </is>
      </c>
      <c r="X31" s="72" t="inlineStr">
        <is>
          <t>—</t>
        </is>
      </c>
      <c r="Y31" s="57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6b8f58fe196a→5af8a086bf29。</t>
        </is>
      </c>
    </row>
    <row r="32" ht="276.1" customHeight="1" s="46">
      <c r="A32" s="70" t="inlineStr">
        <is>
          <t>WPN-GUN-FUTURE-GUITAR-BLASTER-3D</t>
        </is>
      </c>
      <c r="B32" s="57" t="inlineStr">
        <is>
          <t>吉他爆能枪</t>
        </is>
      </c>
      <c r="C32" s="57" t="inlineStr">
        <is>
          <t>武器</t>
        </is>
      </c>
      <c r="D32" s="70" t="inlineStr">
        <is>
          <t>gunbody</t>
        </is>
      </c>
      <c r="E32" s="70" t="inlineStr">
        <is>
          <t>future_guitar_blaster</t>
        </is>
      </c>
      <c r="F32" s="70" t="inlineStr">
        <is>
          <t>root</t>
        </is>
      </c>
      <c r="G32" s="57" t="n"/>
      <c r="H32" s="57" t="inlineStr">
        <is>
          <t>俯视3D / local -Z 枪口</t>
        </is>
      </c>
      <c r="I32" s="70" t="inlineStr">
        <is>
          <t>default / 标准握把与8类挂点</t>
        </is>
      </c>
      <c r="J32" s="57" t="inlineStr">
        <is>
          <t>未来枪械池/独立资产</t>
        </is>
      </c>
      <c r="K32" s="57" t="inlineStr">
        <is>
          <t>已完成</t>
        </is>
      </c>
      <c r="L32" s="70" t="inlineStr">
        <is>
          <t>P2</t>
        </is>
      </c>
      <c r="M32" s="70" t="inlineStr">
        <is>
          <t>v001</t>
        </is>
      </c>
      <c r="N32" s="57" t="inlineStr">
        <is>
          <t>握把原点；local -Z枪口；3材质；独立GLB/PackedScene</t>
        </is>
      </c>
      <c r="O32" s="70" t="inlineStr">
        <is>
          <t>assets/art/weapons/weapon_3d/runtime/guitar_blaster/wpn_guitar_blaster_root_top3d_v001.tscn</t>
        </is>
      </c>
      <c r="P32" s="70" t="inlineStr">
        <is>
          <t>../ShellStorm2-backup/2026-10-11_slimming/original_tree/art_source/weapons/weapon_3d/source/guitar_blaster/wpn_guitar_blaster_source_v001.blend</t>
        </is>
      </c>
      <c r="Q32" s="70" t="inlineStr">
        <is>
          <t>guitar_blaster; 吉他爆能枪; 未来枪械; 通用挂点; 多巴胺配色</t>
        </is>
      </c>
      <c r="R32" s="57">
        <f>LOWER(TRIM(C32)&amp;"|"&amp;TRIM(D32)&amp;"|"&amp;TRIM(E32)&amp;"|"&amp;TRIM(F32)&amp;"|"&amp;TRIM(H32)&amp;"|"&amp;TRIM(I32))</f>
        <v/>
      </c>
      <c r="S32" s="57">
        <f>IF(COUNTIF($R$6:$R$41,R32)&gt;1,"重复","唯一")</f>
        <v/>
      </c>
      <c r="T32" s="70" t="inlineStr">
        <is>
          <t>7611a99cf53a4a0fd80404be89c450351994bafd161824a0b92d05a729ec05f3</t>
        </is>
      </c>
      <c r="U32" s="70" t="inlineStr">
        <is>
          <t>Codex</t>
        </is>
      </c>
      <c r="V32" s="71" t="n">
        <v>46264</v>
      </c>
      <c r="W32" s="57" t="inlineStr">
        <is>
          <t>用户自制Blender资产</t>
        </is>
      </c>
      <c r="X32" s="72" t="inlineStr">
        <is>
          <t>—</t>
        </is>
      </c>
      <c r="Y32" s="57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b82adc9dde68→7611a99cf53a。</t>
        </is>
      </c>
    </row>
    <row r="33" ht="276.1" customHeight="1" s="46">
      <c r="A33" s="70" t="inlineStr">
        <is>
          <t>WPN-GUN-FUTURE-SPATULA-RIFLE-3D</t>
        </is>
      </c>
      <c r="B33" s="57" t="inlineStr">
        <is>
          <t>锅铲步枪</t>
        </is>
      </c>
      <c r="C33" s="57" t="inlineStr">
        <is>
          <t>武器</t>
        </is>
      </c>
      <c r="D33" s="70" t="inlineStr">
        <is>
          <t>gunbody</t>
        </is>
      </c>
      <c r="E33" s="70" t="inlineStr">
        <is>
          <t>future_spatula_rifle</t>
        </is>
      </c>
      <c r="F33" s="70" t="inlineStr">
        <is>
          <t>root</t>
        </is>
      </c>
      <c r="G33" s="57" t="n"/>
      <c r="H33" s="57" t="inlineStr">
        <is>
          <t>俯视3D / local -Z 枪口</t>
        </is>
      </c>
      <c r="I33" s="70" t="inlineStr">
        <is>
          <t>default / 标准握把与8类挂点</t>
        </is>
      </c>
      <c r="J33" s="57" t="inlineStr">
        <is>
          <t>未来枪械池/独立资产</t>
        </is>
      </c>
      <c r="K33" s="57" t="inlineStr">
        <is>
          <t>已完成</t>
        </is>
      </c>
      <c r="L33" s="70" t="inlineStr">
        <is>
          <t>P2</t>
        </is>
      </c>
      <c r="M33" s="70" t="inlineStr">
        <is>
          <t>v001</t>
        </is>
      </c>
      <c r="N33" s="57" t="inlineStr">
        <is>
          <t>握把原点；local -Z枪口；3材质；独立GLB/PackedScene</t>
        </is>
      </c>
      <c r="O33" s="70" t="inlineStr">
        <is>
          <t>assets/art/weapons/weapon_3d/runtime/spatula_rifle/wpn_spatula_rifle_root_top3d_v001.tscn</t>
        </is>
      </c>
      <c r="P33" s="70" t="inlineStr">
        <is>
          <t>../ShellStorm2-backup/2026-10-11_slimming/original_tree/art_source/weapons/weapon_3d/source/spatula_rifle/wpn_spatula_rifle_source_v001.blend</t>
        </is>
      </c>
      <c r="Q33" s="70" t="inlineStr">
        <is>
          <t>spatula_rifle; 锅铲步枪; 未来枪械; 通用挂点; 多巴胺配色</t>
        </is>
      </c>
      <c r="R33" s="57">
        <f>LOWER(TRIM(C33)&amp;"|"&amp;TRIM(D33)&amp;"|"&amp;TRIM(E33)&amp;"|"&amp;TRIM(F33)&amp;"|"&amp;TRIM(H33)&amp;"|"&amp;TRIM(I33))</f>
        <v/>
      </c>
      <c r="S33" s="57">
        <f>IF(COUNTIF($R$6:$R$41,R33)&gt;1,"重复","唯一")</f>
        <v/>
      </c>
      <c r="T33" s="70" t="inlineStr">
        <is>
          <t>04a9659dcef16faed7af37c04dbe4f2bd7322b87992d9f269f503d87ea2f9cca</t>
        </is>
      </c>
      <c r="U33" s="70" t="inlineStr">
        <is>
          <t>Codex</t>
        </is>
      </c>
      <c r="V33" s="71" t="n">
        <v>46264</v>
      </c>
      <c r="W33" s="57" t="inlineStr">
        <is>
          <t>用户自制Blender资产</t>
        </is>
      </c>
      <c r="X33" s="72" t="inlineStr">
        <is>
          <t>—</t>
        </is>
      </c>
      <c r="Y33" s="57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8af70da0fa51→04a9659dcef1。</t>
        </is>
      </c>
    </row>
    <row r="34" ht="276.1" customHeight="1" s="46">
      <c r="A34" s="70" t="inlineStr">
        <is>
          <t>WPN-GUN-FUTURE-FRYING-PAN-CANNON-3D</t>
        </is>
      </c>
      <c r="B34" s="57" t="inlineStr">
        <is>
          <t>平底锅加农炮</t>
        </is>
      </c>
      <c r="C34" s="57" t="inlineStr">
        <is>
          <t>武器</t>
        </is>
      </c>
      <c r="D34" s="70" t="inlineStr">
        <is>
          <t>gunbody</t>
        </is>
      </c>
      <c r="E34" s="70" t="inlineStr">
        <is>
          <t>future_frying_pan_cannon</t>
        </is>
      </c>
      <c r="F34" s="70" t="inlineStr">
        <is>
          <t>root</t>
        </is>
      </c>
      <c r="G34" s="57" t="n"/>
      <c r="H34" s="57" t="inlineStr">
        <is>
          <t>俯视3D / local -Z 枪口</t>
        </is>
      </c>
      <c r="I34" s="70" t="inlineStr">
        <is>
          <t>default / 标准握把与8类挂点</t>
        </is>
      </c>
      <c r="J34" s="57" t="inlineStr">
        <is>
          <t>未来枪械池/独立资产</t>
        </is>
      </c>
      <c r="K34" s="57" t="inlineStr">
        <is>
          <t>已完成</t>
        </is>
      </c>
      <c r="L34" s="70" t="inlineStr">
        <is>
          <t>P2</t>
        </is>
      </c>
      <c r="M34" s="70" t="inlineStr">
        <is>
          <t>v001</t>
        </is>
      </c>
      <c r="N34" s="57" t="inlineStr">
        <is>
          <t>握把原点；local -Z枪口；3材质；独立GLB/PackedScene</t>
        </is>
      </c>
      <c r="O34" s="70" t="inlineStr">
        <is>
          <t>assets/art/weapons/weapon_3d/runtime/frying_pan_cannon/wpn_frying_pan_cannon_root_top3d_v001.tscn</t>
        </is>
      </c>
      <c r="P34" s="70" t="inlineStr">
        <is>
          <t>../ShellStorm2-backup/2026-10-11_slimming/original_tree/art_source/weapons/weapon_3d/source/frying_pan_cannon/wpn_frying_pan_cannon_source_v001.blend</t>
        </is>
      </c>
      <c r="Q34" s="70" t="inlineStr">
        <is>
          <t>frying_pan_cannon; 平底锅加农炮; 未来枪械; 通用挂点; 多巴胺配色</t>
        </is>
      </c>
      <c r="R34" s="57">
        <f>LOWER(TRIM(C34)&amp;"|"&amp;TRIM(D34)&amp;"|"&amp;TRIM(E34)&amp;"|"&amp;TRIM(F34)&amp;"|"&amp;TRIM(H34)&amp;"|"&amp;TRIM(I34))</f>
        <v/>
      </c>
      <c r="S34" s="57">
        <f>IF(COUNTIF($R$6:$R$41,R34)&gt;1,"重复","唯一")</f>
        <v/>
      </c>
      <c r="T34" s="70" t="inlineStr">
        <is>
          <t>f73360d92e0188808efdd39aa652067dec9a7fd5fd1fef243879b6e28b61c465</t>
        </is>
      </c>
      <c r="U34" s="70" t="inlineStr">
        <is>
          <t>Codex</t>
        </is>
      </c>
      <c r="V34" s="71" t="n">
        <v>46264</v>
      </c>
      <c r="W34" s="57" t="inlineStr">
        <is>
          <t>用户自制Blender资产</t>
        </is>
      </c>
      <c r="X34" s="72" t="inlineStr">
        <is>
          <t>—</t>
        </is>
      </c>
      <c r="Y34" s="57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074036c4f15d→f73360d92e01。</t>
        </is>
      </c>
    </row>
    <row r="35" ht="276.1" customHeight="1" s="46">
      <c r="A35" s="70" t="inlineStr">
        <is>
          <t>WPN-GUN-FUTURE-SCOPE-CANNON-3D</t>
        </is>
      </c>
      <c r="B35" s="57" t="inlineStr">
        <is>
          <t>瞄准镜加农炮</t>
        </is>
      </c>
      <c r="C35" s="57" t="inlineStr">
        <is>
          <t>武器</t>
        </is>
      </c>
      <c r="D35" s="70" t="inlineStr">
        <is>
          <t>gunbody</t>
        </is>
      </c>
      <c r="E35" s="70" t="inlineStr">
        <is>
          <t>future_scope_cannon</t>
        </is>
      </c>
      <c r="F35" s="70" t="inlineStr">
        <is>
          <t>root</t>
        </is>
      </c>
      <c r="G35" s="57" t="n"/>
      <c r="H35" s="57" t="inlineStr">
        <is>
          <t>俯视3D / local -Z 枪口</t>
        </is>
      </c>
      <c r="I35" s="70" t="inlineStr">
        <is>
          <t>default / 标准握把与8类挂点</t>
        </is>
      </c>
      <c r="J35" s="57" t="inlineStr">
        <is>
          <t>未来枪械池/独立资产</t>
        </is>
      </c>
      <c r="K35" s="57" t="inlineStr">
        <is>
          <t>已完成</t>
        </is>
      </c>
      <c r="L35" s="70" t="inlineStr">
        <is>
          <t>P2</t>
        </is>
      </c>
      <c r="M35" s="70" t="inlineStr">
        <is>
          <t>v001</t>
        </is>
      </c>
      <c r="N35" s="57" t="inlineStr">
        <is>
          <t>握把原点；local -Z枪口；3材质；独立GLB/PackedScene</t>
        </is>
      </c>
      <c r="O35" s="70" t="inlineStr">
        <is>
          <t>assets/art/weapons/weapon_3d/runtime/scope_cannon/wpn_scope_cannon_root_top3d_v001.tscn</t>
        </is>
      </c>
      <c r="P35" s="70" t="inlineStr">
        <is>
          <t>../ShellStorm2-backup/2026-10-11_slimming/original_tree/art_source/weapons/weapon_3d/source/scope_cannon/wpn_scope_cannon_source_v001.blend</t>
        </is>
      </c>
      <c r="Q35" s="70" t="inlineStr">
        <is>
          <t>scope_cannon; 瞄准镜加农炮; 未来枪械; 通用挂点; 多巴胺配色</t>
        </is>
      </c>
      <c r="R35" s="57">
        <f>LOWER(TRIM(C35)&amp;"|"&amp;TRIM(D35)&amp;"|"&amp;TRIM(E35)&amp;"|"&amp;TRIM(F35)&amp;"|"&amp;TRIM(H35)&amp;"|"&amp;TRIM(I35))</f>
        <v/>
      </c>
      <c r="S35" s="57">
        <f>IF(COUNTIF($R$6:$R$41,R35)&gt;1,"重复","唯一")</f>
        <v/>
      </c>
      <c r="T35" s="70" t="inlineStr">
        <is>
          <t>ad9e3e21a430c104cc44345297a05b7a4ea61a02bb1d605ef79c4b8d1c49de35</t>
        </is>
      </c>
      <c r="U35" s="70" t="inlineStr">
        <is>
          <t>Codex</t>
        </is>
      </c>
      <c r="V35" s="71" t="n">
        <v>46264</v>
      </c>
      <c r="W35" s="57" t="inlineStr">
        <is>
          <t>用户自制Blender资产</t>
        </is>
      </c>
      <c r="X35" s="72" t="inlineStr">
        <is>
          <t>—</t>
        </is>
      </c>
      <c r="Y35" s="57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ba54d1e1126c→ad9e3e21a430。</t>
        </is>
      </c>
    </row>
    <row r="36" ht="276.1" customHeight="1" s="46">
      <c r="A36" s="70" t="inlineStr">
        <is>
          <t>WPN-GUN-FUTURE-POPCORN-BLASTER-3D</t>
        </is>
      </c>
      <c r="B36" s="57" t="inlineStr">
        <is>
          <t>爆米花爆能枪</t>
        </is>
      </c>
      <c r="C36" s="57" t="inlineStr">
        <is>
          <t>武器</t>
        </is>
      </c>
      <c r="D36" s="70" t="inlineStr">
        <is>
          <t>gunbody</t>
        </is>
      </c>
      <c r="E36" s="70" t="inlineStr">
        <is>
          <t>future_popcorn_blaster</t>
        </is>
      </c>
      <c r="F36" s="70" t="inlineStr">
        <is>
          <t>root</t>
        </is>
      </c>
      <c r="G36" s="57" t="n"/>
      <c r="H36" s="57" t="inlineStr">
        <is>
          <t>俯视3D / local -Z 枪口</t>
        </is>
      </c>
      <c r="I36" s="70" t="inlineStr">
        <is>
          <t>default / 标准握把与8类挂点</t>
        </is>
      </c>
      <c r="J36" s="57" t="inlineStr">
        <is>
          <t>未来枪械池/独立资产</t>
        </is>
      </c>
      <c r="K36" s="57" t="inlineStr">
        <is>
          <t>已完成</t>
        </is>
      </c>
      <c r="L36" s="70" t="inlineStr">
        <is>
          <t>P2</t>
        </is>
      </c>
      <c r="M36" s="70" t="inlineStr">
        <is>
          <t>v001</t>
        </is>
      </c>
      <c r="N36" s="57" t="inlineStr">
        <is>
          <t>握把原点；local -Z枪口；3材质；独立GLB/PackedScene</t>
        </is>
      </c>
      <c r="O36" s="70" t="inlineStr">
        <is>
          <t>assets/art/weapons/weapon_3d/runtime/popcorn_blaster/wpn_popcorn_blaster_root_top3d_v001.tscn</t>
        </is>
      </c>
      <c r="P36" s="70" t="inlineStr">
        <is>
          <t>../ShellStorm2-backup/2026-10-11_slimming/original_tree/art_source/weapons/weapon_3d/source/popcorn_blaster/wpn_popcorn_blaster_source_v001.blend</t>
        </is>
      </c>
      <c r="Q36" s="70" t="inlineStr">
        <is>
          <t>popcorn_blaster; 爆米花爆能枪; 未来枪械; 通用挂点; 多巴胺配色</t>
        </is>
      </c>
      <c r="R36" s="57">
        <f>LOWER(TRIM(C36)&amp;"|"&amp;TRIM(D36)&amp;"|"&amp;TRIM(E36)&amp;"|"&amp;TRIM(F36)&amp;"|"&amp;TRIM(H36)&amp;"|"&amp;TRIM(I36))</f>
        <v/>
      </c>
      <c r="S36" s="57">
        <f>IF(COUNTIF($R$6:$R$41,R36)&gt;1,"重复","唯一")</f>
        <v/>
      </c>
      <c r="T36" s="70" t="inlineStr">
        <is>
          <t>01c3204ae0d66aa0e0bf28bf2643c327a7550ff1c024f36114f45fb9010de7a8</t>
        </is>
      </c>
      <c r="U36" s="70" t="inlineStr">
        <is>
          <t>Codex</t>
        </is>
      </c>
      <c r="V36" s="71" t="n">
        <v>46264</v>
      </c>
      <c r="W36" s="57" t="inlineStr">
        <is>
          <t>用户自制Blender资产</t>
        </is>
      </c>
      <c r="X36" s="72" t="inlineStr">
        <is>
          <t>—</t>
        </is>
      </c>
      <c r="Y36" s="57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c77c70255421→01c3204ae0d6。</t>
        </is>
      </c>
    </row>
    <row r="37" ht="276.1" customHeight="1" s="46">
      <c r="A37" s="70" t="inlineStr">
        <is>
          <t>WPN-GUN-FUTURE-SODA-STRAW-BLASTER-3D</t>
        </is>
      </c>
      <c r="B37" s="57" t="inlineStr">
        <is>
          <t>饮料管爆能枪</t>
        </is>
      </c>
      <c r="C37" s="57" t="inlineStr">
        <is>
          <t>武器</t>
        </is>
      </c>
      <c r="D37" s="70" t="inlineStr">
        <is>
          <t>gunbody</t>
        </is>
      </c>
      <c r="E37" s="70" t="inlineStr">
        <is>
          <t>future_soda_straw_blaster</t>
        </is>
      </c>
      <c r="F37" s="70" t="inlineStr">
        <is>
          <t>root</t>
        </is>
      </c>
      <c r="G37" s="57" t="n"/>
      <c r="H37" s="57" t="inlineStr">
        <is>
          <t>俯视3D / local -Z 枪口</t>
        </is>
      </c>
      <c r="I37" s="70" t="inlineStr">
        <is>
          <t>default / 标准握把与8类挂点</t>
        </is>
      </c>
      <c r="J37" s="57" t="inlineStr">
        <is>
          <t>未来枪械池/独立资产</t>
        </is>
      </c>
      <c r="K37" s="57" t="inlineStr">
        <is>
          <t>已完成</t>
        </is>
      </c>
      <c r="L37" s="70" t="inlineStr">
        <is>
          <t>P2</t>
        </is>
      </c>
      <c r="M37" s="70" t="inlineStr">
        <is>
          <t>v001</t>
        </is>
      </c>
      <c r="N37" s="57" t="inlineStr">
        <is>
          <t>握把原点；local -Z枪口；3材质；独立GLB/PackedScene</t>
        </is>
      </c>
      <c r="O37" s="70" t="inlineStr">
        <is>
          <t>assets/art/weapons/weapon_3d/runtime/soda_straw_blaster/wpn_soda_straw_blaster_root_top3d_v001.tscn</t>
        </is>
      </c>
      <c r="P37" s="70" t="inlineStr">
        <is>
          <t>../ShellStorm2-backup/2026-10-11_slimming/original_tree/art_source/weapons/weapon_3d/source/soda_straw_blaster/wpn_soda_straw_blaster_source_v001.blend</t>
        </is>
      </c>
      <c r="Q37" s="70" t="inlineStr">
        <is>
          <t>soda_straw_blaster; 饮料管爆能枪; 未来枪械; 通用挂点; 多巴胺配色</t>
        </is>
      </c>
      <c r="R37" s="57">
        <f>LOWER(TRIM(C37)&amp;"|"&amp;TRIM(D37)&amp;"|"&amp;TRIM(E37)&amp;"|"&amp;TRIM(F37)&amp;"|"&amp;TRIM(H37)&amp;"|"&amp;TRIM(I37))</f>
        <v/>
      </c>
      <c r="S37" s="57">
        <f>IF(COUNTIF($R$6:$R$41,R37)&gt;1,"重复","唯一")</f>
        <v/>
      </c>
      <c r="T37" s="70" t="inlineStr">
        <is>
          <t>bc0fa22a6e7c32ed741079af21a73152e3404b7f4fd236cdb38e2a3ab0e477fa</t>
        </is>
      </c>
      <c r="U37" s="70" t="inlineStr">
        <is>
          <t>Codex</t>
        </is>
      </c>
      <c r="V37" s="71" t="n">
        <v>46264</v>
      </c>
      <c r="W37" s="57" t="inlineStr">
        <is>
          <t>用户自制Blender资产</t>
        </is>
      </c>
      <c r="X37" s="72" t="inlineStr">
        <is>
          <t>—</t>
        </is>
      </c>
      <c r="Y37" s="57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2eb1414de901→bc0fa22a6e7c。</t>
        </is>
      </c>
    </row>
    <row r="38" ht="276.1" customHeight="1" s="46">
      <c r="A38" s="70" t="inlineStr">
        <is>
          <t>WPN-GUN-FUTURE-CROCODILE-CANNON-3D</t>
        </is>
      </c>
      <c r="B38" s="57" t="inlineStr">
        <is>
          <t>鳄鱼加农炮</t>
        </is>
      </c>
      <c r="C38" s="57" t="inlineStr">
        <is>
          <t>武器</t>
        </is>
      </c>
      <c r="D38" s="70" t="inlineStr">
        <is>
          <t>gunbody</t>
        </is>
      </c>
      <c r="E38" s="70" t="inlineStr">
        <is>
          <t>future_crocodile_cannon</t>
        </is>
      </c>
      <c r="F38" s="70" t="inlineStr">
        <is>
          <t>root</t>
        </is>
      </c>
      <c r="G38" s="57" t="n"/>
      <c r="H38" s="57" t="inlineStr">
        <is>
          <t>俯视3D / local -Z 枪口</t>
        </is>
      </c>
      <c r="I38" s="70" t="inlineStr">
        <is>
          <t>default / 标准握把与8类挂点</t>
        </is>
      </c>
      <c r="J38" s="57" t="inlineStr">
        <is>
          <t>未来枪械池/独立资产</t>
        </is>
      </c>
      <c r="K38" s="57" t="inlineStr">
        <is>
          <t>已完成</t>
        </is>
      </c>
      <c r="L38" s="70" t="inlineStr">
        <is>
          <t>P2</t>
        </is>
      </c>
      <c r="M38" s="70" t="inlineStr">
        <is>
          <t>v001</t>
        </is>
      </c>
      <c r="N38" s="57" t="inlineStr">
        <is>
          <t>握把原点；local -Z枪口；3材质；独立GLB/PackedScene</t>
        </is>
      </c>
      <c r="O38" s="70" t="inlineStr">
        <is>
          <t>assets/art/weapons/weapon_3d/runtime/crocodile_cannon/wpn_crocodile_cannon_root_top3d_v001.tscn</t>
        </is>
      </c>
      <c r="P38" s="70" t="inlineStr">
        <is>
          <t>../ShellStorm2-backup/2026-10-11_slimming/original_tree/art_source/weapons/weapon_3d/source/crocodile_cannon/wpn_crocodile_cannon_source_v001.blend</t>
        </is>
      </c>
      <c r="Q38" s="70" t="inlineStr">
        <is>
          <t>crocodile_cannon; 鳄鱼加农炮; 未来枪械; 通用挂点; 多巴胺配色</t>
        </is>
      </c>
      <c r="R38" s="57">
        <f>LOWER(TRIM(C38)&amp;"|"&amp;TRIM(D38)&amp;"|"&amp;TRIM(E38)&amp;"|"&amp;TRIM(F38)&amp;"|"&amp;TRIM(H38)&amp;"|"&amp;TRIM(I38))</f>
        <v/>
      </c>
      <c r="S38" s="57">
        <f>IF(COUNTIF($R$6:$R$41,R38)&gt;1,"重复","唯一")</f>
        <v/>
      </c>
      <c r="T38" s="70" t="inlineStr">
        <is>
          <t>01d4ecf005d76562942e584db25fa586a9bfb9fa2533ea7290fbfdd65bc1f749</t>
        </is>
      </c>
      <c r="U38" s="70" t="inlineStr">
        <is>
          <t>Codex</t>
        </is>
      </c>
      <c r="V38" s="71" t="n">
        <v>46264</v>
      </c>
      <c r="W38" s="57" t="inlineStr">
        <is>
          <t>用户自制Blender资产</t>
        </is>
      </c>
      <c r="X38" s="72" t="inlineStr">
        <is>
          <t>—</t>
        </is>
      </c>
      <c r="Y38" s="57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3e46907368f7→01d4ecf005d7。</t>
        </is>
      </c>
    </row>
    <row r="39" ht="276.1" customHeight="1" s="46">
      <c r="A39" s="70" t="inlineStr">
        <is>
          <t>WPN-GUN-FUTURE-CAMERA-BLASTER-3D</t>
        </is>
      </c>
      <c r="B39" s="57" t="inlineStr">
        <is>
          <t>相机爆能枪</t>
        </is>
      </c>
      <c r="C39" s="57" t="inlineStr">
        <is>
          <t>武器</t>
        </is>
      </c>
      <c r="D39" s="70" t="inlineStr">
        <is>
          <t>gunbody</t>
        </is>
      </c>
      <c r="E39" s="70" t="inlineStr">
        <is>
          <t>future_camera_blaster</t>
        </is>
      </c>
      <c r="F39" s="70" t="inlineStr">
        <is>
          <t>root</t>
        </is>
      </c>
      <c r="G39" s="57" t="n"/>
      <c r="H39" s="57" t="inlineStr">
        <is>
          <t>俯视3D / local -Z 枪口</t>
        </is>
      </c>
      <c r="I39" s="70" t="inlineStr">
        <is>
          <t>default / 标准握把与8类挂点</t>
        </is>
      </c>
      <c r="J39" s="57" t="inlineStr">
        <is>
          <t>未来枪械池/独立资产</t>
        </is>
      </c>
      <c r="K39" s="57" t="inlineStr">
        <is>
          <t>已完成</t>
        </is>
      </c>
      <c r="L39" s="70" t="inlineStr">
        <is>
          <t>P2</t>
        </is>
      </c>
      <c r="M39" s="70" t="inlineStr">
        <is>
          <t>v001</t>
        </is>
      </c>
      <c r="N39" s="57" t="inlineStr">
        <is>
          <t>握把原点；local -Z枪口；3材质；独立GLB/PackedScene</t>
        </is>
      </c>
      <c r="O39" s="70" t="inlineStr">
        <is>
          <t>assets/art/weapons/weapon_3d/runtime/camera_blaster/wpn_camera_blaster_root_top3d_v001.tscn</t>
        </is>
      </c>
      <c r="P39" s="70" t="inlineStr">
        <is>
          <t>../ShellStorm2-backup/2026-10-11_slimming/original_tree/art_source/weapons/weapon_3d/source/camera_blaster/wpn_camera_blaster_source_v001.blend</t>
        </is>
      </c>
      <c r="Q39" s="70" t="inlineStr">
        <is>
          <t>camera_blaster; 相机爆能枪; 未来枪械; 通用挂点; 多巴胺配色</t>
        </is>
      </c>
      <c r="R39" s="57">
        <f>LOWER(TRIM(C39)&amp;"|"&amp;TRIM(D39)&amp;"|"&amp;TRIM(E39)&amp;"|"&amp;TRIM(F39)&amp;"|"&amp;TRIM(H39)&amp;"|"&amp;TRIM(I39))</f>
        <v/>
      </c>
      <c r="S39" s="57">
        <f>IF(COUNTIF($R$6:$R$41,R39)&gt;1,"重复","唯一")</f>
        <v/>
      </c>
      <c r="T39" s="70" t="inlineStr">
        <is>
          <t>07ec25c941bb19732944bafdaae85db88ea93b4a870606b3202669bee8313932</t>
        </is>
      </c>
      <c r="U39" s="70" t="inlineStr">
        <is>
          <t>Codex</t>
        </is>
      </c>
      <c r="V39" s="71" t="n">
        <v>46264</v>
      </c>
      <c r="W39" s="57" t="inlineStr">
        <is>
          <t>用户自制Blender资产</t>
        </is>
      </c>
      <c r="X39" s="72" t="inlineStr">
        <is>
          <t>—</t>
        </is>
      </c>
      <c r="Y39" s="57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3d49c92df382→07ec25c941bb。</t>
        </is>
      </c>
    </row>
    <row r="40" ht="276.1" customHeight="1" s="46">
      <c r="A40" s="70" t="inlineStr">
        <is>
          <t>WPN-GUN-FUTURE-TISSUE-BOX-CANNON-3D</t>
        </is>
      </c>
      <c r="B40" s="57" t="inlineStr">
        <is>
          <t>纸巾盒加农炮</t>
        </is>
      </c>
      <c r="C40" s="57" t="inlineStr">
        <is>
          <t>武器</t>
        </is>
      </c>
      <c r="D40" s="70" t="inlineStr">
        <is>
          <t>gunbody</t>
        </is>
      </c>
      <c r="E40" s="70" t="inlineStr">
        <is>
          <t>future_tissue_box_cannon</t>
        </is>
      </c>
      <c r="F40" s="70" t="inlineStr">
        <is>
          <t>root</t>
        </is>
      </c>
      <c r="G40" s="57" t="n"/>
      <c r="H40" s="57" t="inlineStr">
        <is>
          <t>俯视3D / local -Z 枪口</t>
        </is>
      </c>
      <c r="I40" s="70" t="inlineStr">
        <is>
          <t>default / 标准握把与8类挂点</t>
        </is>
      </c>
      <c r="J40" s="57" t="inlineStr">
        <is>
          <t>未来枪械池/独立资产</t>
        </is>
      </c>
      <c r="K40" s="57" t="inlineStr">
        <is>
          <t>已完成</t>
        </is>
      </c>
      <c r="L40" s="70" t="inlineStr">
        <is>
          <t>P2</t>
        </is>
      </c>
      <c r="M40" s="70" t="inlineStr">
        <is>
          <t>v001</t>
        </is>
      </c>
      <c r="N40" s="57" t="inlineStr">
        <is>
          <t>握把原点；local -Z枪口；3材质；独立GLB/PackedScene</t>
        </is>
      </c>
      <c r="O40" s="70" t="inlineStr">
        <is>
          <t>assets/art/weapons/weapon_3d/runtime/tissue_box_cannon/wpn_tissue_box_cannon_root_top3d_v001.tscn</t>
        </is>
      </c>
      <c r="P40" s="70" t="inlineStr">
        <is>
          <t>../ShellStorm2-backup/2026-10-11_slimming/original_tree/art_source/weapons/weapon_3d/source/tissue_box_cannon/wpn_tissue_box_cannon_source_v001.blend</t>
        </is>
      </c>
      <c r="Q40" s="70" t="inlineStr">
        <is>
          <t>tissue_box_cannon; 纸巾盒加农炮; 未来枪械; 通用挂点; 多巴胺配色</t>
        </is>
      </c>
      <c r="R40" s="57">
        <f>LOWER(TRIM(C40)&amp;"|"&amp;TRIM(D40)&amp;"|"&amp;TRIM(E40)&amp;"|"&amp;TRIM(F40)&amp;"|"&amp;TRIM(H40)&amp;"|"&amp;TRIM(I40))</f>
        <v/>
      </c>
      <c r="S40" s="57">
        <f>IF(COUNTIF($R$6:$R$41,R40)&gt;1,"重复","唯一")</f>
        <v/>
      </c>
      <c r="T40" s="70" t="inlineStr">
        <is>
          <t>6c277b10c52f4dde4790e91c760a6f981fa38af9b19bf67fdf584785659a618e</t>
        </is>
      </c>
      <c r="U40" s="70" t="inlineStr">
        <is>
          <t>Codex</t>
        </is>
      </c>
      <c r="V40" s="71" t="n">
        <v>46264</v>
      </c>
      <c r="W40" s="57" t="inlineStr">
        <is>
          <t>用户自制Blender资产</t>
        </is>
      </c>
      <c r="X40" s="72" t="inlineStr">
        <is>
          <t>—</t>
        </is>
      </c>
      <c r="Y40" s="57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a67bef331339→6c277b10c52f。</t>
        </is>
      </c>
    </row>
    <row r="41" ht="276.1" customHeight="1" s="46">
      <c r="A41" s="70" t="inlineStr">
        <is>
          <t>WPN-GUN-FUTURE-FAN-BLASTER-3D</t>
        </is>
      </c>
      <c r="B41" s="57" t="inlineStr">
        <is>
          <t>风扇爆能枪</t>
        </is>
      </c>
      <c r="C41" s="57" t="inlineStr">
        <is>
          <t>武器</t>
        </is>
      </c>
      <c r="D41" s="70" t="inlineStr">
        <is>
          <t>gunbody</t>
        </is>
      </c>
      <c r="E41" s="70" t="inlineStr">
        <is>
          <t>future_fan_blaster</t>
        </is>
      </c>
      <c r="F41" s="70" t="inlineStr">
        <is>
          <t>root</t>
        </is>
      </c>
      <c r="G41" s="57" t="n"/>
      <c r="H41" s="57" t="inlineStr">
        <is>
          <t>俯视3D / local -Z 枪口</t>
        </is>
      </c>
      <c r="I41" s="70" t="inlineStr">
        <is>
          <t>default / 标准握把与8类挂点</t>
        </is>
      </c>
      <c r="J41" s="57" t="inlineStr">
        <is>
          <t>未来枪械池/独立资产</t>
        </is>
      </c>
      <c r="K41" s="57" t="inlineStr">
        <is>
          <t>已完成</t>
        </is>
      </c>
      <c r="L41" s="70" t="inlineStr">
        <is>
          <t>P2</t>
        </is>
      </c>
      <c r="M41" s="70" t="inlineStr">
        <is>
          <t>v001</t>
        </is>
      </c>
      <c r="N41" s="57" t="inlineStr">
        <is>
          <t>握把原点；local -Z枪口；3材质；独立GLB/PackedScene</t>
        </is>
      </c>
      <c r="O41" s="70" t="inlineStr">
        <is>
          <t>assets/art/weapons/weapon_3d/runtime/fan_blaster/wpn_fan_blaster_root_top3d_v001.tscn</t>
        </is>
      </c>
      <c r="P41" s="70" t="inlineStr">
        <is>
          <t>../ShellStorm2-backup/2026-10-11_slimming/original_tree/art_source/weapons/weapon_3d/source/fan_blaster/wpn_fan_blaster_source_v001.blend</t>
        </is>
      </c>
      <c r="Q41" s="70" t="inlineStr">
        <is>
          <t>fan_blaster; 风扇爆能枪; 未来枪械; 通用挂点; 多巴胺配色</t>
        </is>
      </c>
      <c r="R41" s="57">
        <f>LOWER(TRIM(C41)&amp;"|"&amp;TRIM(D41)&amp;"|"&amp;TRIM(E41)&amp;"|"&amp;TRIM(F41)&amp;"|"&amp;TRIM(H41)&amp;"|"&amp;TRIM(I41))</f>
        <v/>
      </c>
      <c r="S41" s="57">
        <f>IF(COUNTIF($R$6:$R$41,R41)&gt;1,"重复","唯一")</f>
        <v/>
      </c>
      <c r="T41" s="70" t="inlineStr">
        <is>
          <t>5b740e26cc2b5e2b4cbdd1334b371224cba40165048a6747fad4e5962e53c8c7</t>
        </is>
      </c>
      <c r="U41" s="70" t="inlineStr">
        <is>
          <t>Codex</t>
        </is>
      </c>
      <c r="V41" s="71" t="n">
        <v>46264</v>
      </c>
      <c r="W41" s="57" t="inlineStr">
        <is>
          <t>用户自制Blender资产</t>
        </is>
      </c>
      <c r="X41" s="72" t="inlineStr">
        <is>
          <t>—</t>
        </is>
      </c>
      <c r="Y41" s="57" t="inlineStr">
        <is>
          <t>暂不绑定现有蓝图ID；已独立导入并统一Grip/Muzzle/Scope/Magazine/Stock/Tactical等节点。
2026-08-30 AST-01规范化（原制作状态：正式美术已入库/待玩法映射）
2026-08-30 AST-02：合法内容更新；文件为Git已跟踪且修改时间不早于原台账日期；验收：verify_weapon_instance_contract_matrix；SHA bde9a97ec8a3→5b740e26cc2b。</t>
        </is>
      </c>
    </row>
    <row r="79" ht="154.5" customHeight="1" s="46"/>
    <row r="113" ht="154.5" customHeight="1" s="46"/>
    <row r="120" ht="154.5" customHeight="1" s="46"/>
    <row r="123" ht="154.5" customHeight="1" s="46"/>
    <row r="124" ht="33.75" customHeight="1" s="46"/>
    <row r="125" ht="33.75" customHeight="1" s="46"/>
    <row r="126" ht="33.75" customHeight="1" s="46"/>
    <row r="127" ht="33.75" customHeight="1" s="46"/>
    <row r="128" ht="154.5" customHeight="1" s="46"/>
    <row r="129" ht="33.75" customHeight="1" s="46"/>
    <row r="130" ht="33.75" customHeight="1" s="46"/>
    <row r="131" ht="33.75" customHeight="1" s="46"/>
    <row r="132" ht="33.75" customHeight="1" s="46"/>
    <row r="133" ht="33.75" customHeight="1" s="46"/>
    <row r="134" ht="33.75" customHeight="1" s="46"/>
    <row r="135" ht="33.75" customHeight="1" s="46"/>
    <row r="136" ht="33.75" customHeight="1" s="46"/>
    <row r="137" ht="33.75" customHeight="1" s="46"/>
    <row r="138" ht="33.75" customHeight="1" s="46"/>
    <row r="139" ht="33.75" customHeight="1" s="46"/>
    <row r="143" ht="154.5" customHeight="1" s="46"/>
    <row r="146" ht="43.5" customHeight="1" s="46"/>
    <row r="147" ht="43.5" customHeight="1" s="46"/>
    <row r="148" ht="43.5" customHeight="1" s="46"/>
    <row r="149" ht="43.5" customHeight="1" s="46"/>
    <row r="150" ht="43.5" customHeight="1" s="46"/>
    <row r="151" ht="43.5" customHeight="1" s="46"/>
    <row r="152" ht="43.5" customHeight="1" s="46"/>
    <row r="153" ht="43.5" customHeight="1" s="46"/>
    <row r="154" ht="43.5" customHeight="1" s="46"/>
    <row r="155" ht="43.5" customHeight="1" s="46"/>
    <row r="156" ht="132" customHeight="1" s="46"/>
    <row r="157" ht="117.75" customHeight="1" s="46"/>
    <row r="158" ht="117.75" customHeight="1" s="46"/>
    <row r="159" ht="117.75" customHeight="1" s="46"/>
    <row r="160" ht="117.75" customHeight="1" s="46"/>
    <row r="161" ht="132" customHeight="1" s="46"/>
    <row r="162" ht="132" customHeight="1" s="46"/>
    <row r="163" ht="154.5" customHeight="1" s="46"/>
    <row r="164" ht="132" customHeight="1" s="46"/>
    <row r="165" ht="132" customHeight="1" s="46"/>
    <row r="166" ht="132" customHeight="1" s="46"/>
    <row r="167" ht="154.5" customHeight="1" s="46"/>
    <row r="168" ht="219.75" customHeight="1" s="46"/>
    <row r="169" ht="219.75" customHeight="1" s="46"/>
    <row r="172" ht="42" customHeight="1" s="46"/>
    <row r="173" ht="42" customHeight="1" s="46"/>
    <row r="174" ht="43.5" customHeight="1" s="46"/>
    <row r="175" ht="43.5" customHeight="1" s="46"/>
    <row r="176" ht="43.5" customHeight="1" s="46"/>
    <row r="177" ht="43.5" customHeight="1" s="46"/>
    <row r="178" ht="43.5" customHeight="1" s="46"/>
    <row r="179" ht="43.5" customHeight="1" s="46"/>
    <row r="180" ht="43.5" customHeight="1" s="46"/>
    <row r="181" ht="43.5" customHeight="1" s="46"/>
    <row r="182" ht="43.5" customHeight="1" s="46"/>
    <row r="183" ht="43.5" customHeight="1" s="46"/>
    <row r="184" ht="43.5" customHeight="1" s="46"/>
    <row r="185" ht="43.5" customHeight="1" s="46"/>
    <row r="186" ht="43.5" customHeight="1" s="46"/>
    <row r="187" ht="43.5" customHeight="1" s="46"/>
    <row r="188" ht="43.5" customHeight="1" s="46"/>
    <row r="189" ht="43.5" customHeight="1" s="46"/>
    <row r="190" ht="43.5" customHeight="1" s="46"/>
    <row r="191" ht="43.5" customHeight="1" s="46"/>
    <row r="192" ht="43.5" customHeight="1" s="46"/>
    <row r="193" ht="43.5" customHeight="1" s="46"/>
    <row r="194" ht="43.5" customHeight="1" s="46"/>
    <row r="195" ht="43.5" customHeight="1" s="46"/>
    <row r="196" ht="43.5" customHeight="1" s="46"/>
    <row r="197" ht="43.5" customHeight="1" s="46"/>
    <row r="198" ht="43.5" customHeight="1" s="46"/>
    <row r="199" ht="43.5" customHeight="1" s="46"/>
    <row r="200" ht="43.5" customHeight="1" s="46"/>
    <row r="201" ht="43.5" customHeight="1" s="46"/>
    <row r="202" ht="43.5" customHeight="1" s="46"/>
    <row r="203" ht="43.5" customHeight="1" s="46"/>
    <row r="204" ht="43.5" customHeight="1" s="46"/>
    <row r="240" ht="255" customHeight="1" s="46"/>
    <row r="281" ht="66" customHeight="1" s="46"/>
    <row r="282" ht="66" customHeight="1" s="46"/>
    <row r="283" ht="66" customHeight="1" s="46"/>
    <row r="284" ht="66" customHeight="1" s="46"/>
    <row r="285" ht="66" customHeight="1" s="46"/>
    <row r="286" ht="66" customHeight="1" s="46"/>
    <row r="287" ht="55.5" customHeight="1" s="46"/>
    <row r="301" ht="132" customHeight="1" s="46"/>
    <row r="302" ht="54" customHeight="1" s="46"/>
    <row r="303" ht="54" customHeight="1" s="46"/>
    <row r="304" ht="54" customHeight="1" s="46"/>
    <row r="305" ht="54" customHeight="1" s="46"/>
    <row r="306" ht="54" customHeight="1" s="46"/>
    <row r="307" ht="54" customHeight="1" s="46"/>
    <row r="308" ht="54" customHeight="1" s="46"/>
    <row r="309" ht="54" customHeight="1" s="46"/>
    <row r="310" ht="54" customHeight="1" s="46"/>
    <row r="311" ht="72" customHeight="1" s="46"/>
    <row r="312" ht="54" customHeight="1" s="46"/>
    <row r="313" ht="54" customHeight="1" s="46"/>
    <row r="314" ht="54" customHeight="1" s="46"/>
    <row r="315" ht="54" customHeight="1" s="46"/>
    <row r="316" ht="54" customHeight="1" s="46"/>
    <row r="317" ht="54" customHeight="1" s="46"/>
    <row r="318" ht="54" customHeight="1" s="46"/>
    <row r="319" ht="54" customHeight="1" s="46"/>
    <row r="320" ht="54" customHeight="1" s="46"/>
    <row r="321" ht="54" customHeight="1" s="46"/>
    <row r="322" ht="54" customHeight="1" s="46"/>
    <row r="323" ht="54" customHeight="1" s="46"/>
    <row r="324" ht="54" customHeight="1" s="46"/>
    <row r="325" ht="54" customHeight="1" s="46"/>
    <row r="326" ht="54" customHeight="1" s="46"/>
    <row r="327" ht="54" customHeight="1" s="46"/>
    <row r="328" ht="54" customHeight="1" s="46"/>
    <row r="329" ht="54" customHeight="1" s="46"/>
    <row r="330" ht="54" customHeight="1" s="46"/>
    <row r="331" ht="54" customHeight="1" s="46"/>
    <row r="332" ht="54" customHeight="1" s="46"/>
    <row r="333" ht="54" customHeight="1" s="46"/>
    <row r="334" ht="54" customHeight="1" s="46"/>
    <row r="335" ht="54" customHeight="1" s="46"/>
    <row r="336" ht="54" customHeight="1" s="46"/>
    <row r="337" ht="54" customHeight="1" s="46"/>
    <row r="338" ht="54" customHeight="1" s="46"/>
    <row r="339" ht="54" customHeight="1" s="46"/>
    <row r="340" ht="54" customHeight="1" s="46"/>
    <row r="341" ht="54" customHeight="1" s="46"/>
    <row r="342" ht="54" customHeight="1" s="46"/>
    <row r="343" ht="54" customHeight="1" s="46"/>
    <row r="344" ht="54" customHeight="1" s="46"/>
    <row r="345" ht="54" customHeight="1" s="46"/>
    <row r="346" ht="54" customHeight="1" s="46"/>
    <row r="347" ht="54" customHeight="1" s="46"/>
    <row r="348" ht="54" customHeight="1" s="46"/>
    <row r="349" ht="54" customHeight="1" s="46"/>
    <row r="350" ht="54" customHeight="1" s="46"/>
    <row r="351" ht="54" customHeight="1" s="46"/>
    <row r="352" ht="54" customHeight="1" s="46"/>
    <row r="353" ht="54" customHeight="1" s="46"/>
    <row r="354" ht="54" customHeight="1" s="46"/>
    <row r="355" ht="54" customHeight="1" s="46"/>
    <row r="356" ht="54" customHeight="1" s="46"/>
    <row r="357" ht="54" customHeight="1" s="46"/>
    <row r="358" ht="54" customHeight="1" s="46"/>
    <row r="359" ht="72" customHeight="1" s="46"/>
    <row r="360" ht="54" customHeight="1" s="46"/>
    <row r="361" ht="54" customHeight="1" s="46"/>
    <row r="362" ht="54" customHeight="1" s="46"/>
    <row r="363" ht="54" customHeight="1" s="46"/>
    <row r="364" ht="54" customHeight="1" s="46"/>
    <row r="365" ht="54" customHeight="1" s="46"/>
    <row r="366" ht="54" customHeight="1" s="46"/>
    <row r="367" ht="54" customHeight="1" s="46"/>
    <row r="368" ht="72" customHeight="1" s="46"/>
    <row r="369" ht="54" customHeight="1" s="46"/>
    <row r="370" ht="54" customHeight="1" s="46"/>
    <row r="371" ht="54" customHeight="1" s="46"/>
    <row r="372" ht="54" customHeight="1" s="46"/>
    <row r="373" ht="54" customHeight="1" s="46"/>
    <row r="374" ht="54" customHeight="1" s="46"/>
    <row r="375" ht="54" customHeight="1" s="46"/>
    <row r="376" ht="54" customHeight="1" s="46"/>
    <row r="377" ht="54" customHeight="1" s="46"/>
    <row r="378" ht="54" customHeight="1" s="46"/>
    <row r="379" ht="54" customHeight="1" s="46"/>
    <row r="380" ht="54" customHeight="1" s="46"/>
    <row r="381" ht="54" customHeight="1" s="46"/>
    <row r="382" ht="54" customHeight="1" s="46"/>
    <row r="383" ht="54" customHeight="1" s="46"/>
    <row r="384" ht="54" customHeight="1" s="46"/>
    <row r="385" ht="54" customHeight="1" s="46"/>
    <row r="386" ht="54" customHeight="1" s="46"/>
    <row r="387" ht="54" customHeight="1" s="46"/>
    <row r="388" ht="54" customHeight="1" s="46"/>
    <row r="389" ht="54" customHeight="1" s="46"/>
    <row r="390" ht="54" customHeight="1" s="46"/>
    <row r="391" ht="54" customHeight="1" s="46"/>
    <row r="392" ht="54" customHeight="1" s="46"/>
    <row r="393" ht="54" customHeight="1" s="46"/>
    <row r="394" ht="54" customHeight="1" s="46"/>
    <row r="395" ht="54" customHeight="1" s="46"/>
    <row r="396" ht="54" customHeight="1" s="46"/>
    <row r="397" ht="54" customHeight="1" s="46"/>
    <row r="398" ht="54" customHeight="1" s="46"/>
    <row r="399" ht="54" customHeight="1" s="46"/>
    <row r="400" ht="54" customHeight="1" s="46"/>
    <row r="401" ht="54" customHeight="1" s="46"/>
    <row r="402" ht="54" customHeight="1" s="46"/>
    <row r="403" ht="54" customHeight="1" s="46"/>
    <row r="404" ht="54" customHeight="1" s="46"/>
    <row r="405" ht="54" customHeight="1" s="46"/>
    <row r="406" ht="54" customHeight="1" s="46"/>
    <row r="407" ht="54" customHeight="1" s="46"/>
    <row r="408" ht="54" customHeight="1" s="46"/>
    <row r="409" ht="54" customHeight="1" s="46"/>
    <row r="410" ht="54" customHeight="1" s="46"/>
    <row r="411" ht="54" customHeight="1" s="46"/>
    <row r="412" ht="54" customHeight="1" s="46"/>
    <row r="413" ht="75.75" customHeight="1" s="46"/>
    <row r="414" ht="72" customHeight="1" s="46"/>
    <row r="415" ht="72" customHeight="1" s="46"/>
    <row r="416" ht="72" customHeight="1" s="46"/>
    <row r="424" ht="84.75" customHeight="1" s="46"/>
    <row r="425" ht="84.75" customHeight="1" s="46"/>
    <row r="426" ht="84.75" customHeight="1" s="46"/>
    <row r="427" ht="84.75" customHeight="1" s="46"/>
    <row r="429" ht="120" customHeight="1" s="46"/>
  </sheetData>
  <autoFilter ref="A5:X41"/>
  <mergeCells count="2">
    <mergeCell ref="A1:X2"/>
    <mergeCell ref="A3:X3"/>
  </mergeCells>
  <conditionalFormatting sqref="S6:S41">
    <cfRule type="containsText" rank="0" priority="2" equalAverage="0" operator="containsText" aboveAverage="0" dxfId="6" text="重复" percent="0" bottom="0">
      <formula>NOT(ISERROR(SEARCH("重复",S6)))</formula>
    </cfRule>
  </conditionalFormatting>
  <conditionalFormatting sqref="K6:K41">
    <cfRule type="containsText" rank="0" priority="3" equalAverage="0" operator="containsText" aboveAverage="0" dxfId="7" text="已完成" percent="0" bottom="0">
      <formula>NOT(ISERROR(SEARCH("已完成",K6)))</formula>
    </cfRule>
    <cfRule type="containsText" rank="0" priority="4" equalAverage="0" operator="containsText" aboveAverage="0" dxfId="8" text="待制作" percent="0" bottom="0">
      <formula>NOT(ISERROR(SEARCH("待制作",K6)))</formula>
    </cfRule>
  </conditionalFormatting>
  <dataValidations count="3">
    <dataValidation sqref="C6:C41" showDropDown="0" showInputMessage="0" showErrorMessage="0" allowBlank="1" type="list" errorStyle="stop" operator="between">
      <formula1>"角色,敌人,武器,道具,场景,场景道具,基地资产包,UI,特效,音频"</formula1>
      <formula2>0</formula2>
    </dataValidation>
    <dataValidation sqref="K6:K41" showDropDown="0" showInputMessage="0" showErrorMessage="0" allowBlank="1" type="list" errorStyle="stop" operator="between">
      <formula1>"待制作,程序占位,已完成,原型已接入,弃用,旧资产已从正式基地移除,正式美术已接入,已优化并正式接入,Blender源已完成,已导入；优化完成,已从运行场景移除,白盒组件"</formula1>
      <formula2>0</formula2>
    </dataValidation>
    <dataValidation sqref="L6:L41" showDropDown="0" showInputMessage="0" showErrorMessage="0" allowBlank="1" type="list" errorStyle="stop" operator="between">
      <formula1>"P0,P1,P2,P3"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P26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35.81" customWidth="1" style="45" min="1" max="1"/>
    <col width="25.07" customWidth="1" style="45" min="2" max="2"/>
    <col width="52.52" customWidth="1" style="45" min="3" max="3"/>
    <col width="50.13" customWidth="1" style="45" min="4" max="4"/>
    <col width="45.35" customWidth="1" style="45" min="5" max="5"/>
    <col width="32.22" customWidth="1" style="45" min="6" max="6"/>
    <col width="42.97" customWidth="1" style="45" min="7" max="7"/>
    <col width="11.94" customWidth="1" style="45" min="8" max="8"/>
    <col width="14.33" customWidth="1" style="45" min="9" max="9"/>
    <col width="21.48" customWidth="1" style="45" min="10" max="10"/>
    <col width="31.03" customWidth="1" style="45" min="11" max="11"/>
    <col width="28.65" customWidth="1" style="45" min="12" max="13"/>
    <col width="26.26" customWidth="1" style="45" min="14" max="14"/>
    <col width="11.94" customWidth="1" style="45" min="15" max="15"/>
    <col width="52.52" customWidth="1" style="45" min="16" max="16"/>
  </cols>
  <sheetData>
    <row r="1" ht="30" customHeight="1" s="46">
      <c r="A1" s="75" t="inlineStr">
        <is>
          <t>ShellStorm2 · 武器 3D Prefab</t>
        </is>
      </c>
    </row>
    <row r="2" ht="33.75" customHeight="1" s="46">
      <c r="A2" s="76" t="inlineStr">
        <is>
          <t>枪械、近战武器与武器装配根；本次扫描 22 个独立Prefab。</t>
        </is>
      </c>
    </row>
    <row r="4" ht="30" customHeight="1" s="46">
      <c r="A4" s="77" t="inlineStr">
        <is>
          <t>AssetID</t>
        </is>
      </c>
      <c r="B4" s="78" t="inlineStr">
        <is>
          <t>中文名</t>
        </is>
      </c>
      <c r="C4" s="79" t="inlineStr">
        <is>
          <t>Prefab路径</t>
        </is>
      </c>
      <c r="D4" s="79" t="inlineStr">
        <is>
          <t>GLB模型路径</t>
        </is>
      </c>
      <c r="E4" s="79" t="inlineStr">
        <is>
          <t>Blender源文件</t>
        </is>
      </c>
      <c r="F4" s="78" t="inlineStr">
        <is>
          <t>功能说明</t>
        </is>
      </c>
      <c r="G4" s="78" t="inlineStr">
        <is>
          <t>功能脚本路径</t>
        </is>
      </c>
      <c r="H4" s="78" t="inlineStr">
        <is>
          <t>碰撞开关</t>
        </is>
      </c>
      <c r="I4" s="78" t="inlineStr">
        <is>
          <t>碰撞归属</t>
        </is>
      </c>
      <c r="J4" s="78" t="inlineStr">
        <is>
          <t>碰撞方式</t>
        </is>
      </c>
      <c r="K4" s="78" t="inlineStr">
        <is>
          <t>标准尺寸</t>
        </is>
      </c>
      <c r="L4" s="78" t="inlineStr">
        <is>
          <t>原点与朝向</t>
        </is>
      </c>
      <c r="M4" s="78" t="inlineStr">
        <is>
          <t>使用位置</t>
        </is>
      </c>
      <c r="N4" s="78" t="inlineStr">
        <is>
          <t>制作状态</t>
        </is>
      </c>
      <c r="O4" s="78" t="inlineStr">
        <is>
          <t>版本</t>
        </is>
      </c>
      <c r="P4" s="80" t="inlineStr">
        <is>
          <t>备注</t>
        </is>
      </c>
    </row>
    <row r="5" ht="66" customHeight="1" s="46">
      <c r="A5" s="81" t="inlineStr">
        <is>
          <t>WPN-MELEE-BP-BASEBALL-BAT</t>
        </is>
      </c>
      <c r="B5" s="82" t="inlineStr">
        <is>
          <t>废土棒球棍程序原型</t>
        </is>
      </c>
      <c r="C5" s="83" t="inlineStr">
        <is>
          <t>assets/art/weapons/melee_3d/wpn_melee_baseball_bat_root_top3d_v001.tscn</t>
        </is>
      </c>
      <c r="D5" s="83" t="n"/>
      <c r="E5" s="83" t="n"/>
      <c r="F5" s="82" t="inlineStr">
        <is>
          <t>武器3D表现Prefab；由武器系统装配</t>
        </is>
      </c>
      <c r="G5" s="83" t="inlineStr">
        <is>
          <t>src/combat3d/MeleeWeaponVisual3D.gd</t>
        </is>
      </c>
      <c r="H5" s="82" t="inlineStr">
        <is>
          <t>无</t>
        </is>
      </c>
      <c r="I5" s="82" t="inlineStr">
        <is>
          <t>无</t>
        </is>
      </c>
      <c r="J5" s="82" t="inlineStr">
        <is>
          <t>无</t>
        </is>
      </c>
      <c r="K5" s="82" t="inlineStr">
        <is>
          <t>程序Mesh；0.28×0.28×1.48m；无碰撞</t>
        </is>
      </c>
      <c r="L5" s="82" t="inlineStr">
        <is>
          <t>未声明</t>
        </is>
      </c>
      <c r="M5" s="82" t="inlineStr">
        <is>
          <t>手持/背负/地面/背包图标/表现页/基地贩卖机</t>
        </is>
      </c>
      <c r="N5" s="82" t="inlineStr">
        <is>
          <t>程序占位</t>
        </is>
      </c>
      <c r="O5" s="83" t="inlineStr">
        <is>
          <t>v001</t>
        </is>
      </c>
      <c r="P5" s="84" t="inlineStr">
        <is>
          <t>根节点=BaseballBatRootTop3D(Node3D)</t>
        </is>
      </c>
    </row>
    <row r="6" ht="66" customHeight="1" s="46">
      <c r="A6" s="85" t="inlineStr">
        <is>
          <t>WPN-MELEE-BP-GREATBLADE</t>
        </is>
      </c>
      <c r="B6" s="86" t="inlineStr">
        <is>
          <t>巨型工业断刃程序原型</t>
        </is>
      </c>
      <c r="C6" s="87" t="inlineStr">
        <is>
          <t>assets/art/weapons/melee_3d/wpn_melee_greatblade_root_top3d_v001.tscn</t>
        </is>
      </c>
      <c r="D6" s="87" t="n"/>
      <c r="E6" s="87" t="n"/>
      <c r="F6" s="86" t="inlineStr">
        <is>
          <t>武器3D表现Prefab；由武器系统装配</t>
        </is>
      </c>
      <c r="G6" s="87" t="inlineStr">
        <is>
          <t>src/combat3d/MeleeWeaponVisual3D.gd</t>
        </is>
      </c>
      <c r="H6" s="86" t="inlineStr">
        <is>
          <t>无</t>
        </is>
      </c>
      <c r="I6" s="86" t="inlineStr">
        <is>
          <t>无</t>
        </is>
      </c>
      <c r="J6" s="86" t="inlineStr">
        <is>
          <t>无</t>
        </is>
      </c>
      <c r="K6" s="86" t="inlineStr">
        <is>
          <t>程序Mesh；0.82×0.30×2.42m；无碰撞</t>
        </is>
      </c>
      <c r="L6" s="86" t="inlineStr">
        <is>
          <t>未声明</t>
        </is>
      </c>
      <c r="M6" s="86" t="inlineStr">
        <is>
          <t>手持/背负/地面/背包图标/表现页</t>
        </is>
      </c>
      <c r="N6" s="86" t="inlineStr">
        <is>
          <t>程序占位</t>
        </is>
      </c>
      <c r="O6" s="87" t="inlineStr">
        <is>
          <t>v001</t>
        </is>
      </c>
      <c r="P6" s="88" t="inlineStr">
        <is>
          <t>根节点=GreatbladeVisual3D(Node3D)</t>
        </is>
      </c>
    </row>
    <row r="7" ht="66" customHeight="1" s="46">
      <c r="A7" s="85" t="inlineStr">
        <is>
          <t>WPN-MELEE-BP-WARAXE</t>
        </is>
      </c>
      <c r="B7" s="86" t="inlineStr">
        <is>
          <t>攻城裂甲斧程序原型</t>
        </is>
      </c>
      <c r="C7" s="87" t="inlineStr">
        <is>
          <t>assets/art/weapons/melee_3d/wpn_melee_waraxe_root_top3d_v001.tscn</t>
        </is>
      </c>
      <c r="D7" s="87" t="n"/>
      <c r="E7" s="87" t="n"/>
      <c r="F7" s="86" t="inlineStr">
        <is>
          <t>武器3D表现Prefab；由武器系统装配</t>
        </is>
      </c>
      <c r="G7" s="87" t="inlineStr">
        <is>
          <t>src/combat3d/MeleeWeaponVisual3D.gd</t>
        </is>
      </c>
      <c r="H7" s="86" t="inlineStr">
        <is>
          <t>无</t>
        </is>
      </c>
      <c r="I7" s="86" t="inlineStr">
        <is>
          <t>无</t>
        </is>
      </c>
      <c r="J7" s="86" t="inlineStr">
        <is>
          <t>无</t>
        </is>
      </c>
      <c r="K7" s="86" t="inlineStr">
        <is>
          <t>程序Mesh；1.18×0.34×2.62m；无碰撞</t>
        </is>
      </c>
      <c r="L7" s="86" t="inlineStr">
        <is>
          <t>未声明</t>
        </is>
      </c>
      <c r="M7" s="86" t="inlineStr">
        <is>
          <t>手持/背负/地面/背包图标/表现页</t>
        </is>
      </c>
      <c r="N7" s="86" t="inlineStr">
        <is>
          <t>程序占位</t>
        </is>
      </c>
      <c r="O7" s="87" t="inlineStr">
        <is>
          <t>v001</t>
        </is>
      </c>
      <c r="P7" s="88" t="inlineStr">
        <is>
          <t>根节点=WaraxeVisual3D(Node3D)</t>
        </is>
      </c>
    </row>
    <row r="8" ht="66" customHeight="1" s="46">
      <c r="A8" s="85" t="inlineStr">
        <is>
          <t>WPN-GUN-BP-RIFLE</t>
        </is>
      </c>
      <c r="B8" s="86" t="inlineStr">
        <is>
          <t>步枪 / 扫帚步枪造型</t>
        </is>
      </c>
      <c r="C8" s="87" t="inlineStr">
        <is>
          <t>assets/art/weapons/weapon_3d/runtime/broom_rifle/wpn_broom_rifle_root_top3d_v001.tscn</t>
        </is>
      </c>
      <c r="D8" s="87" t="inlineStr">
        <is>
          <t>assets/art/weapons/weapon_3d/components/broom_rifle/wpn_broom_rifle_visual_top3d_v003.glb</t>
        </is>
      </c>
      <c r="E8" s="87" t="inlineStr">
        <is>
          <t>art_source/weapons/weapon_3d/source/broom_rifle/wpn_broom_rifle_source_v003.blend</t>
        </is>
      </c>
      <c r="F8" s="86" t="inlineStr">
        <is>
          <t>武器3D表现Prefab；由武器系统装配</t>
        </is>
      </c>
      <c r="G8" s="87" t="inlineStr">
        <is>
          <t>src/player3d/WeaponModel3D.gd</t>
        </is>
      </c>
      <c r="H8" s="86" t="inlineStr">
        <is>
          <t>无</t>
        </is>
      </c>
      <c r="I8" s="86" t="inlineStr">
        <is>
          <t>无</t>
        </is>
      </c>
      <c r="J8" s="86" t="inlineStr">
        <is>
          <t>无</t>
        </is>
      </c>
      <c r="K8" s="86" t="inlineStr">
        <is>
          <t>握把原点；local -Z枪口；3材质；独立GLB/PackedScene</t>
        </is>
      </c>
      <c r="L8" s="87" t="inlineStr">
        <is>
          <t>-Z</t>
        </is>
      </c>
      <c r="M8" s="86" t="inlineStr">
        <is>
          <t>手持/背负/地面/UI 共用独立PackedScene</t>
        </is>
      </c>
      <c r="N8" s="86" t="inlineStr">
        <is>
          <t>正式美术已接入</t>
        </is>
      </c>
      <c r="O8" s="87" t="inlineStr">
        <is>
          <t>v001</t>
        </is>
      </c>
      <c r="P8" s="88" t="inlineStr">
        <is>
          <t>根节点=扫帚步枪(Node3D)</t>
        </is>
      </c>
    </row>
    <row r="9" ht="66" customHeight="1" s="46">
      <c r="A9" s="85" t="inlineStr">
        <is>
          <t>WPN-GUN-FUTURE-CAMERA-BLASTER-3D</t>
        </is>
      </c>
      <c r="B9" s="86" t="inlineStr">
        <is>
          <t>相机爆能枪</t>
        </is>
      </c>
      <c r="C9" s="87" t="inlineStr">
        <is>
          <t>assets/art/weapons/weapon_3d/runtime/camera_blaster/wpn_camera_blaster_root_top3d_v001.tscn</t>
        </is>
      </c>
      <c r="D9" s="87" t="inlineStr">
        <is>
          <t>assets/art/weapons/weapon_3d/components/camera_blaster/wpn_camera_blaster_visual_top3d_v003.glb</t>
        </is>
      </c>
      <c r="E9" s="87" t="inlineStr">
        <is>
          <t>art_source/weapons/weapon_3d/source/camera_blaster/wpn_camera_blaster_source_v003.blend</t>
        </is>
      </c>
      <c r="F9" s="86" t="inlineStr">
        <is>
          <t>武器3D表现Prefab；由武器系统装配</t>
        </is>
      </c>
      <c r="G9" s="87" t="inlineStr">
        <is>
          <t>src/player3d/WeaponModel3D.gd</t>
        </is>
      </c>
      <c r="H9" s="86" t="inlineStr">
        <is>
          <t>无</t>
        </is>
      </c>
      <c r="I9" s="86" t="inlineStr">
        <is>
          <t>无</t>
        </is>
      </c>
      <c r="J9" s="86" t="inlineStr">
        <is>
          <t>无</t>
        </is>
      </c>
      <c r="K9" s="86" t="inlineStr">
        <is>
          <t>握把原点；local -Z枪口；3材质；独立GLB/PackedScene</t>
        </is>
      </c>
      <c r="L9" s="87" t="inlineStr">
        <is>
          <t>-Z</t>
        </is>
      </c>
      <c r="M9" s="86" t="inlineStr">
        <is>
          <t>未来枪械池/独立资产</t>
        </is>
      </c>
      <c r="N9" s="86" t="inlineStr">
        <is>
          <t>正式美术已入库/待玩法映射</t>
        </is>
      </c>
      <c r="O9" s="87" t="inlineStr">
        <is>
          <t>v001</t>
        </is>
      </c>
      <c r="P9" s="88" t="inlineStr">
        <is>
          <t>根节点=相机爆能枪(Node3D)</t>
        </is>
      </c>
    </row>
    <row r="10" ht="66" customHeight="1" s="46">
      <c r="A10" s="85" t="inlineStr">
        <is>
          <t>WPN-GUN-BP-SNIPER</t>
        </is>
      </c>
      <c r="B10" s="86" t="inlineStr">
        <is>
          <t>弹弓狙击 / 糖果狙击枪造型</t>
        </is>
      </c>
      <c r="C10" s="87" t="inlineStr">
        <is>
          <t>assets/art/weapons/weapon_3d/runtime/candy_sniper/wpn_candy_sniper_root_top3d_v001.tscn</t>
        </is>
      </c>
      <c r="D10" s="87" t="inlineStr">
        <is>
          <t>assets/art/weapons/weapon_3d/components/candy_sniper/wpn_candy_sniper_visual_top3d_v003.glb</t>
        </is>
      </c>
      <c r="E10" s="87" t="inlineStr">
        <is>
          <t>art_source/weapons/weapon_3d/source/candy_sniper/wpn_candy_sniper_source_v003.blend</t>
        </is>
      </c>
      <c r="F10" s="86" t="inlineStr">
        <is>
          <t>武器3D表现Prefab；由武器系统装配</t>
        </is>
      </c>
      <c r="G10" s="87" t="inlineStr">
        <is>
          <t>src/player3d/WeaponModel3D.gd</t>
        </is>
      </c>
      <c r="H10" s="86" t="inlineStr">
        <is>
          <t>无</t>
        </is>
      </c>
      <c r="I10" s="86" t="inlineStr">
        <is>
          <t>无</t>
        </is>
      </c>
      <c r="J10" s="86" t="inlineStr">
        <is>
          <t>无</t>
        </is>
      </c>
      <c r="K10" s="86" t="inlineStr">
        <is>
          <t>握把原点；local -Z枪口；3材质；独立GLB/PackedScene</t>
        </is>
      </c>
      <c r="L10" s="87" t="inlineStr">
        <is>
          <t>-Z</t>
        </is>
      </c>
      <c r="M10" s="86" t="inlineStr">
        <is>
          <t>手持/背负/地面/UI 共用独立PackedScene</t>
        </is>
      </c>
      <c r="N10" s="86" t="inlineStr">
        <is>
          <t>正式美术已接入</t>
        </is>
      </c>
      <c r="O10" s="87" t="inlineStr">
        <is>
          <t>v001</t>
        </is>
      </c>
      <c r="P10" s="88" t="inlineStr">
        <is>
          <t>根节点=糖果狙击枪(Node3D)</t>
        </is>
      </c>
    </row>
    <row r="11" ht="66" customHeight="1" s="46">
      <c r="A11" s="85" t="inlineStr">
        <is>
          <t>WPN-GUN-FUTURE-CROCODILE-CANNON-3D</t>
        </is>
      </c>
      <c r="B11" s="86" t="inlineStr">
        <is>
          <t>鳄鱼加农炮</t>
        </is>
      </c>
      <c r="C11" s="87" t="inlineStr">
        <is>
          <t>assets/art/weapons/weapon_3d/runtime/crocodile_cannon/wpn_crocodile_cannon_root_top3d_v001.tscn</t>
        </is>
      </c>
      <c r="D11" s="87" t="inlineStr">
        <is>
          <t>assets/art/weapons/weapon_3d/components/crocodile_cannon/wpn_crocodile_cannon_visual_top3d_v003.glb</t>
        </is>
      </c>
      <c r="E11" s="87" t="inlineStr">
        <is>
          <t>art_source/weapons/weapon_3d/source/crocodile_cannon/wpn_crocodile_cannon_source_v003.blend</t>
        </is>
      </c>
      <c r="F11" s="86" t="inlineStr">
        <is>
          <t>武器3D表现Prefab；由武器系统装配</t>
        </is>
      </c>
      <c r="G11" s="87" t="inlineStr">
        <is>
          <t>src/player3d/WeaponModel3D.gd</t>
        </is>
      </c>
      <c r="H11" s="86" t="inlineStr">
        <is>
          <t>无</t>
        </is>
      </c>
      <c r="I11" s="86" t="inlineStr">
        <is>
          <t>无</t>
        </is>
      </c>
      <c r="J11" s="86" t="inlineStr">
        <is>
          <t>无</t>
        </is>
      </c>
      <c r="K11" s="86" t="inlineStr">
        <is>
          <t>握把原点；local -Z枪口；3材质；独立GLB/PackedScene</t>
        </is>
      </c>
      <c r="L11" s="87" t="inlineStr">
        <is>
          <t>-Z</t>
        </is>
      </c>
      <c r="M11" s="86" t="inlineStr">
        <is>
          <t>未来枪械池/独立资产</t>
        </is>
      </c>
      <c r="N11" s="86" t="inlineStr">
        <is>
          <t>正式美术已入库/待玩法映射</t>
        </is>
      </c>
      <c r="O11" s="87" t="inlineStr">
        <is>
          <t>v001</t>
        </is>
      </c>
      <c r="P11" s="88" t="inlineStr">
        <is>
          <t>根节点=鳄鱼加农炮(Node3D)</t>
        </is>
      </c>
    </row>
    <row r="12" ht="66" customHeight="1" s="46">
      <c r="A12" s="85" t="inlineStr">
        <is>
          <t>WPN-GUN-BP-SHOTGUN</t>
        </is>
      </c>
      <c r="B12" s="86" t="inlineStr">
        <is>
          <t>散射喷壶 / 双管炮造型</t>
        </is>
      </c>
      <c r="C12" s="87" t="inlineStr">
        <is>
          <t>assets/art/weapons/weapon_3d/runtime/double_barrel_cannon/wpn_double_barrel_cannon_root_top3d_v001.tscn</t>
        </is>
      </c>
      <c r="D12" s="87" t="inlineStr">
        <is>
          <t>assets/art/weapons/weapon_3d/components/double_barrel_cannon/wpn_double_barrel_cannon_visual_top3d_v003.glb</t>
        </is>
      </c>
      <c r="E12" s="87" t="inlineStr">
        <is>
          <t>art_source/weapons/weapon_3d/source/double_barrel_cannon/wpn_double_barrel_cannon_source_v003.blend</t>
        </is>
      </c>
      <c r="F12" s="86" t="inlineStr">
        <is>
          <t>武器3D表现Prefab；由武器系统装配</t>
        </is>
      </c>
      <c r="G12" s="87" t="inlineStr">
        <is>
          <t>src/player3d/WeaponModel3D.gd</t>
        </is>
      </c>
      <c r="H12" s="86" t="inlineStr">
        <is>
          <t>无</t>
        </is>
      </c>
      <c r="I12" s="86" t="inlineStr">
        <is>
          <t>无</t>
        </is>
      </c>
      <c r="J12" s="86" t="inlineStr">
        <is>
          <t>无</t>
        </is>
      </c>
      <c r="K12" s="86" t="inlineStr">
        <is>
          <t>握把原点；local -Z枪口；3材质；独立GLB/PackedScene</t>
        </is>
      </c>
      <c r="L12" s="87" t="inlineStr">
        <is>
          <t>-Z</t>
        </is>
      </c>
      <c r="M12" s="86" t="inlineStr">
        <is>
          <t>手持/背负/地面/UI 共用独立PackedScene</t>
        </is>
      </c>
      <c r="N12" s="86" t="inlineStr">
        <is>
          <t>正式美术已接入</t>
        </is>
      </c>
      <c r="O12" s="87" t="inlineStr">
        <is>
          <t>v001</t>
        </is>
      </c>
      <c r="P12" s="88" t="inlineStr">
        <is>
          <t>根节点=双管炮(Node3D)</t>
        </is>
      </c>
    </row>
    <row r="13" ht="66" customHeight="1" s="46">
      <c r="A13" s="85" t="inlineStr">
        <is>
          <t>WPN-GUN-FUTURE-FAN-BLASTER-3D</t>
        </is>
      </c>
      <c r="B13" s="86" t="inlineStr">
        <is>
          <t>风扇爆能枪</t>
        </is>
      </c>
      <c r="C13" s="87" t="inlineStr">
        <is>
          <t>assets/art/weapons/weapon_3d/runtime/fan_blaster/wpn_fan_blaster_root_top3d_v001.tscn</t>
        </is>
      </c>
      <c r="D13" s="87" t="inlineStr">
        <is>
          <t>assets/art/weapons/weapon_3d/components/fan_blaster/wpn_fan_blaster_visual_top3d_v003.glb</t>
        </is>
      </c>
      <c r="E13" s="87" t="inlineStr">
        <is>
          <t>art_source/weapons/weapon_3d/source/fan_blaster/wpn_fan_blaster_source_v003.blend</t>
        </is>
      </c>
      <c r="F13" s="86" t="inlineStr">
        <is>
          <t>武器3D表现Prefab；由武器系统装配</t>
        </is>
      </c>
      <c r="G13" s="87" t="inlineStr">
        <is>
          <t>src/player3d/WeaponModel3D.gd</t>
        </is>
      </c>
      <c r="H13" s="86" t="inlineStr">
        <is>
          <t>无</t>
        </is>
      </c>
      <c r="I13" s="86" t="inlineStr">
        <is>
          <t>无</t>
        </is>
      </c>
      <c r="J13" s="86" t="inlineStr">
        <is>
          <t>无</t>
        </is>
      </c>
      <c r="K13" s="86" t="inlineStr">
        <is>
          <t>握把原点；local -Z枪口；3材质；独立GLB/PackedScene</t>
        </is>
      </c>
      <c r="L13" s="87" t="inlineStr">
        <is>
          <t>-Z</t>
        </is>
      </c>
      <c r="M13" s="86" t="inlineStr">
        <is>
          <t>未来枪械池/独立资产</t>
        </is>
      </c>
      <c r="N13" s="86" t="inlineStr">
        <is>
          <t>正式美术已入库/待玩法映射</t>
        </is>
      </c>
      <c r="O13" s="87" t="inlineStr">
        <is>
          <t>v001</t>
        </is>
      </c>
      <c r="P13" s="88" t="inlineStr">
        <is>
          <t>根节点=风扇爆能枪(Node3D)</t>
        </is>
      </c>
    </row>
    <row r="14" ht="66" customHeight="1" s="46">
      <c r="A14" s="85" t="inlineStr">
        <is>
          <t>WPN-GUN-FUTURE-FRYING-PAN-CANNON-3D</t>
        </is>
      </c>
      <c r="B14" s="86" t="inlineStr">
        <is>
          <t>平底锅加农炮</t>
        </is>
      </c>
      <c r="C14" s="87" t="inlineStr">
        <is>
          <t>assets/art/weapons/weapon_3d/runtime/frying_pan_cannon/wpn_frying_pan_cannon_root_top3d_v001.tscn</t>
        </is>
      </c>
      <c r="D14" s="87" t="inlineStr">
        <is>
          <t>assets/art/weapons/weapon_3d/components/frying_pan_cannon/wpn_frying_pan_cannon_visual_top3d_v003.glb</t>
        </is>
      </c>
      <c r="E14" s="87" t="inlineStr">
        <is>
          <t>art_source/weapons/weapon_3d/source/frying_pan_cannon/wpn_frying_pan_cannon_source_v003.blend</t>
        </is>
      </c>
      <c r="F14" s="86" t="inlineStr">
        <is>
          <t>武器3D表现Prefab；由武器系统装配</t>
        </is>
      </c>
      <c r="G14" s="87" t="inlineStr">
        <is>
          <t>src/player3d/WeaponModel3D.gd</t>
        </is>
      </c>
      <c r="H14" s="86" t="inlineStr">
        <is>
          <t>无</t>
        </is>
      </c>
      <c r="I14" s="86" t="inlineStr">
        <is>
          <t>无</t>
        </is>
      </c>
      <c r="J14" s="86" t="inlineStr">
        <is>
          <t>无</t>
        </is>
      </c>
      <c r="K14" s="86" t="inlineStr">
        <is>
          <t>握把原点；local -Z枪口；3材质；独立GLB/PackedScene</t>
        </is>
      </c>
      <c r="L14" s="87" t="inlineStr">
        <is>
          <t>-Z</t>
        </is>
      </c>
      <c r="M14" s="86" t="inlineStr">
        <is>
          <t>未来枪械池/独立资产</t>
        </is>
      </c>
      <c r="N14" s="86" t="inlineStr">
        <is>
          <t>正式美术已入库/待玩法映射</t>
        </is>
      </c>
      <c r="O14" s="87" t="inlineStr">
        <is>
          <t>v001</t>
        </is>
      </c>
      <c r="P14" s="88" t="inlineStr">
        <is>
          <t>根节点=平底锅加农炮(Node3D)</t>
        </is>
      </c>
    </row>
    <row r="15" ht="66" customHeight="1" s="46">
      <c r="A15" s="85" t="inlineStr">
        <is>
          <t>WPN-GUN-FUTURE-GUITAR-BLASTER-3D</t>
        </is>
      </c>
      <c r="B15" s="86" t="inlineStr">
        <is>
          <t>吉他爆能枪</t>
        </is>
      </c>
      <c r="C15" s="87" t="inlineStr">
        <is>
          <t>assets/art/weapons/weapon_3d/runtime/guitar_blaster/wpn_guitar_blaster_root_top3d_v001.tscn</t>
        </is>
      </c>
      <c r="D15" s="87" t="inlineStr">
        <is>
          <t>assets/art/weapons/weapon_3d/components/guitar_blaster/wpn_guitar_blaster_visual_top3d_v003.glb</t>
        </is>
      </c>
      <c r="E15" s="87" t="inlineStr">
        <is>
          <t>art_source/weapons/weapon_3d/source/guitar_blaster/wpn_guitar_blaster_source_v003.blend</t>
        </is>
      </c>
      <c r="F15" s="86" t="inlineStr">
        <is>
          <t>武器3D表现Prefab；由武器系统装配</t>
        </is>
      </c>
      <c r="G15" s="87" t="inlineStr">
        <is>
          <t>src/player3d/WeaponModel3D.gd</t>
        </is>
      </c>
      <c r="H15" s="86" t="inlineStr">
        <is>
          <t>无</t>
        </is>
      </c>
      <c r="I15" s="86" t="inlineStr">
        <is>
          <t>无</t>
        </is>
      </c>
      <c r="J15" s="86" t="inlineStr">
        <is>
          <t>无</t>
        </is>
      </c>
      <c r="K15" s="86" t="inlineStr">
        <is>
          <t>握把原点；local -Z枪口；3材质；独立GLB/PackedScene</t>
        </is>
      </c>
      <c r="L15" s="87" t="inlineStr">
        <is>
          <t>-Z</t>
        </is>
      </c>
      <c r="M15" s="86" t="inlineStr">
        <is>
          <t>未来枪械池/独立资产</t>
        </is>
      </c>
      <c r="N15" s="86" t="inlineStr">
        <is>
          <t>正式美术已入库/待玩法映射</t>
        </is>
      </c>
      <c r="O15" s="87" t="inlineStr">
        <is>
          <t>v001</t>
        </is>
      </c>
      <c r="P15" s="88" t="inlineStr">
        <is>
          <t>根节点=吉他爆能枪(Node3D)</t>
        </is>
      </c>
    </row>
    <row r="16" ht="66" customHeight="1" s="46">
      <c r="A16" s="85" t="inlineStr">
        <is>
          <t>WPN-GUN-BP-CHARGE</t>
        </is>
      </c>
      <c r="B16" s="86" t="inlineStr">
        <is>
          <t>蓄力萝卜炮 / 口香糖机造型</t>
        </is>
      </c>
      <c r="C16" s="87" t="inlineStr">
        <is>
          <t>assets/art/weapons/weapon_3d/runtime/gumball_cannon/wpn_gumball_cannon_root_top3d_v001.tscn</t>
        </is>
      </c>
      <c r="D16" s="87" t="inlineStr">
        <is>
          <t>assets/art/weapons/weapon_3d/components/gumball_cannon/wpn_gumball_cannon_visual_top3d_v003.glb</t>
        </is>
      </c>
      <c r="E16" s="87" t="inlineStr">
        <is>
          <t>art_source/weapons/weapon_3d/source/gumball_cannon/wpn_gumball_cannon_source_v003.blend</t>
        </is>
      </c>
      <c r="F16" s="86" t="inlineStr">
        <is>
          <t>武器3D表现Prefab；由武器系统装配</t>
        </is>
      </c>
      <c r="G16" s="87" t="inlineStr">
        <is>
          <t>src/player3d/WeaponModel3D.gd</t>
        </is>
      </c>
      <c r="H16" s="86" t="inlineStr">
        <is>
          <t>无</t>
        </is>
      </c>
      <c r="I16" s="86" t="inlineStr">
        <is>
          <t>无</t>
        </is>
      </c>
      <c r="J16" s="86" t="inlineStr">
        <is>
          <t>无</t>
        </is>
      </c>
      <c r="K16" s="86" t="inlineStr">
        <is>
          <t>握把原点；local -Z枪口；3材质；独立GLB/PackedScene</t>
        </is>
      </c>
      <c r="L16" s="87" t="inlineStr">
        <is>
          <t>-Z</t>
        </is>
      </c>
      <c r="M16" s="86" t="inlineStr">
        <is>
          <t>手持/背负/地面/UI 共用独立PackedScene</t>
        </is>
      </c>
      <c r="N16" s="86" t="inlineStr">
        <is>
          <t>正式美术已接入</t>
        </is>
      </c>
      <c r="O16" s="87" t="inlineStr">
        <is>
          <t>v001</t>
        </is>
      </c>
      <c r="P16" s="88" t="inlineStr">
        <is>
          <t>根节点=口香糖机加农炮(Node3D)</t>
        </is>
      </c>
    </row>
    <row r="17" ht="66" customHeight="1" s="46">
      <c r="A17" s="85" t="inlineStr">
        <is>
          <t>WPN-GUN-BP-PISTOL</t>
        </is>
      </c>
      <c r="B17" s="86" t="inlineStr">
        <is>
          <t>豌豆手枪 / 吹风机造型</t>
        </is>
      </c>
      <c r="C17" s="87" t="inlineStr">
        <is>
          <t>assets/art/weapons/weapon_3d/runtime/hair_dryer/wpn_hair_dryer_root_top3d_v001.tscn</t>
        </is>
      </c>
      <c r="D17" s="87" t="inlineStr">
        <is>
          <t>assets/art/weapons/weapon_3d/components/hair_dryer/wpn_hair_dryer_visual_top3d_v003.glb</t>
        </is>
      </c>
      <c r="E17" s="87" t="inlineStr">
        <is>
          <t>art_source/weapons/weapon_3d/source/hair_dryer/wpn_hair_dryer_source_v003.blend</t>
        </is>
      </c>
      <c r="F17" s="86" t="inlineStr">
        <is>
          <t>武器3D表现Prefab；由武器系统装配</t>
        </is>
      </c>
      <c r="G17" s="87" t="inlineStr">
        <is>
          <t>src/combat3d/WeaponModel3D.gd</t>
        </is>
      </c>
      <c r="H17" s="86" t="inlineStr">
        <is>
          <t>无</t>
        </is>
      </c>
      <c r="I17" s="86" t="inlineStr">
        <is>
          <t>无</t>
        </is>
      </c>
      <c r="J17" s="86" t="inlineStr">
        <is>
          <t>无</t>
        </is>
      </c>
      <c r="K17" s="87" t="inlineStr">
        <is>
          <t>GripSocket根原点；可见握把中心校正到根；local -Z枪口；3材质；独立GLB/PackedScene</t>
        </is>
      </c>
      <c r="L17" s="87" t="inlineStr">
        <is>
          <t>-Z</t>
        </is>
      </c>
      <c r="M17" s="86" t="inlineStr">
        <is>
          <t>手持/背负/地面/UI 共用独立PackedScene</t>
        </is>
      </c>
      <c r="N17" s="86" t="inlineStr">
        <is>
          <t>正式美术已接入</t>
        </is>
      </c>
      <c r="O17" s="87" t="inlineStr">
        <is>
          <t>v001</t>
        </is>
      </c>
      <c r="P17" s="88" t="inlineStr">
        <is>
          <t>根节点=吹风机(Node3D)；VisualRoot/全部非Grip挂点统一偏移(0,-0.122838,-0.168785)；GripSocket=手掌球中心；待机/开火枪口轴与真实弹道0度差</t>
        </is>
      </c>
    </row>
    <row r="18" ht="66" customHeight="1" s="46">
      <c r="A18" s="85" t="inlineStr">
        <is>
          <t>WPN-GUN-FUTURE-MEGAPHONE-CANNON-3D</t>
        </is>
      </c>
      <c r="B18" s="86" t="inlineStr">
        <is>
          <t>扩音器加农炮</t>
        </is>
      </c>
      <c r="C18" s="87" t="inlineStr">
        <is>
          <t>assets/art/weapons/weapon_3d/runtime/megaphone_cannon/wpn_megaphone_cannon_root_top3d_v001.tscn</t>
        </is>
      </c>
      <c r="D18" s="87" t="inlineStr">
        <is>
          <t>assets/art/weapons/weapon_3d/components/megaphone_cannon/wpn_megaphone_cannon_visual_top3d_v003.glb</t>
        </is>
      </c>
      <c r="E18" s="87" t="inlineStr">
        <is>
          <t>art_source/weapons/weapon_3d/source/megaphone_cannon/wpn_megaphone_cannon_source_v003.blend</t>
        </is>
      </c>
      <c r="F18" s="86" t="inlineStr">
        <is>
          <t>武器3D表现Prefab；由武器系统装配</t>
        </is>
      </c>
      <c r="G18" s="87" t="inlineStr">
        <is>
          <t>src/player3d/WeaponModel3D.gd</t>
        </is>
      </c>
      <c r="H18" s="86" t="inlineStr">
        <is>
          <t>无</t>
        </is>
      </c>
      <c r="I18" s="86" t="inlineStr">
        <is>
          <t>无</t>
        </is>
      </c>
      <c r="J18" s="86" t="inlineStr">
        <is>
          <t>无</t>
        </is>
      </c>
      <c r="K18" s="86" t="inlineStr">
        <is>
          <t>握把原点；local -Z枪口；3材质；独立GLB/PackedScene</t>
        </is>
      </c>
      <c r="L18" s="87" t="inlineStr">
        <is>
          <t>-Z</t>
        </is>
      </c>
      <c r="M18" s="86" t="inlineStr">
        <is>
          <t>未来枪械池/独立资产</t>
        </is>
      </c>
      <c r="N18" s="86" t="inlineStr">
        <is>
          <t>正式美术已入库/待玩法映射</t>
        </is>
      </c>
      <c r="O18" s="87" t="inlineStr">
        <is>
          <t>v001</t>
        </is>
      </c>
      <c r="P18" s="88" t="inlineStr">
        <is>
          <t>根节点=扩音器加农炮(Node3D)</t>
        </is>
      </c>
    </row>
    <row r="19" ht="66" customHeight="1" s="46">
      <c r="A19" s="85" t="inlineStr">
        <is>
          <t>WPN-GUN-FUTURE-POPCORN-BLASTER-3D</t>
        </is>
      </c>
      <c r="B19" s="86" t="inlineStr">
        <is>
          <t>爆米花爆能枪</t>
        </is>
      </c>
      <c r="C19" s="87" t="inlineStr">
        <is>
          <t>assets/art/weapons/weapon_3d/runtime/popcorn_blaster/wpn_popcorn_blaster_root_top3d_v001.tscn</t>
        </is>
      </c>
      <c r="D19" s="87" t="inlineStr">
        <is>
          <t>assets/art/weapons/weapon_3d/components/popcorn_blaster/wpn_popcorn_blaster_visual_top3d_v003.glb</t>
        </is>
      </c>
      <c r="E19" s="87" t="inlineStr">
        <is>
          <t>art_source/weapons/weapon_3d/source/popcorn_blaster/wpn_popcorn_blaster_source_v003.blend</t>
        </is>
      </c>
      <c r="F19" s="86" t="inlineStr">
        <is>
          <t>武器3D表现Prefab；由武器系统装配</t>
        </is>
      </c>
      <c r="G19" s="87" t="inlineStr">
        <is>
          <t>src/player3d/WeaponModel3D.gd</t>
        </is>
      </c>
      <c r="H19" s="86" t="inlineStr">
        <is>
          <t>无</t>
        </is>
      </c>
      <c r="I19" s="86" t="inlineStr">
        <is>
          <t>无</t>
        </is>
      </c>
      <c r="J19" s="86" t="inlineStr">
        <is>
          <t>无</t>
        </is>
      </c>
      <c r="K19" s="86" t="inlineStr">
        <is>
          <t>握把原点；local -Z枪口；3材质；独立GLB/PackedScene</t>
        </is>
      </c>
      <c r="L19" s="87" t="inlineStr">
        <is>
          <t>-Z</t>
        </is>
      </c>
      <c r="M19" s="86" t="inlineStr">
        <is>
          <t>未来枪械池/独立资产</t>
        </is>
      </c>
      <c r="N19" s="86" t="inlineStr">
        <is>
          <t>正式美术已入库/待玩法映射</t>
        </is>
      </c>
      <c r="O19" s="87" t="inlineStr">
        <is>
          <t>v001</t>
        </is>
      </c>
      <c r="P19" s="88" t="inlineStr">
        <is>
          <t>根节点=爆米花爆能枪(Node3D)</t>
        </is>
      </c>
    </row>
    <row r="20" ht="66" customHeight="1" s="46">
      <c r="A20" s="85" t="inlineStr">
        <is>
          <t>WPN-GUN-FUTURE-SCOPE-CANNON-3D</t>
        </is>
      </c>
      <c r="B20" s="86" t="inlineStr">
        <is>
          <t>瞄准镜加农炮</t>
        </is>
      </c>
      <c r="C20" s="87" t="inlineStr">
        <is>
          <t>assets/art/weapons/weapon_3d/runtime/scope_cannon/wpn_scope_cannon_root_top3d_v001.tscn</t>
        </is>
      </c>
      <c r="D20" s="87" t="inlineStr">
        <is>
          <t>assets/art/weapons/weapon_3d/components/scope_cannon/wpn_scope_cannon_visual_top3d_v003.glb</t>
        </is>
      </c>
      <c r="E20" s="87" t="inlineStr">
        <is>
          <t>art_source/weapons/weapon_3d/source/scope_cannon/wpn_scope_cannon_source_v003.blend</t>
        </is>
      </c>
      <c r="F20" s="86" t="inlineStr">
        <is>
          <t>武器3D表现Prefab；由武器系统装配</t>
        </is>
      </c>
      <c r="G20" s="87" t="inlineStr">
        <is>
          <t>src/player3d/WeaponModel3D.gd</t>
        </is>
      </c>
      <c r="H20" s="86" t="inlineStr">
        <is>
          <t>无</t>
        </is>
      </c>
      <c r="I20" s="86" t="inlineStr">
        <is>
          <t>无</t>
        </is>
      </c>
      <c r="J20" s="86" t="inlineStr">
        <is>
          <t>无</t>
        </is>
      </c>
      <c r="K20" s="86" t="inlineStr">
        <is>
          <t>握把原点；local -Z枪口；3材质；独立GLB/PackedScene</t>
        </is>
      </c>
      <c r="L20" s="87" t="inlineStr">
        <is>
          <t>-Z</t>
        </is>
      </c>
      <c r="M20" s="86" t="inlineStr">
        <is>
          <t>未来枪械池/独立资产</t>
        </is>
      </c>
      <c r="N20" s="86" t="inlineStr">
        <is>
          <t>正式美术已入库/待玩法映射</t>
        </is>
      </c>
      <c r="O20" s="87" t="inlineStr">
        <is>
          <t>v001</t>
        </is>
      </c>
      <c r="P20" s="88" t="inlineStr">
        <is>
          <t>根节点=瞄准镜加农炮(Node3D)</t>
        </is>
      </c>
    </row>
    <row r="21" ht="66" customHeight="1" s="46">
      <c r="A21" s="85" t="inlineStr">
        <is>
          <t>WPN-GUN-FUTURE-SODA-STRAW-BLASTER-3D</t>
        </is>
      </c>
      <c r="B21" s="86" t="inlineStr">
        <is>
          <t>饮料管爆能枪</t>
        </is>
      </c>
      <c r="C21" s="87" t="inlineStr">
        <is>
          <t>assets/art/weapons/weapon_3d/runtime/soda_straw_blaster/wpn_soda_straw_blaster_root_top3d_v001.tscn</t>
        </is>
      </c>
      <c r="D21" s="87" t="inlineStr">
        <is>
          <t>assets/art/weapons/weapon_3d/components/soda_straw_blaster/wpn_soda_straw_blaster_visual_top3d_v003.glb</t>
        </is>
      </c>
      <c r="E21" s="87" t="inlineStr">
        <is>
          <t>art_source/weapons/weapon_3d/source/soda_straw_blaster/wpn_soda_straw_blaster_source_v003.blend</t>
        </is>
      </c>
      <c r="F21" s="86" t="inlineStr">
        <is>
          <t>武器3D表现Prefab；由武器系统装配</t>
        </is>
      </c>
      <c r="G21" s="87" t="inlineStr">
        <is>
          <t>src/player3d/WeaponModel3D.gd</t>
        </is>
      </c>
      <c r="H21" s="86" t="inlineStr">
        <is>
          <t>无</t>
        </is>
      </c>
      <c r="I21" s="86" t="inlineStr">
        <is>
          <t>无</t>
        </is>
      </c>
      <c r="J21" s="86" t="inlineStr">
        <is>
          <t>无</t>
        </is>
      </c>
      <c r="K21" s="86" t="inlineStr">
        <is>
          <t>握把原点；local -Z枪口；3材质；独立GLB/PackedScene</t>
        </is>
      </c>
      <c r="L21" s="87" t="inlineStr">
        <is>
          <t>-Z</t>
        </is>
      </c>
      <c r="M21" s="86" t="inlineStr">
        <is>
          <t>未来枪械池/独立资产</t>
        </is>
      </c>
      <c r="N21" s="86" t="inlineStr">
        <is>
          <t>正式美术已入库/待玩法映射</t>
        </is>
      </c>
      <c r="O21" s="87" t="inlineStr">
        <is>
          <t>v001</t>
        </is>
      </c>
      <c r="P21" s="88" t="inlineStr">
        <is>
          <t>根节点=饮料管爆能枪(Node3D)</t>
        </is>
      </c>
    </row>
    <row r="22" ht="66" customHeight="1" s="46">
      <c r="A22" s="85" t="inlineStr">
        <is>
          <t>WPN-GUN-FUTURE-SPATULA-RIFLE-3D</t>
        </is>
      </c>
      <c r="B22" s="86" t="inlineStr">
        <is>
          <t>锅铲步枪</t>
        </is>
      </c>
      <c r="C22" s="87" t="inlineStr">
        <is>
          <t>assets/art/weapons/weapon_3d/runtime/spatula_rifle/wpn_spatula_rifle_root_top3d_v001.tscn</t>
        </is>
      </c>
      <c r="D22" s="87" t="inlineStr">
        <is>
          <t>assets/art/weapons/weapon_3d/components/spatula_rifle/wpn_spatula_rifle_visual_top3d_v003.glb</t>
        </is>
      </c>
      <c r="E22" s="87" t="inlineStr">
        <is>
          <t>art_source/weapons/weapon_3d/source/spatula_rifle/wpn_spatula_rifle_source_v003.blend</t>
        </is>
      </c>
      <c r="F22" s="86" t="inlineStr">
        <is>
          <t>武器3D表现Prefab；由武器系统装配</t>
        </is>
      </c>
      <c r="G22" s="87" t="inlineStr">
        <is>
          <t>src/player3d/WeaponModel3D.gd</t>
        </is>
      </c>
      <c r="H22" s="86" t="inlineStr">
        <is>
          <t>无</t>
        </is>
      </c>
      <c r="I22" s="86" t="inlineStr">
        <is>
          <t>无</t>
        </is>
      </c>
      <c r="J22" s="86" t="inlineStr">
        <is>
          <t>无</t>
        </is>
      </c>
      <c r="K22" s="86" t="inlineStr">
        <is>
          <t>握把原点；local -Z枪口；3材质；独立GLB/PackedScene</t>
        </is>
      </c>
      <c r="L22" s="87" t="inlineStr">
        <is>
          <t>-Z</t>
        </is>
      </c>
      <c r="M22" s="86" t="inlineStr">
        <is>
          <t>未来枪械池/独立资产</t>
        </is>
      </c>
      <c r="N22" s="86" t="inlineStr">
        <is>
          <t>正式美术已入库/待玩法映射</t>
        </is>
      </c>
      <c r="O22" s="87" t="inlineStr">
        <is>
          <t>v001</t>
        </is>
      </c>
      <c r="P22" s="88" t="inlineStr">
        <is>
          <t>根节点=锅铲步枪(Node3D)</t>
        </is>
      </c>
    </row>
    <row r="23" ht="66" customHeight="1" s="46">
      <c r="A23" s="85" t="inlineStr">
        <is>
          <t>WPN-GUN-FUTURE-TISSUE-BOX-CANNON-3D</t>
        </is>
      </c>
      <c r="B23" s="86" t="inlineStr">
        <is>
          <t>纸巾盒加农炮</t>
        </is>
      </c>
      <c r="C23" s="87" t="inlineStr">
        <is>
          <t>assets/art/weapons/weapon_3d/runtime/tissue_box_cannon/wpn_tissue_box_cannon_root_top3d_v001.tscn</t>
        </is>
      </c>
      <c r="D23" s="87" t="inlineStr">
        <is>
          <t>assets/art/weapons/weapon_3d/components/tissue_box_cannon/wpn_tissue_box_cannon_visual_top3d_v003.glb</t>
        </is>
      </c>
      <c r="E23" s="87" t="inlineStr">
        <is>
          <t>art_source/weapons/weapon_3d/source/tissue_box_cannon/wpn_tissue_box_cannon_source_v003.blend</t>
        </is>
      </c>
      <c r="F23" s="86" t="inlineStr">
        <is>
          <t>武器3D表现Prefab；由武器系统装配</t>
        </is>
      </c>
      <c r="G23" s="87" t="inlineStr">
        <is>
          <t>src/player3d/WeaponModel3D.gd</t>
        </is>
      </c>
      <c r="H23" s="86" t="inlineStr">
        <is>
          <t>无</t>
        </is>
      </c>
      <c r="I23" s="86" t="inlineStr">
        <is>
          <t>无</t>
        </is>
      </c>
      <c r="J23" s="86" t="inlineStr">
        <is>
          <t>无</t>
        </is>
      </c>
      <c r="K23" s="86" t="inlineStr">
        <is>
          <t>握把原点；local -Z枪口；3材质；独立GLB/PackedScene</t>
        </is>
      </c>
      <c r="L23" s="87" t="inlineStr">
        <is>
          <t>-Z</t>
        </is>
      </c>
      <c r="M23" s="86" t="inlineStr">
        <is>
          <t>未来枪械池/独立资产</t>
        </is>
      </c>
      <c r="N23" s="86" t="inlineStr">
        <is>
          <t>正式美术已入库/待玩法映射</t>
        </is>
      </c>
      <c r="O23" s="87" t="inlineStr">
        <is>
          <t>v001</t>
        </is>
      </c>
      <c r="P23" s="88" t="inlineStr">
        <is>
          <t>根节点=纸巾盒加农炮(Node3D)</t>
        </is>
      </c>
    </row>
    <row r="24" ht="66" customHeight="1" s="46">
      <c r="A24" s="85" t="inlineStr">
        <is>
          <t>WPN-GUN-BP-LAUNCHER</t>
        </is>
      </c>
      <c r="B24" s="86" t="inlineStr">
        <is>
          <t>反胃榴弹筒 / 烤面包机造型</t>
        </is>
      </c>
      <c r="C24" s="87" t="inlineStr">
        <is>
          <t>assets/art/weapons/weapon_3d/runtime/toaster_launcher/wpn_toaster_launcher_root_top3d_v001.tscn</t>
        </is>
      </c>
      <c r="D24" s="87" t="inlineStr">
        <is>
          <t>assets/art/weapons/weapon_3d/components/toaster_launcher/wpn_toaster_launcher_visual_top3d_v003.glb</t>
        </is>
      </c>
      <c r="E24" s="87" t="inlineStr">
        <is>
          <t>art_source/weapons/weapon_3d/source/toaster_launcher/wpn_toaster_launcher_source_v003.blend</t>
        </is>
      </c>
      <c r="F24" s="86" t="inlineStr">
        <is>
          <t>武器3D表现Prefab；由武器系统装配</t>
        </is>
      </c>
      <c r="G24" s="87" t="inlineStr">
        <is>
          <t>src/player3d/WeaponModel3D.gd</t>
        </is>
      </c>
      <c r="H24" s="86" t="inlineStr">
        <is>
          <t>无</t>
        </is>
      </c>
      <c r="I24" s="86" t="inlineStr">
        <is>
          <t>无</t>
        </is>
      </c>
      <c r="J24" s="86" t="inlineStr">
        <is>
          <t>无</t>
        </is>
      </c>
      <c r="K24" s="86" t="inlineStr">
        <is>
          <t>握把原点；local -Z枪口；3材质；独立GLB/PackedScene</t>
        </is>
      </c>
      <c r="L24" s="87" t="inlineStr">
        <is>
          <t>-Z</t>
        </is>
      </c>
      <c r="M24" s="86" t="inlineStr">
        <is>
          <t>手持/背负/地面/UI 共用独立PackedScene</t>
        </is>
      </c>
      <c r="N24" s="86" t="inlineStr">
        <is>
          <t>正式美术已接入</t>
        </is>
      </c>
      <c r="O24" s="87" t="inlineStr">
        <is>
          <t>v001</t>
        </is>
      </c>
      <c r="P24" s="88" t="inlineStr">
        <is>
          <t>根节点=烤面包机发射器(Node3D)</t>
        </is>
      </c>
    </row>
    <row r="25" ht="66" customHeight="1" s="46">
      <c r="A25" s="85" t="inlineStr">
        <is>
          <t>WPN-GUN-BP-MACHINEGUN</t>
        </is>
      </c>
      <c r="B25" s="86" t="inlineStr">
        <is>
          <t>蜂窝机枪 / 水箱爆能枪造型</t>
        </is>
      </c>
      <c r="C25" s="87" t="inlineStr">
        <is>
          <t>assets/art/weapons/weapon_3d/runtime/water_tank_blaster/wpn_water_tank_blaster_root_top3d.tscn</t>
        </is>
      </c>
      <c r="D25" s="87" t="inlineStr">
        <is>
          <t>assets/art/weapons/weapon_3d/components/water_tank_blaster/wpn_water_tank_blaster_visual_top3d_v003.glb</t>
        </is>
      </c>
      <c r="E25" s="87" t="inlineStr">
        <is>
          <t>art_source/weapons/weapon_3d/source/water_tank_blaster/wpn_water_tank_blaster_source_v003.blend</t>
        </is>
      </c>
      <c r="F25" s="86" t="inlineStr">
        <is>
          <t>武器3D表现Prefab；由武器系统装配</t>
        </is>
      </c>
      <c r="G25" s="87" t="inlineStr">
        <is>
          <t>src/player3d/WeaponModel3D.gd</t>
        </is>
      </c>
      <c r="H25" s="86" t="inlineStr">
        <is>
          <t>无</t>
        </is>
      </c>
      <c r="I25" s="86" t="inlineStr">
        <is>
          <t>无</t>
        </is>
      </c>
      <c r="J25" s="86" t="inlineStr">
        <is>
          <t>无</t>
        </is>
      </c>
      <c r="K25" s="86" t="inlineStr">
        <is>
          <t>握把原点；local -Z枪口；3材质；独立GLB/PackedScene</t>
        </is>
      </c>
      <c r="L25" s="87" t="inlineStr">
        <is>
          <t>-Z</t>
        </is>
      </c>
      <c r="M25" s="86" t="inlineStr">
        <is>
          <t>手持/背负/地面/UI 共用独立PackedScene</t>
        </is>
      </c>
      <c r="N25" s="86" t="inlineStr">
        <is>
          <t>正式美术已接入</t>
        </is>
      </c>
      <c r="O25" s="87" t="inlineStr">
        <is>
          <t>v001</t>
        </is>
      </c>
      <c r="P25" s="88" t="inlineStr">
        <is>
          <t>根节点=水箱爆能枪(Node3D)</t>
        </is>
      </c>
    </row>
    <row r="26" ht="66" customHeight="1" s="46">
      <c r="A26" s="89" t="inlineStr">
        <is>
          <t>WPN-GUN-KIT-3D</t>
        </is>
      </c>
      <c r="B26" s="90" t="inlineStr">
        <is>
          <t>枪械3D通用模型套件</t>
        </is>
      </c>
      <c r="C26" s="91" t="inlineStr">
        <is>
          <t>assets/art/weapons/weapon_3d/wpn_gun_kit_root_top3d_v001.tscn</t>
        </is>
      </c>
      <c r="D26" s="91" t="n"/>
      <c r="E26" s="91" t="n"/>
      <c r="F26" s="90" t="inlineStr">
        <is>
          <t>武器3D表现Prefab；由武器系统装配</t>
        </is>
      </c>
      <c r="G26" s="91" t="inlineStr">
        <is>
          <t>src/combat3d/WeaponModel3D.gd</t>
        </is>
      </c>
      <c r="H26" s="90" t="inlineStr">
        <is>
          <t>无</t>
        </is>
      </c>
      <c r="I26" s="90" t="inlineStr">
        <is>
          <t>无</t>
        </is>
      </c>
      <c r="J26" s="90" t="inlineStr">
        <is>
          <t>无</t>
        </is>
      </c>
      <c r="K26" s="91" t="inlineStr">
        <is>
          <t>PackedScene/7枪配置模型</t>
        </is>
      </c>
      <c r="L26" s="90" t="inlineStr">
        <is>
          <t>未声明</t>
        </is>
      </c>
      <c r="M26" s="90" t="inlineStr">
        <is>
          <t>玩家/靶场/全部副本</t>
        </is>
      </c>
      <c r="N26" s="90" t="inlineStr">
        <is>
          <t>原型已接入</t>
        </is>
      </c>
      <c r="O26" s="91" t="inlineStr">
        <is>
          <t>v001</t>
        </is>
      </c>
      <c r="P26" s="92" t="inlineStr">
        <is>
          <t>根节点=WeaponModel3D(Node3D)</t>
        </is>
      </c>
    </row>
  </sheetData>
  <mergeCells count="2">
    <mergeCell ref="A1:P1"/>
    <mergeCell ref="A2:P2"/>
  </mergeCells>
  <dataValidations count="3">
    <dataValidation sqref="H5:H250" showDropDown="0" showInputMessage="0" showErrorMessage="0" allowBlank="0" type="list" errorStyle="stop" operator="between">
      <formula1>"开,关,无"</formula1>
      <formula2>0</formula2>
    </dataValidation>
    <dataValidation sqref="I5:I250" showDropDown="0" showInputMessage="0" showErrorMessage="0" allowBlank="0" type="list" errorStyle="stop" operator="between">
      <formula1>"Prefab自身,外部脚本,混合,无"</formula1>
      <formula2>0</formula2>
    </dataValidation>
    <dataValidation sqref="N5:N250" showDropDown="0" showInputMessage="0" showErrorMessage="0" allowBlank="0" type="list" errorStyle="stop" operator="between">
      <formula1>"待制作,程序占位,正式美术已入库/待接入,原型已接入,正式美术已接入,已完成,弃用"</formula1>
      <formula2>0</formula2>
    </dataValidation>
  </dataValidations>
  <printOptions horizontalCentered="0" verticalCentered="0" headings="0" gridLines="0" gridLinesSet="1"/>
  <pageMargins left="0.7" right="0.7" top="0.75" bottom="0.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G8"/>
  <sheetViews>
    <sheetView showFormulas="0" showGridLines="0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10.359375" defaultRowHeight="15" customHeight="0" zeroHeight="0" outlineLevelRow="0"/>
  <cols>
    <col width="16.71" customWidth="1" style="45" min="1" max="1"/>
    <col width="15.51" customWidth="1" style="45" min="2" max="2"/>
    <col width="28.65" customWidth="1" style="45" min="3" max="3"/>
    <col width="33.42" customWidth="1" style="45" min="4" max="4"/>
    <col width="83.55" customWidth="1" style="45" min="5" max="5"/>
    <col width="57.29" customWidth="1" style="45" min="6" max="6"/>
    <col width="14.33" customWidth="1" style="45" min="7" max="7"/>
  </cols>
  <sheetData>
    <row r="1" ht="15" customHeight="1" s="46">
      <c r="A1" s="64" t="inlineStr">
        <is>
          <t>武器账本变更日志</t>
        </is>
      </c>
    </row>
    <row r="2" ht="15" customHeight="1" s="46"/>
    <row r="3" ht="15" customHeight="1" s="46">
      <c r="A3" s="48" t="inlineStr">
        <is>
          <t>只记录本账本的域内变更；跨域与全局变更记录在主账本《版本记录》</t>
        </is>
      </c>
    </row>
    <row r="5" ht="15" customHeight="1" s="46">
      <c r="A5" s="52" t="inlineStr">
        <is>
          <t>台账版本</t>
        </is>
      </c>
      <c r="B5" s="52" t="inlineStr">
        <is>
          <t>日期</t>
        </is>
      </c>
      <c r="C5" s="52" t="inlineStr">
        <is>
          <t>变更类型</t>
        </is>
      </c>
      <c r="D5" s="52" t="inlineStr">
        <is>
          <t>范围</t>
        </is>
      </c>
      <c r="E5" s="52" t="inlineStr">
        <is>
          <t>说明</t>
        </is>
      </c>
      <c r="F5" s="52" t="inlineStr">
        <is>
          <t>兼容性</t>
        </is>
      </c>
      <c r="G5" s="52" t="inlineStr">
        <is>
          <t>负责人</t>
        </is>
      </c>
    </row>
    <row r="6" ht="45.75" customHeight="1" s="46">
      <c r="A6" s="63" t="inlineStr">
        <is>
          <t>v0.1.0</t>
        </is>
      </c>
      <c r="B6" s="63" t="inlineStr">
        <is>
          <t>2026-09-18</t>
        </is>
      </c>
      <c r="C6" s="56" t="inlineStr">
        <is>
          <t>分账本建立</t>
        </is>
      </c>
      <c r="D6" s="56" t="inlineStr">
        <is>
          <t>武器</t>
        </is>
      </c>
      <c r="E6" s="56" t="inlineStr">
        <is>
          <t>由单体账本《ShellStorm2_美术资产台账_v001.xlsx》按大类拆分而来；本账本接管大类=武器，条目内容逐格不变，仅登记位置变化。</t>
        </is>
      </c>
      <c r="F6" s="56" t="inlineStr">
        <is>
          <t>资产条目、AssetID、路径与哈希全部不变；只换文件。旧引用可用 scripts/ledger_registry.py 解析。</t>
        </is>
      </c>
      <c r="G6" s="56" t="inlineStr">
        <is>
          <t>摩斯拉</t>
        </is>
      </c>
    </row>
    <row r="7">
      <c r="A7" s="63" t="inlineStr">
        <is>
          <t>v0.1.1</t>
        </is>
      </c>
      <c r="B7" s="63" t="inlineStr">
        <is>
          <t>2026-10-14</t>
        </is>
      </c>
      <c r="C7" s="56" t="inlineStr">
        <is>
          <t>参考图8件道具：Blender原始源</t>
        </is>
      </c>
      <c r="D7" s="56" t="inlineStr">
        <is>
          <t>道具与武器原始源</t>
        </is>
      </c>
      <c r="E7" s="56" t="inlineStr">
        <is>
          <t>WPN-ATT-ATTACH-BIG-MAG,WPN-BUL-MOD-BULLET-STANDARD,WPN-ATT-ATTACH-RUBBER-STOCK,WPN-ATT-ATTACH-SCOPE,WPN-ATT-ATTACH-TRIPLE-MUZZLE</t>
        </is>
      </c>
      <c r="F7" s="56" t="inlineStr">
        <is>
          <t>实测尺寸/场景四材质/源已完成；未运行时接入</t>
        </is>
      </c>
      <c r="G7" s="56" t="inlineStr">
        <is>
          <t>Codex</t>
        </is>
      </c>
    </row>
    <row r="8">
      <c r="A8" s="45" t="inlineStr">
        <is>
          <t>v0.1.100</t>
        </is>
      </c>
      <c r="B8" s="45" t="inlineStr">
        <is>
          <t>2026-10-14</t>
        </is>
      </c>
      <c r="C8" s="45" t="inlineStr">
        <is>
          <t>物品道具双模型源</t>
        </is>
      </c>
      <c r="D8" s="45" t="inlineStr">
        <is>
          <t>preview / ground</t>
        </is>
      </c>
      <c r="E8" s="45" t="inlineStr">
        <is>
          <t>现有高模保留；地面100–200三角面</t>
        </is>
      </c>
      <c r="F8" s="45" t="inlineStr">
        <is>
          <t>源已完成；运行时用途选择未接入</t>
        </is>
      </c>
      <c r="G8" s="45" t="inlineStr">
        <is>
          <t>Codex</t>
        </is>
      </c>
    </row>
  </sheetData>
  <mergeCells count="2">
    <mergeCell ref="A3:G3"/>
    <mergeCell ref="A1:G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30"/>
  <sheetViews>
    <sheetView showGridLines="0"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8" customWidth="1" style="46" min="1" max="1"/>
    <col width="28" customWidth="1" style="46" min="2" max="2"/>
    <col width="28" customWidth="1" style="46" min="3" max="3"/>
    <col width="28" customWidth="1" style="46" min="4" max="4"/>
    <col width="46" customWidth="1" style="46" min="5" max="5"/>
    <col width="46" customWidth="1" style="46" min="6" max="6"/>
    <col width="46" customWidth="1" style="46" min="7" max="7"/>
    <col width="46" customWidth="1" style="46" min="8" max="8"/>
    <col width="46" customWidth="1" style="46" min="9" max="9"/>
    <col width="46" customWidth="1" style="46" min="10" max="10"/>
    <col width="46" customWidth="1" style="46" min="11" max="11"/>
    <col width="46" customWidth="1" style="46" min="12" max="12"/>
    <col width="46" customWidth="1" style="46" min="13" max="13"/>
    <col width="46" customWidth="1" style="46" min="14" max="14"/>
    <col width="46" customWidth="1" style="46" min="15" max="15"/>
    <col width="46" customWidth="1" style="46" min="16" max="16"/>
    <col width="46" customWidth="1" style="46" min="17" max="17"/>
  </cols>
  <sheetData>
    <row r="1" ht="30" customHeight="1" s="46">
      <c r="A1" s="96" t="inlineStr">
        <is>
          <t>武器账本 · 背包物品调用索引</t>
        </is>
      </c>
      <c r="E1" s="94" t="n"/>
      <c r="F1" s="94" t="n"/>
      <c r="G1" s="94" t="n"/>
      <c r="H1" s="94" t="n"/>
      <c r="I1" s="94" t="n"/>
      <c r="J1" s="94" t="n"/>
      <c r="K1" s="94" t="n"/>
      <c r="L1" s="94" t="n"/>
      <c r="M1" s="94" t="n"/>
      <c r="N1" s="94" t="n"/>
      <c r="O1" s="94" t="n"/>
      <c r="P1" s="94" t="n"/>
      <c r="Q1" s="94" t="n"/>
    </row>
    <row r="2" ht="44" customHeight="1" s="46">
      <c r="A2" s="94" t="inlineStr">
        <is>
          <t>成品武器、子弹模块、通用弹药、枪械配件唯一归属本账本；内容ID导航页，不新增资产主表行。</t>
        </is>
      </c>
      <c r="E2" s="94" t="n"/>
      <c r="F2" s="94" t="n"/>
      <c r="G2" s="94" t="n"/>
      <c r="H2" s="94" t="n"/>
      <c r="I2" s="94" t="n"/>
      <c r="J2" s="94" t="n"/>
      <c r="K2" s="94" t="n"/>
      <c r="L2" s="94" t="n"/>
      <c r="M2" s="94" t="n"/>
      <c r="N2" s="94" t="n"/>
      <c r="O2" s="94" t="n"/>
      <c r="P2" s="94" t="n"/>
      <c r="Q2" s="94" t="n"/>
    </row>
    <row r="3">
      <c r="A3" s="94" t="n"/>
      <c r="B3" s="94" t="n"/>
      <c r="C3" s="94" t="n"/>
      <c r="D3" s="94" t="n"/>
      <c r="E3" s="94" t="n"/>
      <c r="F3" s="94" t="n"/>
      <c r="G3" s="94" t="n"/>
      <c r="H3" s="94" t="n"/>
      <c r="I3" s="94" t="n"/>
      <c r="J3" s="94" t="n"/>
      <c r="K3" s="94" t="n"/>
      <c r="L3" s="94" t="n"/>
      <c r="M3" s="94" t="n"/>
      <c r="N3" s="94" t="n"/>
      <c r="O3" s="94" t="n"/>
      <c r="P3" s="94" t="n"/>
      <c r="Q3" s="94" t="n"/>
    </row>
    <row r="4" ht="32" customHeight="1" s="46">
      <c r="A4" s="93" t="inlineStr">
        <is>
          <t>内容ID</t>
        </is>
      </c>
      <c r="B4" s="93" t="inlineStr">
        <is>
          <t>名称</t>
        </is>
      </c>
      <c r="C4" s="93" t="inlineStr">
        <is>
          <t>种类</t>
        </is>
      </c>
      <c r="D4" s="93" t="inlineStr">
        <is>
          <t>子类</t>
        </is>
      </c>
      <c r="E4" s="93" t="inlineStr">
        <is>
          <t>唯一登记账本</t>
        </is>
      </c>
      <c r="F4" s="93" t="inlineStr">
        <is>
          <t>内容定义入口</t>
        </is>
      </c>
      <c r="G4" s="93" t="inlineStr">
        <is>
          <t>内容数据库定位</t>
        </is>
      </c>
      <c r="H4" s="93" t="inlineStr">
        <is>
          <t>怪物掉落来源</t>
        </is>
      </c>
      <c r="I4" s="93" t="inlineStr">
        <is>
          <t>池声明入口</t>
        </is>
      </c>
      <c r="J4" s="93" t="inlineStr">
        <is>
          <t>背包接收入口</t>
        </is>
      </c>
      <c r="K4" s="93" t="inlineStr">
        <is>
          <t>使用/装配入口</t>
        </is>
      </c>
      <c r="L4" s="93" t="inlineStr">
        <is>
          <t>模型调用入口</t>
        </is>
      </c>
      <c r="M4" s="93" t="inlineStr">
        <is>
          <t>当前模型表现</t>
        </is>
      </c>
      <c r="N4" s="93" t="inlineStr">
        <is>
          <t>关联AssetID（引用）</t>
        </is>
      </c>
      <c r="O4" s="93" t="inlineStr">
        <is>
          <t>资产登记定位（引用）</t>
        </is>
      </c>
      <c r="P4" s="93" t="inlineStr">
        <is>
          <t>功能模块</t>
        </is>
      </c>
      <c r="Q4" s="93" t="inlineStr">
        <is>
          <t>审查备注</t>
        </is>
      </c>
    </row>
    <row r="5" ht="59" customHeight="1" s="46">
      <c r="A5" s="94" t="inlineStr">
        <is>
          <t>weapon_pistol</t>
        </is>
      </c>
      <c r="B5" s="94" t="inlineStr">
        <is>
          <t>豌豆手枪</t>
        </is>
      </c>
      <c r="C5" s="94" t="inlineStr">
        <is>
          <t>weapon</t>
        </is>
      </c>
      <c r="D5" s="94" t="inlineStr">
        <is>
          <t>gun_body</t>
        </is>
      </c>
      <c r="E5" s="94" t="inlineStr">
        <is>
          <t>assets/registry/ledgers/ShellStorm2_武器账本_v001.xlsx</t>
        </is>
      </c>
      <c r="F5" s="95" t="inlineStr">
        <is>
          <t>src/base/ItemRegistry.gd#L205</t>
        </is>
      </c>
      <c r="G5" s="95" t="inlineStr">
        <is>
          <t>docs/v0.1/data/ShellStorm2_游戏内容数据库_v010.xlsx#掉落物品!A33</t>
        </is>
      </c>
      <c r="H5" s="94" t="inlineStr">
        <is>
          <t>docs/v0.1/data/怪物掉落表_地图x怪物.csv#CSV行2 / melee_chaser</t>
        </is>
      </c>
      <c r="I5" s="95" t="inlineStr">
        <is>
          <t>src/base/ItemRegistry.gd#L205 / loot_floor_1_2, scavenge_floor_1, scavenge_floor_2, combat_floor_1, combat_floor_2</t>
        </is>
      </c>
      <c r="J5" s="95" t="inlineStr">
        <is>
          <t>src/game/InventoryModule.gd#add_item</t>
        </is>
      </c>
      <c r="K5" s="95" t="inlineStr">
        <is>
          <t>src/world3d/Dungeon3D.gd#_equip_weapon_from_inventory</t>
        </is>
      </c>
      <c r="L5" s="95" t="inlineStr">
        <is>
          <t>src/world3d/ItemModelFactory3D.gd#create_model / get_model_kind</t>
        </is>
      </c>
      <c r="M5" s="94" t="inlineStr">
        <is>
          <t>weapon；真实武器快照重建</t>
        </is>
      </c>
      <c r="N5" s="94" t="inlineStr">
        <is>
          <t>WPN-GUN-BP-PISTOL</t>
        </is>
      </c>
      <c r="O5" s="95" t="inlineStr">
        <is>
          <t>assets/registry/ledgers/ShellStorm2_武器账本_v001.xlsx#资产主表!A6</t>
        </is>
      </c>
      <c r="P5" s="94" t="inlineStr">
        <is>
          <t>WORLD-LOOT / REWARD-SERVICE / INVENTORY-SLOTS / WEAPON-OWNERSHIP</t>
        </is>
      </c>
      <c r="Q5" s="94" t="inlineStr">
        <is>
          <t>已注册；本表只导航，堆叠/数值/掉落概率由原定义拥有</t>
        </is>
      </c>
    </row>
    <row r="6" ht="59" customHeight="1" s="46">
      <c r="A6" s="94" t="inlineStr">
        <is>
          <t>weapon_shotgun</t>
        </is>
      </c>
      <c r="B6" s="94" t="inlineStr">
        <is>
          <t>散射喷壶</t>
        </is>
      </c>
      <c r="C6" s="94" t="inlineStr">
        <is>
          <t>weapon</t>
        </is>
      </c>
      <c r="D6" s="94" t="inlineStr">
        <is>
          <t>gun_body</t>
        </is>
      </c>
      <c r="E6" s="94" t="inlineStr">
        <is>
          <t>assets/registry/ledgers/ShellStorm2_武器账本_v001.xlsx</t>
        </is>
      </c>
      <c r="F6" s="95" t="inlineStr">
        <is>
          <t>src/base/ItemRegistry.gd#L224</t>
        </is>
      </c>
      <c r="G6" s="95" t="inlineStr">
        <is>
          <t>docs/v0.1/data/ShellStorm2_游戏内容数据库_v010.xlsx#掉落物品!A35</t>
        </is>
      </c>
      <c r="H6" s="94" t="inlineStr">
        <is>
          <t>未在当前CSV列出；池来源见下一列</t>
        </is>
      </c>
      <c r="I6" s="95" t="inlineStr">
        <is>
          <t>src/base/ItemRegistry.gd#L224 / spawn_starter, loot_floor_1_2, scavenge_floor_1, scavenge_floor_2, combat_floor_1, combat_floor_2</t>
        </is>
      </c>
      <c r="J6" s="95" t="inlineStr">
        <is>
          <t>src/game/InventoryModule.gd#add_item</t>
        </is>
      </c>
      <c r="K6" s="95" t="inlineStr">
        <is>
          <t>src/world3d/Dungeon3D.gd#_equip_weapon_from_inventory</t>
        </is>
      </c>
      <c r="L6" s="95" t="inlineStr">
        <is>
          <t>src/world3d/ItemModelFactory3D.gd#create_model / get_model_kind</t>
        </is>
      </c>
      <c r="M6" s="94" t="inlineStr">
        <is>
          <t>weapon；真实武器快照重建</t>
        </is>
      </c>
      <c r="N6" s="94" t="inlineStr">
        <is>
          <t>WPN-GUN-BP-SHOTGUN</t>
        </is>
      </c>
      <c r="O6" s="95" t="inlineStr">
        <is>
          <t>assets/registry/ledgers/ShellStorm2_武器账本_v001.xlsx#资产主表!A7</t>
        </is>
      </c>
      <c r="P6" s="94" t="inlineStr">
        <is>
          <t>WORLD-LOOT / REWARD-SERVICE / INVENTORY-SLOTS / WEAPON-OWNERSHIP</t>
        </is>
      </c>
      <c r="Q6" s="94" t="inlineStr">
        <is>
          <t>已注册；本表只导航，堆叠/数值/掉落概率由原定义拥有；远征01作者掉落表未列此项（不可视为无其他产出）</t>
        </is>
      </c>
    </row>
    <row r="7" ht="110" customHeight="1" s="46">
      <c r="A7" s="94" t="inlineStr">
        <is>
          <t>weapon_rifle</t>
        </is>
      </c>
      <c r="B7" s="94" t="inlineStr">
        <is>
          <t>步枪</t>
        </is>
      </c>
      <c r="C7" s="94" t="inlineStr">
        <is>
          <t>weapon</t>
        </is>
      </c>
      <c r="D7" s="94" t="inlineStr">
        <is>
          <t>gun_body</t>
        </is>
      </c>
      <c r="E7" s="94" t="inlineStr">
        <is>
          <t>assets/registry/ledgers/ShellStorm2_武器账本_v001.xlsx</t>
        </is>
      </c>
      <c r="F7" s="95" t="inlineStr">
        <is>
          <t>src/base/ItemRegistry.gd#L244</t>
        </is>
      </c>
      <c r="G7" s="95" t="inlineStr">
        <is>
          <t>docs/v0.1/data/ShellStorm2_游戏内容数据库_v010.xlsx#掉落物品!A34</t>
        </is>
      </c>
      <c r="H7" s="94" t="inlineStr">
        <is>
          <t>未在当前CSV列出；池来源见下一列</t>
        </is>
      </c>
      <c r="I7" s="95" t="inlineStr">
        <is>
          <t>src/base/ItemRegistry.gd#L244 / loot_floor_1_2, loot_floor_3_4, loot_floor_5, loot_abyss, boss_floor_1, boss_floor_2, scavenge_floor_3, scavenge_floor_4, scavenge_floor_5, combat_floor_1, combat_floor_2, combat_floor_3, elite_floor_1, elite_floor_2</t>
        </is>
      </c>
      <c r="J7" s="95" t="inlineStr">
        <is>
          <t>src/game/InventoryModule.gd#add_item</t>
        </is>
      </c>
      <c r="K7" s="95" t="inlineStr">
        <is>
          <t>src/world3d/Dungeon3D.gd#_equip_weapon_from_inventory</t>
        </is>
      </c>
      <c r="L7" s="95" t="inlineStr">
        <is>
          <t>src/world3d/ItemModelFactory3D.gd#create_model / get_model_kind</t>
        </is>
      </c>
      <c r="M7" s="94" t="inlineStr">
        <is>
          <t>weapon；真实武器快照重建</t>
        </is>
      </c>
      <c r="N7" s="94" t="inlineStr">
        <is>
          <t>WPN-GUN-BP-RIFLE</t>
        </is>
      </c>
      <c r="O7" s="95" t="inlineStr">
        <is>
          <t>assets/registry/ledgers/ShellStorm2_武器账本_v001.xlsx#资产主表!A8</t>
        </is>
      </c>
      <c r="P7" s="94" t="inlineStr">
        <is>
          <t>WORLD-LOOT / REWARD-SERVICE / INVENTORY-SLOTS / WEAPON-OWNERSHIP</t>
        </is>
      </c>
      <c r="Q7" s="94" t="inlineStr">
        <is>
          <t>已注册；本表只导航，堆叠/数值/掉落概率由原定义拥有；远征01作者掉落表未列此项（不可视为无其他产出）</t>
        </is>
      </c>
    </row>
    <row r="8" ht="110" customHeight="1" s="46">
      <c r="A8" s="94" t="inlineStr">
        <is>
          <t>weapon_machinegun</t>
        </is>
      </c>
      <c r="B8" s="94" t="inlineStr">
        <is>
          <t>蜂窝机枪</t>
        </is>
      </c>
      <c r="C8" s="94" t="inlineStr">
        <is>
          <t>weapon</t>
        </is>
      </c>
      <c r="D8" s="94" t="inlineStr">
        <is>
          <t>gun_body</t>
        </is>
      </c>
      <c r="E8" s="94" t="inlineStr">
        <is>
          <t>assets/registry/ledgers/ShellStorm2_武器账本_v001.xlsx</t>
        </is>
      </c>
      <c r="F8" s="95" t="inlineStr">
        <is>
          <t>src/base/ItemRegistry.gd#L273</t>
        </is>
      </c>
      <c r="G8" s="95" t="inlineStr">
        <is>
          <t>docs/v0.1/data/ShellStorm2_游戏内容数据库_v010.xlsx#掉落物品!A32</t>
        </is>
      </c>
      <c r="H8" s="94" t="inlineStr">
        <is>
          <t>未在当前CSV列出；池来源见下一列</t>
        </is>
      </c>
      <c r="I8" s="95" t="inlineStr">
        <is>
          <t>src/base/ItemRegistry.gd#L273 / loot_floor_1_2, loot_floor_3_4, loot_floor_5, loot_abyss, scavenge_floor_1, scavenge_floor_2, scavenge_floor_3, scavenge_floor_4, scavenge_floor_5, combat_floor_1, combat_floor_2, combat_floor_3, elite_floor_1, elite_floor_2</t>
        </is>
      </c>
      <c r="J8" s="95" t="inlineStr">
        <is>
          <t>src/game/InventoryModule.gd#add_item</t>
        </is>
      </c>
      <c r="K8" s="95" t="inlineStr">
        <is>
          <t>src/world3d/Dungeon3D.gd#_equip_weapon_from_inventory</t>
        </is>
      </c>
      <c r="L8" s="95" t="inlineStr">
        <is>
          <t>src/world3d/ItemModelFactory3D.gd#create_model / get_model_kind</t>
        </is>
      </c>
      <c r="M8" s="94" t="inlineStr">
        <is>
          <t>weapon；真实武器快照重建</t>
        </is>
      </c>
      <c r="N8" s="94" t="inlineStr">
        <is>
          <t>WPN-GUN-BP-MACHINEGUN</t>
        </is>
      </c>
      <c r="O8" s="95" t="inlineStr">
        <is>
          <t>assets/registry/ledgers/ShellStorm2_武器账本_v001.xlsx#资产主表!A9</t>
        </is>
      </c>
      <c r="P8" s="94" t="inlineStr">
        <is>
          <t>WORLD-LOOT / REWARD-SERVICE / INVENTORY-SLOTS / WEAPON-OWNERSHIP</t>
        </is>
      </c>
      <c r="Q8" s="94" t="inlineStr">
        <is>
          <t>已注册；本表只导航，堆叠/数值/掉落概率由原定义拥有；远征01作者掉落表未列此项（不可视为无其他产出）</t>
        </is>
      </c>
    </row>
    <row r="9" ht="110" customHeight="1" s="46">
      <c r="A9" s="94" t="inlineStr">
        <is>
          <t>weapon_sprinkler</t>
        </is>
      </c>
      <c r="B9" s="94" t="inlineStr">
        <is>
          <t>花洒机枪</t>
        </is>
      </c>
      <c r="C9" s="94" t="inlineStr">
        <is>
          <t>weapon</t>
        </is>
      </c>
      <c r="D9" s="94" t="inlineStr">
        <is>
          <t>gun_body</t>
        </is>
      </c>
      <c r="E9" s="94" t="inlineStr">
        <is>
          <t>assets/registry/ledgers/ShellStorm2_武器账本_v001.xlsx</t>
        </is>
      </c>
      <c r="F9" s="95" t="inlineStr">
        <is>
          <t>src/base/ItemRegistry.gd#L302</t>
        </is>
      </c>
      <c r="G9" s="94" t="inlineStr">
        <is>
          <t>缺行</t>
        </is>
      </c>
      <c r="H9" s="94" t="inlineStr">
        <is>
          <t>未在当前CSV列出；池来源见下一列</t>
        </is>
      </c>
      <c r="I9" s="95" t="inlineStr">
        <is>
          <t>src/base/ItemRegistry.gd#L302 / loot_floor_1_2, loot_floor_3_4, loot_floor_5, loot_abyss, scavenge_floor_1, scavenge_floor_2, scavenge_floor_3, scavenge_floor_4, scavenge_floor_5, combat_floor_1, combat_floor_2, combat_floor_3, elite_floor_1, elite_floor_2</t>
        </is>
      </c>
      <c r="J9" s="95" t="inlineStr">
        <is>
          <t>src/game/InventoryModule.gd#add_item</t>
        </is>
      </c>
      <c r="K9" s="95" t="inlineStr">
        <is>
          <t>src/world3d/Dungeon3D.gd#_equip_weapon_from_inventory</t>
        </is>
      </c>
      <c r="L9" s="95" t="inlineStr">
        <is>
          <t>src/world3d/ItemModelFactory3D.gd#create_model / get_model_kind</t>
        </is>
      </c>
      <c r="M9" s="94" t="inlineStr">
        <is>
          <t>weapon；真实武器快照重建</t>
        </is>
      </c>
      <c r="N9" s="94" t="inlineStr">
        <is>
          <t>未登记</t>
        </is>
      </c>
      <c r="O9" s="94" t="inlineStr">
        <is>
          <t>未登记</t>
        </is>
      </c>
      <c r="P9" s="94" t="inlineStr">
        <is>
          <t>WORLD-LOOT / REWARD-SERVICE / INVENTORY-SLOTS / WEAPON-OWNERSHIP</t>
        </is>
      </c>
      <c r="Q9" s="94" t="inlineStr">
        <is>
          <t>已注册；本表只导航，堆叠/数值/掉落概率由原定义拥有；远征01作者掉落表未列此项（不可视为无其他产出）；内容数据库缺行，运行注册表有此ID；无对应资产主表登记，不新增AssetID</t>
        </is>
      </c>
    </row>
    <row r="10" ht="93" customHeight="1" s="46">
      <c r="A10" s="94" t="inlineStr">
        <is>
          <t>weapon_sniper</t>
        </is>
      </c>
      <c r="B10" s="94" t="inlineStr">
        <is>
          <t>弹弓狙击</t>
        </is>
      </c>
      <c r="C10" s="94" t="inlineStr">
        <is>
          <t>weapon</t>
        </is>
      </c>
      <c r="D10" s="94" t="inlineStr">
        <is>
          <t>gun_body</t>
        </is>
      </c>
      <c r="E10" s="94" t="inlineStr">
        <is>
          <t>assets/registry/ledgers/ShellStorm2_武器账本_v001.xlsx</t>
        </is>
      </c>
      <c r="F10" s="95" t="inlineStr">
        <is>
          <t>src/base/ItemRegistry.gd#L333</t>
        </is>
      </c>
      <c r="G10" s="95" t="inlineStr">
        <is>
          <t>docs/v0.1/data/ShellStorm2_游戏内容数据库_v010.xlsx#掉落物品!A36</t>
        </is>
      </c>
      <c r="H10" s="94" t="inlineStr">
        <is>
          <t>未在当前CSV列出；池来源见下一列</t>
        </is>
      </c>
      <c r="I10" s="95" t="inlineStr">
        <is>
          <t>src/base/ItemRegistry.gd#L333 / loot_floor_3_4, loot_floor_5, loot_abyss, boss_floor_1, boss_floor_2, scavenge_floor_3, scavenge_floor_4, scavenge_floor_5, combat_floor_2, combat_floor_3, elite_floor_1, elite_floor_2</t>
        </is>
      </c>
      <c r="J10" s="95" t="inlineStr">
        <is>
          <t>src/game/InventoryModule.gd#add_item</t>
        </is>
      </c>
      <c r="K10" s="95" t="inlineStr">
        <is>
          <t>src/world3d/Dungeon3D.gd#_equip_weapon_from_inventory</t>
        </is>
      </c>
      <c r="L10" s="95" t="inlineStr">
        <is>
          <t>src/world3d/ItemModelFactory3D.gd#create_model / get_model_kind</t>
        </is>
      </c>
      <c r="M10" s="94" t="inlineStr">
        <is>
          <t>weapon；真实武器快照重建</t>
        </is>
      </c>
      <c r="N10" s="94" t="inlineStr">
        <is>
          <t>WPN-GUN-BP-SNIPER</t>
        </is>
      </c>
      <c r="O10" s="95" t="inlineStr">
        <is>
          <t>assets/registry/ledgers/ShellStorm2_武器账本_v001.xlsx#资产主表!A10</t>
        </is>
      </c>
      <c r="P10" s="94" t="inlineStr">
        <is>
          <t>WORLD-LOOT / REWARD-SERVICE / INVENTORY-SLOTS / WEAPON-OWNERSHIP</t>
        </is>
      </c>
      <c r="Q10" s="94" t="inlineStr">
        <is>
          <t>已注册；本表只导航，堆叠/数值/掉落概率由原定义拥有；远征01作者掉落表未列此项（不可视为无其他产出）</t>
        </is>
      </c>
    </row>
    <row r="11" ht="93" customHeight="1" s="46">
      <c r="A11" s="94" t="inlineStr">
        <is>
          <t>weapon_launcher</t>
        </is>
      </c>
      <c r="B11" s="94" t="inlineStr">
        <is>
          <t>反胃榴弹筒</t>
        </is>
      </c>
      <c r="C11" s="94" t="inlineStr">
        <is>
          <t>weapon</t>
        </is>
      </c>
      <c r="D11" s="94" t="inlineStr">
        <is>
          <t>gun_body</t>
        </is>
      </c>
      <c r="E11" s="94" t="inlineStr">
        <is>
          <t>assets/registry/ledgers/ShellStorm2_武器账本_v001.xlsx</t>
        </is>
      </c>
      <c r="F11" s="95" t="inlineStr">
        <is>
          <t>src/base/ItemRegistry.gd#L360</t>
        </is>
      </c>
      <c r="G11" s="95" t="inlineStr">
        <is>
          <t>docs/v0.1/data/ShellStorm2_游戏内容数据库_v010.xlsx#掉落物品!A31</t>
        </is>
      </c>
      <c r="H11" s="94" t="inlineStr">
        <is>
          <t>docs/v0.1/data/怪物掉落表_地图x怪物.csv#CSV行15 / exploder</t>
        </is>
      </c>
      <c r="I11" s="95" t="inlineStr">
        <is>
          <t>src/base/ItemRegistry.gd#L360 / loot_floor_3_4, loot_floor_5, loot_abyss, boss_floor_1, boss_floor_2, scavenge_floor_3, scavenge_floor_4, scavenge_floor_5, combat_floor_3, combat_floor_4, combat_floor_5, elite_floor_2</t>
        </is>
      </c>
      <c r="J11" s="95" t="inlineStr">
        <is>
          <t>src/game/InventoryModule.gd#add_item</t>
        </is>
      </c>
      <c r="K11" s="95" t="inlineStr">
        <is>
          <t>src/world3d/Dungeon3D.gd#_equip_weapon_from_inventory</t>
        </is>
      </c>
      <c r="L11" s="95" t="inlineStr">
        <is>
          <t>src/world3d/ItemModelFactory3D.gd#create_model / get_model_kind</t>
        </is>
      </c>
      <c r="M11" s="94" t="inlineStr">
        <is>
          <t>weapon；真实武器快照重建</t>
        </is>
      </c>
      <c r="N11" s="94" t="inlineStr">
        <is>
          <t>WPN-GUN-BP-LAUNCHER</t>
        </is>
      </c>
      <c r="O11" s="95" t="inlineStr">
        <is>
          <t>assets/registry/ledgers/ShellStorm2_武器账本_v001.xlsx#资产主表!A11</t>
        </is>
      </c>
      <c r="P11" s="94" t="inlineStr">
        <is>
          <t>WORLD-LOOT / REWARD-SERVICE / INVENTORY-SLOTS / WEAPON-OWNERSHIP</t>
        </is>
      </c>
      <c r="Q11" s="94" t="inlineStr">
        <is>
          <t>已注册；本表只导航，堆叠/数值/掉落概率由原定义拥有</t>
        </is>
      </c>
    </row>
    <row r="12" ht="76" customHeight="1" s="46">
      <c r="A12" s="94" t="inlineStr">
        <is>
          <t>weapon_charge</t>
        </is>
      </c>
      <c r="B12" s="94" t="inlineStr">
        <is>
          <t>蓄力萝卜炮</t>
        </is>
      </c>
      <c r="C12" s="94" t="inlineStr">
        <is>
          <t>weapon</t>
        </is>
      </c>
      <c r="D12" s="94" t="inlineStr">
        <is>
          <t>gun_body</t>
        </is>
      </c>
      <c r="E12" s="94" t="inlineStr">
        <is>
          <t>assets/registry/ledgers/ShellStorm2_武器账本_v001.xlsx</t>
        </is>
      </c>
      <c r="F12" s="95" t="inlineStr">
        <is>
          <t>src/base/ItemRegistry.gd#L387</t>
        </is>
      </c>
      <c r="G12" s="95" t="inlineStr">
        <is>
          <t>docs/v0.1/data/ShellStorm2_游戏内容数据库_v010.xlsx#掉落物品!A30</t>
        </is>
      </c>
      <c r="H12" s="94" t="inlineStr">
        <is>
          <t>未在当前CSV列出；池来源见下一列</t>
        </is>
      </c>
      <c r="I12" s="95" t="inlineStr">
        <is>
          <t>src/base/ItemRegistry.gd#L387 / loot_floor_5, loot_abyss, boss_floor_2, scavenge_floor_4, scavenge_floor_5, combat_floor_4, combat_floor_5, elite_floor_2</t>
        </is>
      </c>
      <c r="J12" s="95" t="inlineStr">
        <is>
          <t>src/game/InventoryModule.gd#add_item</t>
        </is>
      </c>
      <c r="K12" s="95" t="inlineStr">
        <is>
          <t>src/world3d/Dungeon3D.gd#_equip_weapon_from_inventory</t>
        </is>
      </c>
      <c r="L12" s="95" t="inlineStr">
        <is>
          <t>src/world3d/ItemModelFactory3D.gd#create_model / get_model_kind</t>
        </is>
      </c>
      <c r="M12" s="94" t="inlineStr">
        <is>
          <t>weapon；真实武器快照重建</t>
        </is>
      </c>
      <c r="N12" s="94" t="inlineStr">
        <is>
          <t>WPN-GUN-BP-CHARGE</t>
        </is>
      </c>
      <c r="O12" s="95" t="inlineStr">
        <is>
          <t>assets/registry/ledgers/ShellStorm2_武器账本_v001.xlsx#资产主表!A12</t>
        </is>
      </c>
      <c r="P12" s="94" t="inlineStr">
        <is>
          <t>WORLD-LOOT / REWARD-SERVICE / INVENTORY-SLOTS / WEAPON-OWNERSHIP</t>
        </is>
      </c>
      <c r="Q12" s="94" t="inlineStr">
        <is>
          <t>已注册；本表只导航，堆叠/数值/掉落概率由原定义拥有；远征01作者掉落表未列此项（不可视为无其他产出）</t>
        </is>
      </c>
    </row>
    <row r="13" ht="59" customHeight="1" s="46">
      <c r="A13" s="94" t="inlineStr">
        <is>
          <t>weapon_baseball_bat</t>
        </is>
      </c>
      <c r="B13" s="94" t="inlineStr">
        <is>
          <t>废土棒球棍</t>
        </is>
      </c>
      <c r="C13" s="94" t="inlineStr">
        <is>
          <t>weapon</t>
        </is>
      </c>
      <c r="D13" s="94" t="inlineStr">
        <is>
          <t>melee_weapon</t>
        </is>
      </c>
      <c r="E13" s="94" t="inlineStr">
        <is>
          <t>assets/registry/ledgers/ShellStorm2_武器账本_v001.xlsx</t>
        </is>
      </c>
      <c r="F13" s="95" t="inlineStr">
        <is>
          <t>src/base/ItemRegistry.gd#L410</t>
        </is>
      </c>
      <c r="G13" s="95" t="inlineStr">
        <is>
          <t>docs/v0.1/data/ShellStorm2_游戏内容数据库_v010.xlsx#掉落物品!A49</t>
        </is>
      </c>
      <c r="H13" s="94" t="inlineStr">
        <is>
          <t>docs/v0.1/data/怪物掉落表_地图x怪物.csv#CSV行3 / melee_chaser</t>
        </is>
      </c>
      <c r="I13" s="95" t="inlineStr">
        <is>
          <t>src/base/ItemRegistry.gd#L410 / spawn_starter, loot_floor_1_2, scavenge_floor_1, scavenge_floor_2, combat_floor_1</t>
        </is>
      </c>
      <c r="J13" s="95" t="inlineStr">
        <is>
          <t>src/game/InventoryModule.gd#add_item</t>
        </is>
      </c>
      <c r="K13" s="95" t="inlineStr">
        <is>
          <t>src/world3d/Dungeon3D.gd#_equip_weapon_from_inventory</t>
        </is>
      </c>
      <c r="L13" s="95" t="inlineStr">
        <is>
          <t>src/world3d/ItemModelFactory3D.gd#create_model / get_model_kind</t>
        </is>
      </c>
      <c r="M13" s="94" t="inlineStr">
        <is>
          <t>weapon；真实武器快照重建</t>
        </is>
      </c>
      <c r="N13" s="94" t="inlineStr">
        <is>
          <t>WPN-MELEE-BP-BASEBALL-BAT</t>
        </is>
      </c>
      <c r="O13" s="95" t="inlineStr">
        <is>
          <t>assets/registry/ledgers/ShellStorm2_武器账本_v001.xlsx#资产主表!A30</t>
        </is>
      </c>
      <c r="P13" s="94" t="inlineStr">
        <is>
          <t>WORLD-LOOT / REWARD-SERVICE / INVENTORY-SLOTS / WEAPON-OWNERSHIP</t>
        </is>
      </c>
      <c r="Q13" s="94" t="inlineStr">
        <is>
          <t>已注册；本表只导航，堆叠/数值/掉落概率由原定义拥有</t>
        </is>
      </c>
    </row>
    <row r="14" ht="76" customHeight="1" s="46">
      <c r="A14" s="94" t="inlineStr">
        <is>
          <t>weapon_greatblade</t>
        </is>
      </c>
      <c r="B14" s="94" t="inlineStr">
        <is>
          <t>巨型工业断刃</t>
        </is>
      </c>
      <c r="C14" s="94" t="inlineStr">
        <is>
          <t>weapon</t>
        </is>
      </c>
      <c r="D14" s="94" t="inlineStr">
        <is>
          <t>melee_weapon</t>
        </is>
      </c>
      <c r="E14" s="94" t="inlineStr">
        <is>
          <t>assets/registry/ledgers/ShellStorm2_武器账本_v001.xlsx</t>
        </is>
      </c>
      <c r="F14" s="95" t="inlineStr">
        <is>
          <t>src/base/ItemRegistry.gd#L430</t>
        </is>
      </c>
      <c r="G14" s="95" t="inlineStr">
        <is>
          <t>docs/v0.1/data/ShellStorm2_游戏内容数据库_v010.xlsx#掉落物品!A47</t>
        </is>
      </c>
      <c r="H14" s="94" t="inlineStr">
        <is>
          <t>未在当前CSV列出；池来源见下一列</t>
        </is>
      </c>
      <c r="I14" s="95" t="inlineStr">
        <is>
          <t>src/base/ItemRegistry.gd#L430 / spawn_starter, loot_floor_1_2, loot_floor_3_4, scavenge_floor_1, scavenge_floor_2, combat_floor_1, combat_floor_2</t>
        </is>
      </c>
      <c r="J14" s="95" t="inlineStr">
        <is>
          <t>src/game/InventoryModule.gd#add_item</t>
        </is>
      </c>
      <c r="K14" s="95" t="inlineStr">
        <is>
          <t>src/world3d/Dungeon3D.gd#_equip_weapon_from_inventory</t>
        </is>
      </c>
      <c r="L14" s="95" t="inlineStr">
        <is>
          <t>src/world3d/ItemModelFactory3D.gd#create_model / get_model_kind</t>
        </is>
      </c>
      <c r="M14" s="94" t="inlineStr">
        <is>
          <t>weapon；真实武器快照重建</t>
        </is>
      </c>
      <c r="N14" s="94" t="inlineStr">
        <is>
          <t>WPN-MELEE-BP-GREATBLADE</t>
        </is>
      </c>
      <c r="O14" s="95" t="inlineStr">
        <is>
          <t>assets/registry/ledgers/ShellStorm2_武器账本_v001.xlsx#资产主表!A28</t>
        </is>
      </c>
      <c r="P14" s="94" t="inlineStr">
        <is>
          <t>WORLD-LOOT / REWARD-SERVICE / INVENTORY-SLOTS / WEAPON-OWNERSHIP</t>
        </is>
      </c>
      <c r="Q14" s="94" t="inlineStr">
        <is>
          <t>已注册；本表只导航，堆叠/数值/掉落概率由原定义拥有；远征01作者掉落表未列此项（不可视为无其他产出）</t>
        </is>
      </c>
    </row>
    <row r="15" ht="76" customHeight="1" s="46">
      <c r="A15" s="94" t="inlineStr">
        <is>
          <t>weapon_waraxe</t>
        </is>
      </c>
      <c r="B15" s="94" t="inlineStr">
        <is>
          <t>攻城裂甲斧</t>
        </is>
      </c>
      <c r="C15" s="94" t="inlineStr">
        <is>
          <t>weapon</t>
        </is>
      </c>
      <c r="D15" s="94" t="inlineStr">
        <is>
          <t>melee_weapon</t>
        </is>
      </c>
      <c r="E15" s="94" t="inlineStr">
        <is>
          <t>assets/registry/ledgers/ShellStorm2_武器账本_v001.xlsx</t>
        </is>
      </c>
      <c r="F15" s="95" t="inlineStr">
        <is>
          <t>src/base/ItemRegistry.gd#L452</t>
        </is>
      </c>
      <c r="G15" s="95" t="inlineStr">
        <is>
          <t>docs/v0.1/data/ShellStorm2_游戏内容数据库_v010.xlsx#掉落物品!A48</t>
        </is>
      </c>
      <c r="H15" s="94" t="inlineStr">
        <is>
          <t>未在当前CSV列出；池来源见下一列</t>
        </is>
      </c>
      <c r="I15" s="95" t="inlineStr">
        <is>
          <t>src/base/ItemRegistry.gd#L452 / loot_floor_1_2, loot_floor_3_4, loot_floor_5, loot_abyss, scavenge_floor_3, combat_floor_3, elite_floor_1, elite_floor_2</t>
        </is>
      </c>
      <c r="J15" s="95" t="inlineStr">
        <is>
          <t>src/game/InventoryModule.gd#add_item</t>
        </is>
      </c>
      <c r="K15" s="95" t="inlineStr">
        <is>
          <t>src/world3d/Dungeon3D.gd#_equip_weapon_from_inventory</t>
        </is>
      </c>
      <c r="L15" s="95" t="inlineStr">
        <is>
          <t>src/world3d/ItemModelFactory3D.gd#create_model / get_model_kind</t>
        </is>
      </c>
      <c r="M15" s="94" t="inlineStr">
        <is>
          <t>weapon；真实武器快照重建</t>
        </is>
      </c>
      <c r="N15" s="94" t="inlineStr">
        <is>
          <t>WPN-MELEE-BP-WARAXE</t>
        </is>
      </c>
      <c r="O15" s="95" t="inlineStr">
        <is>
          <t>assets/registry/ledgers/ShellStorm2_武器账本_v001.xlsx#资产主表!A29</t>
        </is>
      </c>
      <c r="P15" s="94" t="inlineStr">
        <is>
          <t>WORLD-LOOT / REWARD-SERVICE / INVENTORY-SLOTS / WEAPON-OWNERSHIP</t>
        </is>
      </c>
      <c r="Q15" s="94" t="inlineStr">
        <is>
          <t>已注册；本表只导航，堆叠/数值/掉落概率由原定义拥有；远征01作者掉落表未列此项（不可视为无其他产出）</t>
        </is>
      </c>
    </row>
    <row r="16" ht="110" customHeight="1" s="46">
      <c r="A16" s="94" t="inlineStr">
        <is>
          <t>item_ammo_pack</t>
        </is>
      </c>
      <c r="B16" s="94" t="inlineStr">
        <is>
          <t>通用弹药</t>
        </is>
      </c>
      <c r="C16" s="94" t="inlineStr">
        <is>
          <t>consumable</t>
        </is>
      </c>
      <c r="D16" s="94" t="inlineStr"/>
      <c r="E16" s="94" t="inlineStr">
        <is>
          <t>assets/registry/ledgers/ShellStorm2_武器账本_v001.xlsx</t>
        </is>
      </c>
      <c r="F16" s="95" t="inlineStr">
        <is>
          <t>src/base/ItemRegistry.gd#L739</t>
        </is>
      </c>
      <c r="G16" s="95" t="inlineStr">
        <is>
          <t>docs/v0.1/data/ShellStorm2_游戏内容数据库_v010.xlsx#掉落物品!A18</t>
        </is>
      </c>
      <c r="H16" s="94" t="inlineStr">
        <is>
          <t>docs/v0.1/data/怪物掉落表_地图x怪物.csv#CSV行5 / melee_chaser
docs/v0.1/data/怪物掉落表_地图x怪物.csv#CSV行10 / ranged_caster
docs/v0.1/data/怪物掉落表_地图x怪物.csv#CSV行16 / exploder</t>
        </is>
      </c>
      <c r="I16" s="95" t="inlineStr">
        <is>
          <t>src/base/ItemRegistry.gd#L739 / loot_common, loot_floor_1_2, spawn_starter, combat_floor_1, combat_floor_2, combat_floor_3, combat_floor_4, combat_floor_5</t>
        </is>
      </c>
      <c r="J16" s="95" t="inlineStr">
        <is>
          <t>src/game/InventoryModule.gd#add_item</t>
        </is>
      </c>
      <c r="K16" s="95" t="inlineStr">
        <is>
          <t>src/world3d/Dungeon3D.gd#_on_inventory_item_clicked</t>
        </is>
      </c>
      <c r="L16" s="95" t="inlineStr">
        <is>
          <t>src/world3d/ItemModelFactory3D.gd#create_model / get_model_kind</t>
        </is>
      </c>
      <c r="M16" s="94" t="inlineStr">
        <is>
          <t>ammo；程序罐体</t>
        </is>
      </c>
      <c r="N16" s="94" t="inlineStr">
        <is>
          <t>未登记</t>
        </is>
      </c>
      <c r="O16" s="94" t="inlineStr">
        <is>
          <t>未登记</t>
        </is>
      </c>
      <c r="P16" s="94" t="inlineStr">
        <is>
          <t>WORLD-LOOT / REWARD-SERVICE / INVENTORY-SLOTS / WEAPON-OWNERSHIP</t>
        </is>
      </c>
      <c r="Q16" s="94" t="inlineStr">
        <is>
          <t>已注册；本表只导航，堆叠/数值/掉落概率由原定义拥有；无对应资产主表登记，不新增AssetID</t>
        </is>
      </c>
    </row>
    <row r="17" ht="76" customHeight="1" s="46">
      <c r="A17" s="94" t="inlineStr">
        <is>
          <t>mod_bullet_standard</t>
        </is>
      </c>
      <c r="B17" s="94" t="inlineStr">
        <is>
          <t>标准子弹模块</t>
        </is>
      </c>
      <c r="C17" s="94" t="inlineStr">
        <is>
          <t>module</t>
        </is>
      </c>
      <c r="D17" s="94" t="inlineStr">
        <is>
          <t>bullet</t>
        </is>
      </c>
      <c r="E17" s="94" t="inlineStr">
        <is>
          <t>assets/registry/ledgers/ShellStorm2_武器账本_v001.xlsx</t>
        </is>
      </c>
      <c r="F17" s="95" t="inlineStr">
        <is>
          <t>src/base/ItemRegistry.gd#L886</t>
        </is>
      </c>
      <c r="G17" s="95" t="inlineStr">
        <is>
          <t>docs/v0.1/data/ShellStorm2_游戏内容数据库_v010.xlsx#掉落物品!A28</t>
        </is>
      </c>
      <c r="H17" s="94" t="inlineStr">
        <is>
          <t>docs/v0.1/data/怪物掉落表_地图x怪物.csv#CSV行4 / melee_chaser</t>
        </is>
      </c>
      <c r="I17" s="95" t="inlineStr">
        <is>
          <t>src/base/ItemRegistry.gd#L886 / loot_floor_1_2, loot_floor_3_4, loot_floor_5, loot_abyss, spawn_starter, scavenge_floor_1, scavenge_floor_2, combat_floor_1, combat_floor_2</t>
        </is>
      </c>
      <c r="J17" s="95" t="inlineStr">
        <is>
          <t>src/game/InventoryModule.gd#add_item</t>
        </is>
      </c>
      <c r="K17" s="95" t="inlineStr">
        <is>
          <t>src/world3d/Dungeon3D.gd#_install_weapon_module_from_item</t>
        </is>
      </c>
      <c r="L17" s="95" t="inlineStr">
        <is>
          <t>src/world3d/ItemModelFactory3D.gd#create_model / get_model_kind</t>
        </is>
      </c>
      <c r="M17" s="94" t="inlineStr">
        <is>
          <t>bullet</t>
        </is>
      </c>
      <c r="N17" s="94" t="inlineStr">
        <is>
          <t>WPN-BUL-MOD-BULLET-STANDARD</t>
        </is>
      </c>
      <c r="O17" s="94" t="inlineStr">
        <is>
          <t>assets/registry/ledgers/ShellStorm2_武器账本_v001.xlsx#资产主表!A13</t>
        </is>
      </c>
      <c r="P17" s="94" t="inlineStr">
        <is>
          <t>WORLD-LOOT / REWARD-SERVICE / INVENTORY-SLOTS / WEAPON-OWNERSHIP</t>
        </is>
      </c>
      <c r="Q17" s="94" t="inlineStr">
        <is>
          <t>已注册；本表只导航，堆叠/数值/掉落概率由原定义拥有；2026-10-14 Blender源已完成（未导入运行时）：art_source/items_weapons/weapons/bullet_standard/source/wpn_bullet_standard_source_v001.blend；preview/ground双模型源已完成，ground100–200三角，运行时用途分流待接入。</t>
        </is>
      </c>
    </row>
    <row r="18" ht="76" customHeight="1" s="46">
      <c r="A18" s="94" t="inlineStr">
        <is>
          <t>mod_bullet_sticky</t>
        </is>
      </c>
      <c r="B18" s="94" t="inlineStr">
        <is>
          <t>黏黏弹模块</t>
        </is>
      </c>
      <c r="C18" s="94" t="inlineStr">
        <is>
          <t>module</t>
        </is>
      </c>
      <c r="D18" s="94" t="inlineStr">
        <is>
          <t>bullet</t>
        </is>
      </c>
      <c r="E18" s="94" t="inlineStr">
        <is>
          <t>assets/registry/ledgers/ShellStorm2_武器账本_v001.xlsx</t>
        </is>
      </c>
      <c r="F18" s="95" t="inlineStr">
        <is>
          <t>src/base/ItemRegistry.gd#L909</t>
        </is>
      </c>
      <c r="G18" s="95" t="inlineStr">
        <is>
          <t>docs/v0.1/data/ShellStorm2_游戏内容数据库_v010.xlsx#掉落物品!A29</t>
        </is>
      </c>
      <c r="H18" s="94" t="inlineStr">
        <is>
          <t>未在当前CSV列出；池来源见下一列</t>
        </is>
      </c>
      <c r="I18" s="95" t="inlineStr">
        <is>
          <t>src/base/ItemRegistry.gd#L909 / loot_floor_1_2, loot_floor_3_4, loot_floor_5, loot_abyss, spawn_starter, scavenge_floor_1, scavenge_floor_2, combat_floor_1, combat_floor_2</t>
        </is>
      </c>
      <c r="J18" s="95" t="inlineStr">
        <is>
          <t>src/game/InventoryModule.gd#add_item</t>
        </is>
      </c>
      <c r="K18" s="95" t="inlineStr">
        <is>
          <t>src/world3d/Dungeon3D.gd#_install_weapon_module_from_item</t>
        </is>
      </c>
      <c r="L18" s="95" t="inlineStr">
        <is>
          <t>src/world3d/ItemModelFactory3D.gd#create_model / get_model_kind</t>
        </is>
      </c>
      <c r="M18" s="94" t="inlineStr">
        <is>
          <t>bullet</t>
        </is>
      </c>
      <c r="N18" s="94" t="inlineStr">
        <is>
          <t>WPN-BUL-MOD-BULLET-STICKY
VFX-BULLET-STICKY-3D</t>
        </is>
      </c>
      <c r="O18" s="94" t="inlineStr">
        <is>
          <t>assets/registry/ledgers/ShellStorm2_武器账本_v001.xlsx#资产主表!A14
assets/registry/ledgers/ShellStorm2_特效账本_v001.xlsx#资产主表!A28</t>
        </is>
      </c>
      <c r="P18" s="94" t="inlineStr">
        <is>
          <t>WORLD-LOOT / REWARD-SERVICE / INVENTORY-SLOTS / WEAPON-OWNERSHIP</t>
        </is>
      </c>
      <c r="Q18" s="94" t="inlineStr">
        <is>
          <t>已注册；本表只导航，堆叠/数值/掉落概率由原定义拥有；远征01作者掉落表未列此项（不可视为无其他产出）</t>
        </is>
      </c>
    </row>
    <row r="19" ht="76" customHeight="1" s="46">
      <c r="A19" s="94" t="inlineStr">
        <is>
          <t>mod_bullet_bounce</t>
        </is>
      </c>
      <c r="B19" s="94" t="inlineStr">
        <is>
          <t>回旋镖弹模块</t>
        </is>
      </c>
      <c r="C19" s="94" t="inlineStr">
        <is>
          <t>module</t>
        </is>
      </c>
      <c r="D19" s="94" t="inlineStr">
        <is>
          <t>bullet</t>
        </is>
      </c>
      <c r="E19" s="94" t="inlineStr">
        <is>
          <t>assets/registry/ledgers/ShellStorm2_武器账本_v001.xlsx</t>
        </is>
      </c>
      <c r="F19" s="95" t="inlineStr">
        <is>
          <t>src/base/ItemRegistry.gd#L932</t>
        </is>
      </c>
      <c r="G19" s="95" t="inlineStr">
        <is>
          <t>docs/v0.1/data/ShellStorm2_游戏内容数据库_v010.xlsx#掉落物品!A24</t>
        </is>
      </c>
      <c r="H19" s="94" t="inlineStr">
        <is>
          <t>docs/v0.1/data/怪物掉落表_地图x怪物.csv#CSV行8 / ranged_caster</t>
        </is>
      </c>
      <c r="I19" s="95" t="inlineStr">
        <is>
          <t>src/base/ItemRegistry.gd#L932 / loot_floor_1_2, loot_floor_3_4, loot_floor_5, loot_abyss, spawn_starter, scavenge_floor_1, scavenge_floor_2, combat_floor_1, combat_floor_2</t>
        </is>
      </c>
      <c r="J19" s="95" t="inlineStr">
        <is>
          <t>src/game/InventoryModule.gd#add_item</t>
        </is>
      </c>
      <c r="K19" s="95" t="inlineStr">
        <is>
          <t>src/world3d/Dungeon3D.gd#_install_weapon_module_from_item</t>
        </is>
      </c>
      <c r="L19" s="95" t="inlineStr">
        <is>
          <t>src/world3d/ItemModelFactory3D.gd#create_model / get_model_kind</t>
        </is>
      </c>
      <c r="M19" s="94" t="inlineStr">
        <is>
          <t>bullet</t>
        </is>
      </c>
      <c r="N19" s="94" t="inlineStr">
        <is>
          <t>WPN-BUL-MOD-BULLET-BOUNCE
VFX-BULLET-BOUNCE-3D</t>
        </is>
      </c>
      <c r="O19" s="94" t="inlineStr">
        <is>
          <t>assets/registry/ledgers/ShellStorm2_武器账本_v001.xlsx#资产主表!A15
assets/registry/ledgers/ShellStorm2_特效账本_v001.xlsx#资产主表!A29</t>
        </is>
      </c>
      <c r="P19" s="94" t="inlineStr">
        <is>
          <t>WORLD-LOOT / REWARD-SERVICE / INVENTORY-SLOTS / WEAPON-OWNERSHIP</t>
        </is>
      </c>
      <c r="Q19" s="94" t="inlineStr">
        <is>
          <t>已注册；本表只导航，堆叠/数值/掉落概率由原定义拥有</t>
        </is>
      </c>
    </row>
    <row r="20" ht="76" customHeight="1" s="46">
      <c r="A20" s="94" t="inlineStr">
        <is>
          <t>mod_bullet_piercing</t>
        </is>
      </c>
      <c r="B20" s="94" t="inlineStr">
        <is>
          <t>穿甲弹模块</t>
        </is>
      </c>
      <c r="C20" s="94" t="inlineStr">
        <is>
          <t>module</t>
        </is>
      </c>
      <c r="D20" s="94" t="inlineStr">
        <is>
          <t>bullet</t>
        </is>
      </c>
      <c r="E20" s="94" t="inlineStr">
        <is>
          <t>assets/registry/ledgers/ShellStorm2_武器账本_v001.xlsx</t>
        </is>
      </c>
      <c r="F20" s="95" t="inlineStr">
        <is>
          <t>src/base/ItemRegistry.gd#L961</t>
        </is>
      </c>
      <c r="G20" s="95" t="inlineStr">
        <is>
          <t>docs/v0.1/data/ShellStorm2_游戏内容数据库_v010.xlsx#掉落物品!A27</t>
        </is>
      </c>
      <c r="H20" s="94" t="inlineStr">
        <is>
          <t>docs/v0.1/data/怪物掉落表_地图x怪物.csv#CSV行7 / ranged_caster</t>
        </is>
      </c>
      <c r="I20" s="95" t="inlineStr">
        <is>
          <t>src/base/ItemRegistry.gd#L961 / loot_floor_3_4, loot_floor_5, loot_abyss, scavenge_floor_3, scavenge_floor_4, scavenge_floor_5, combat_floor_3</t>
        </is>
      </c>
      <c r="J20" s="95" t="inlineStr">
        <is>
          <t>src/game/InventoryModule.gd#add_item</t>
        </is>
      </c>
      <c r="K20" s="95" t="inlineStr">
        <is>
          <t>src/world3d/Dungeon3D.gd#_install_weapon_module_from_item</t>
        </is>
      </c>
      <c r="L20" s="95" t="inlineStr">
        <is>
          <t>src/world3d/ItemModelFactory3D.gd#create_model / get_model_kind</t>
        </is>
      </c>
      <c r="M20" s="94" t="inlineStr">
        <is>
          <t>bullet</t>
        </is>
      </c>
      <c r="N20" s="94" t="inlineStr">
        <is>
          <t>WPN-BUL-MOD-BULLET-PIERCING
VFX-BULLET-PIERCING-3D</t>
        </is>
      </c>
      <c r="O20" s="94" t="inlineStr">
        <is>
          <t>assets/registry/ledgers/ShellStorm2_武器账本_v001.xlsx#资产主表!A16
assets/registry/ledgers/ShellStorm2_特效账本_v001.xlsx#资产主表!A30</t>
        </is>
      </c>
      <c r="P20" s="94" t="inlineStr">
        <is>
          <t>WORLD-LOOT / REWARD-SERVICE / INVENTORY-SLOTS / WEAPON-OWNERSHIP</t>
        </is>
      </c>
      <c r="Q20" s="94" t="inlineStr">
        <is>
          <t>已注册；本表只导航，堆叠/数值/掉落概率由原定义拥有</t>
        </is>
      </c>
    </row>
    <row r="21" ht="76" customHeight="1" s="46">
      <c r="A21" s="94" t="inlineStr">
        <is>
          <t>mod_bullet_explosive</t>
        </is>
      </c>
      <c r="B21" s="94" t="inlineStr">
        <is>
          <t>爆炸弹模块</t>
        </is>
      </c>
      <c r="C21" s="94" t="inlineStr">
        <is>
          <t>module</t>
        </is>
      </c>
      <c r="D21" s="94" t="inlineStr">
        <is>
          <t>bullet</t>
        </is>
      </c>
      <c r="E21" s="94" t="inlineStr">
        <is>
          <t>assets/registry/ledgers/ShellStorm2_武器账本_v001.xlsx</t>
        </is>
      </c>
      <c r="F21" s="95" t="inlineStr">
        <is>
          <t>src/base/ItemRegistry.gd#L982</t>
        </is>
      </c>
      <c r="G21" s="95" t="inlineStr">
        <is>
          <t>docs/v0.1/data/ShellStorm2_游戏内容数据库_v010.xlsx#掉落物品!A25</t>
        </is>
      </c>
      <c r="H21" s="94" t="inlineStr">
        <is>
          <t>docs/v0.1/data/怪物掉落表_地图x怪物.csv#CSV行12 / exploder</t>
        </is>
      </c>
      <c r="I21" s="95" t="inlineStr">
        <is>
          <t>src/base/ItemRegistry.gd#L982 / loot_floor_3_4, loot_floor_5, loot_abyss, scavenge_floor_3, scavenge_floor_4, scavenge_floor_5, combat_floor_3</t>
        </is>
      </c>
      <c r="J21" s="95" t="inlineStr">
        <is>
          <t>src/game/InventoryModule.gd#add_item</t>
        </is>
      </c>
      <c r="K21" s="95" t="inlineStr">
        <is>
          <t>src/world3d/Dungeon3D.gd#_install_weapon_module_from_item</t>
        </is>
      </c>
      <c r="L21" s="95" t="inlineStr">
        <is>
          <t>src/world3d/ItemModelFactory3D.gd#create_model / get_model_kind</t>
        </is>
      </c>
      <c r="M21" s="94" t="inlineStr">
        <is>
          <t>bullet</t>
        </is>
      </c>
      <c r="N21" s="94" t="inlineStr">
        <is>
          <t>WPN-BUL-MOD-BULLET-EXPLOSIVE
VFX-BULLET-EXPLOSIVE-3D</t>
        </is>
      </c>
      <c r="O21" s="94" t="inlineStr">
        <is>
          <t>assets/registry/ledgers/ShellStorm2_武器账本_v001.xlsx#资产主表!A17
assets/registry/ledgers/ShellStorm2_特效账本_v001.xlsx#资产主表!A31</t>
        </is>
      </c>
      <c r="P21" s="94" t="inlineStr">
        <is>
          <t>WORLD-LOOT / REWARD-SERVICE / INVENTORY-SLOTS / WEAPON-OWNERSHIP</t>
        </is>
      </c>
      <c r="Q21" s="94" t="inlineStr">
        <is>
          <t>已注册；本表只导航，堆叠/数值/掉落概率由原定义拥有</t>
        </is>
      </c>
    </row>
    <row r="22" ht="76" customHeight="1" s="46">
      <c r="A22" s="94" t="inlineStr">
        <is>
          <t>mod_bullet_homing</t>
        </is>
      </c>
      <c r="B22" s="94" t="inlineStr">
        <is>
          <t>蜂卵弹模块</t>
        </is>
      </c>
      <c r="C22" s="94" t="inlineStr">
        <is>
          <t>module</t>
        </is>
      </c>
      <c r="D22" s="94" t="inlineStr">
        <is>
          <t>bullet</t>
        </is>
      </c>
      <c r="E22" s="94" t="inlineStr">
        <is>
          <t>assets/registry/ledgers/ShellStorm2_武器账本_v001.xlsx</t>
        </is>
      </c>
      <c r="F22" s="95" t="inlineStr">
        <is>
          <t>src/base/ItemRegistry.gd#L1003</t>
        </is>
      </c>
      <c r="G22" s="95" t="inlineStr">
        <is>
          <t>docs/v0.1/data/ShellStorm2_游戏内容数据库_v010.xlsx#掉落物品!A26</t>
        </is>
      </c>
      <c r="H22" s="94" t="inlineStr">
        <is>
          <t>未在当前CSV列出；池来源见下一列</t>
        </is>
      </c>
      <c r="I22" s="95" t="inlineStr">
        <is>
          <t>src/base/ItemRegistry.gd#L1003 / loot_floor_5, loot_abyss, boss_floor_1, scavenge_floor_4, scavenge_floor_5, combat_floor_4, combat_floor_5</t>
        </is>
      </c>
      <c r="J22" s="95" t="inlineStr">
        <is>
          <t>src/game/InventoryModule.gd#add_item</t>
        </is>
      </c>
      <c r="K22" s="95" t="inlineStr">
        <is>
          <t>src/world3d/Dungeon3D.gd#_install_weapon_module_from_item</t>
        </is>
      </c>
      <c r="L22" s="95" t="inlineStr">
        <is>
          <t>src/world3d/ItemModelFactory3D.gd#create_model / get_model_kind</t>
        </is>
      </c>
      <c r="M22" s="94" t="inlineStr">
        <is>
          <t>bullet</t>
        </is>
      </c>
      <c r="N22" s="94" t="inlineStr">
        <is>
          <t>WPN-BUL-MOD-BULLET-HOMING
VFX-BULLET-HOMING-3D</t>
        </is>
      </c>
      <c r="O22" s="94" t="inlineStr">
        <is>
          <t>assets/registry/ledgers/ShellStorm2_武器账本_v001.xlsx#资产主表!A18
assets/registry/ledgers/ShellStorm2_特效账本_v001.xlsx#资产主表!A32</t>
        </is>
      </c>
      <c r="P22" s="94" t="inlineStr">
        <is>
          <t>WORLD-LOOT / REWARD-SERVICE / INVENTORY-SLOTS / WEAPON-OWNERSHIP</t>
        </is>
      </c>
      <c r="Q22" s="94" t="inlineStr">
        <is>
          <t>已注册；本表只导航，堆叠/数值/掉落概率由原定义拥有；远征01作者掉落表未列此项（不可视为无其他产出）</t>
        </is>
      </c>
    </row>
    <row r="23" ht="76" customHeight="1" s="46">
      <c r="A23" s="94" t="inlineStr">
        <is>
          <t>mod_bullet_blackhole</t>
        </is>
      </c>
      <c r="B23" s="94" t="inlineStr">
        <is>
          <t>黑洞弹模块</t>
        </is>
      </c>
      <c r="C23" s="94" t="inlineStr">
        <is>
          <t>module</t>
        </is>
      </c>
      <c r="D23" s="94" t="inlineStr">
        <is>
          <t>bullet</t>
        </is>
      </c>
      <c r="E23" s="94" t="inlineStr">
        <is>
          <t>assets/registry/ledgers/ShellStorm2_武器账本_v001.xlsx</t>
        </is>
      </c>
      <c r="F23" s="95" t="inlineStr">
        <is>
          <t>src/base/ItemRegistry.gd#L1024</t>
        </is>
      </c>
      <c r="G23" s="95" t="inlineStr">
        <is>
          <t>docs/v0.1/data/ShellStorm2_游戏内容数据库_v010.xlsx#掉落物品!A23</t>
        </is>
      </c>
      <c r="H23" s="94" t="inlineStr">
        <is>
          <t>未在当前CSV列出；池来源见下一列</t>
        </is>
      </c>
      <c r="I23" s="95" t="inlineStr">
        <is>
          <t>src/base/ItemRegistry.gd#L1024 / loot_abyss, boss_floor_1, boss_floor_2, scavenge_floor_4, scavenge_floor_5, combat_floor_4, combat_floor_5</t>
        </is>
      </c>
      <c r="J23" s="95" t="inlineStr">
        <is>
          <t>src/game/InventoryModule.gd#add_item</t>
        </is>
      </c>
      <c r="K23" s="95" t="inlineStr">
        <is>
          <t>src/world3d/Dungeon3D.gd#_install_weapon_module_from_item</t>
        </is>
      </c>
      <c r="L23" s="95" t="inlineStr">
        <is>
          <t>src/world3d/ItemModelFactory3D.gd#create_model / get_model_kind</t>
        </is>
      </c>
      <c r="M23" s="94" t="inlineStr">
        <is>
          <t>bullet</t>
        </is>
      </c>
      <c r="N23" s="94" t="inlineStr">
        <is>
          <t>WPN-BUL-MOD-BULLET-BLACKHOLE
VFX-BULLET-BLACKHOLE-3D</t>
        </is>
      </c>
      <c r="O23" s="94" t="inlineStr">
        <is>
          <t>assets/registry/ledgers/ShellStorm2_武器账本_v001.xlsx#资产主表!A19
assets/registry/ledgers/ShellStorm2_特效账本_v001.xlsx#资产主表!A33</t>
        </is>
      </c>
      <c r="P23" s="94" t="inlineStr">
        <is>
          <t>WORLD-LOOT / REWARD-SERVICE / INVENTORY-SLOTS / WEAPON-OWNERSHIP</t>
        </is>
      </c>
      <c r="Q23" s="94" t="inlineStr">
        <is>
          <t>已注册；本表只导航，堆叠/数值/掉落概率由原定义拥有；远征01作者掉落表未列此项（不可视为无其他产出）</t>
        </is>
      </c>
    </row>
    <row r="24" ht="76" customHeight="1" s="46">
      <c r="A24" s="94" t="inlineStr">
        <is>
          <t>mod_bullet_balloon</t>
        </is>
      </c>
      <c r="B24" s="94" t="inlineStr">
        <is>
          <t>气球弹模块</t>
        </is>
      </c>
      <c r="C24" s="94" t="inlineStr">
        <is>
          <t>module</t>
        </is>
      </c>
      <c r="D24" s="94" t="inlineStr">
        <is>
          <t>bullet</t>
        </is>
      </c>
      <c r="E24" s="94" t="inlineStr">
        <is>
          <t>assets/registry/ledgers/ShellStorm2_武器账本_v001.xlsx</t>
        </is>
      </c>
      <c r="F24" s="95" t="inlineStr">
        <is>
          <t>src/base/ItemRegistry.gd#L1045</t>
        </is>
      </c>
      <c r="G24" s="95" t="inlineStr">
        <is>
          <t>docs/v0.1/data/ShellStorm2_游戏内容数据库_v010.xlsx#掉落物品!A22</t>
        </is>
      </c>
      <c r="H24" s="94" t="inlineStr">
        <is>
          <t>未在当前CSV列出；池来源见下一列</t>
        </is>
      </c>
      <c r="I24" s="95" t="inlineStr">
        <is>
          <t>src/base/ItemRegistry.gd#L1045 / loot_floor_3_4, loot_floor_5, loot_abyss, scavenge_floor_3, scavenge_floor_4, scavenge_floor_5, combat_floor_3, combat_floor_4</t>
        </is>
      </c>
      <c r="J24" s="95" t="inlineStr">
        <is>
          <t>src/game/InventoryModule.gd#add_item</t>
        </is>
      </c>
      <c r="K24" s="95" t="inlineStr">
        <is>
          <t>src/world3d/Dungeon3D.gd#_install_weapon_module_from_item</t>
        </is>
      </c>
      <c r="L24" s="95" t="inlineStr">
        <is>
          <t>src/world3d/ItemModelFactory3D.gd#create_model / get_model_kind</t>
        </is>
      </c>
      <c r="M24" s="94" t="inlineStr">
        <is>
          <t>bullet</t>
        </is>
      </c>
      <c r="N24" s="94" t="inlineStr">
        <is>
          <t>WPN-BUL-MOD-BULLET-BALLOON
VFX-BULLET-BALLOON-3D</t>
        </is>
      </c>
      <c r="O24" s="94" t="inlineStr">
        <is>
          <t>assets/registry/ledgers/ShellStorm2_武器账本_v001.xlsx#资产主表!A20
assets/registry/ledgers/ShellStorm2_特效账本_v001.xlsx#资产主表!A34</t>
        </is>
      </c>
      <c r="P24" s="94" t="inlineStr">
        <is>
          <t>WORLD-LOOT / REWARD-SERVICE / INVENTORY-SLOTS / WEAPON-OWNERSHIP</t>
        </is>
      </c>
      <c r="Q24" s="94" t="inlineStr">
        <is>
          <t>已注册；本表只导航，堆叠/数值/掉落概率由原定义拥有；远征01作者掉落表未列此项（不可视为无其他产出）</t>
        </is>
      </c>
    </row>
    <row r="25" ht="93" customHeight="1" s="46">
      <c r="A25" s="94" t="inlineStr">
        <is>
          <t>attach_triple_muzzle</t>
        </is>
      </c>
      <c r="B25" s="94" t="inlineStr">
        <is>
          <t>三叉枪口</t>
        </is>
      </c>
      <c r="C25" s="94" t="inlineStr">
        <is>
          <t>attachment</t>
        </is>
      </c>
      <c r="D25" s="94" t="inlineStr">
        <is>
          <t>muzzle</t>
        </is>
      </c>
      <c r="E25" s="94" t="inlineStr">
        <is>
          <t>assets/registry/ledgers/ShellStorm2_武器账本_v001.xlsx</t>
        </is>
      </c>
      <c r="F25" s="95" t="inlineStr">
        <is>
          <t>src/base/ItemRegistry.gd#L1073</t>
        </is>
      </c>
      <c r="G25" s="95" t="inlineStr">
        <is>
          <t>docs/v0.1/data/ShellStorm2_游戏内容数据库_v010.xlsx#掉落物品!A10</t>
        </is>
      </c>
      <c r="H25" s="94" t="inlineStr">
        <is>
          <t>未在当前CSV列出；池来源见下一列</t>
        </is>
      </c>
      <c r="I25" s="95" t="inlineStr">
        <is>
          <t>src/base/ItemRegistry.gd#L1073 / loot_floor_1_2, loot_floor_3_4, loot_floor_5, loot_abyss, spawn_starter, scavenge_floor_1, scavenge_floor_2, scavenge_floor_3, scavenge_floor_4, combat_floor_1, combat_floor_2</t>
        </is>
      </c>
      <c r="J25" s="95" t="inlineStr">
        <is>
          <t>src/game/InventoryModule.gd#add_item</t>
        </is>
      </c>
      <c r="K25" s="95" t="inlineStr">
        <is>
          <t>src/world3d/Dungeon3D.gd#_install_attachment_from_inventory</t>
        </is>
      </c>
      <c r="L25" s="95" t="inlineStr">
        <is>
          <t>src/world3d/ItemModelFactory3D.gd#create_model / get_model_kind</t>
        </is>
      </c>
      <c r="M25" s="94" t="inlineStr">
        <is>
          <t>attachment</t>
        </is>
      </c>
      <c r="N25" s="94" t="inlineStr">
        <is>
          <t>WPN-ATT-ATTACH-TRIPLE-MUZZLE</t>
        </is>
      </c>
      <c r="O25" s="95" t="inlineStr">
        <is>
          <t>assets/registry/ledgers/ShellStorm2_武器账本_v001.xlsx#资产主表!A21</t>
        </is>
      </c>
      <c r="P25" s="94" t="inlineStr">
        <is>
          <t>WORLD-LOOT / REWARD-SERVICE / INVENTORY-SLOTS / WEAPON-OWNERSHIP</t>
        </is>
      </c>
      <c r="Q25" s="94" t="inlineStr">
        <is>
          <t>已注册；本表只导航，堆叠/数值/掉落概率由原定义拥有；远征01作者掉落表未列此项（不可视为无其他产出）；2026-10-14 Blender源已完成（未导入运行时）：art_source/items_weapons/weapons/triple_muzzle/source/wpn_triple_muzzle_source_v001.blend；preview/ground双模型源已完成，ground100–200三角，运行时用途分流待接入。</t>
        </is>
      </c>
    </row>
    <row r="26" ht="93" customHeight="1" s="46">
      <c r="A26" s="94" t="inlineStr">
        <is>
          <t>attach_rubber_stock</t>
        </is>
      </c>
      <c r="B26" s="94" t="inlineStr">
        <is>
          <t>橡皮枪托</t>
        </is>
      </c>
      <c r="C26" s="94" t="inlineStr">
        <is>
          <t>attachment</t>
        </is>
      </c>
      <c r="D26" s="94" t="inlineStr">
        <is>
          <t>stock</t>
        </is>
      </c>
      <c r="E26" s="94" t="inlineStr">
        <is>
          <t>assets/registry/ledgers/ShellStorm2_武器账本_v001.xlsx</t>
        </is>
      </c>
      <c r="F26" s="95" t="inlineStr">
        <is>
          <t>src/base/ItemRegistry.gd#L1098</t>
        </is>
      </c>
      <c r="G26" s="95" t="inlineStr">
        <is>
          <t>docs/v0.1/data/ShellStorm2_游戏内容数据库_v010.xlsx#掉落物品!A8</t>
        </is>
      </c>
      <c r="H26" s="94" t="inlineStr">
        <is>
          <t>未在当前CSV列出；池来源见下一列</t>
        </is>
      </c>
      <c r="I26" s="95" t="inlineStr">
        <is>
          <t>src/base/ItemRegistry.gd#L1098 / loot_floor_1_2, loot_floor_3_4, loot_floor_5, loot_abyss, spawn_starter, scavenge_floor_1, scavenge_floor_2, scavenge_floor_3, scavenge_floor_4, combat_floor_1, combat_floor_2</t>
        </is>
      </c>
      <c r="J26" s="95" t="inlineStr">
        <is>
          <t>src/game/InventoryModule.gd#add_item</t>
        </is>
      </c>
      <c r="K26" s="95" t="inlineStr">
        <is>
          <t>src/world3d/Dungeon3D.gd#_install_attachment_from_inventory</t>
        </is>
      </c>
      <c r="L26" s="95" t="inlineStr">
        <is>
          <t>src/world3d/ItemModelFactory3D.gd#create_model / get_model_kind</t>
        </is>
      </c>
      <c r="M26" s="94" t="inlineStr">
        <is>
          <t>attachment</t>
        </is>
      </c>
      <c r="N26" s="94" t="inlineStr">
        <is>
          <t>WPN-ATT-ATTACH-RUBBER-STOCK</t>
        </is>
      </c>
      <c r="O26" s="95" t="inlineStr">
        <is>
          <t>assets/registry/ledgers/ShellStorm2_武器账本_v001.xlsx#资产主表!A22</t>
        </is>
      </c>
      <c r="P26" s="94" t="inlineStr">
        <is>
          <t>WORLD-LOOT / REWARD-SERVICE / INVENTORY-SLOTS / WEAPON-OWNERSHIP</t>
        </is>
      </c>
      <c r="Q26" s="94" t="inlineStr">
        <is>
          <t>已注册；本表只导航，堆叠/数值/掉落概率由原定义拥有；远征01作者掉落表未列此项（不可视为无其他产出）；2026-10-14 Blender源已完成（未导入运行时）：art_source/items_weapons/weapons/rubber_stock/source/wpn_rubber_stock_source_v001.blend；preview/ground双模型源已完成，ground100–200三角，运行时用途分流待接入。</t>
        </is>
      </c>
    </row>
    <row r="27" ht="76" customHeight="1" s="46">
      <c r="A27" s="94" t="inlineStr">
        <is>
          <t>attach_scope</t>
        </is>
      </c>
      <c r="B27" s="94" t="inlineStr">
        <is>
          <t>放大镜瞄具</t>
        </is>
      </c>
      <c r="C27" s="94" t="inlineStr">
        <is>
          <t>attachment</t>
        </is>
      </c>
      <c r="D27" s="94" t="inlineStr">
        <is>
          <t>scope</t>
        </is>
      </c>
      <c r="E27" s="94" t="inlineStr">
        <is>
          <t>assets/registry/ledgers/ShellStorm2_武器账本_v001.xlsx</t>
        </is>
      </c>
      <c r="F27" s="95" t="inlineStr">
        <is>
          <t>src/base/ItemRegistry.gd#L1129</t>
        </is>
      </c>
      <c r="G27" s="95" t="inlineStr">
        <is>
          <t>docs/v0.1/data/ShellStorm2_游戏内容数据库_v010.xlsx#掉落物品!A9</t>
        </is>
      </c>
      <c r="H27" s="94" t="inlineStr">
        <is>
          <t>docs/v0.1/data/怪物掉落表_地图x怪物.csv#CSV行9 / ranged_caster</t>
        </is>
      </c>
      <c r="I27" s="95" t="inlineStr">
        <is>
          <t>src/base/ItemRegistry.gd#L1129 / loot_floor_3_4, loot_floor_5, loot_abyss, scavenge_floor_3, scavenge_floor_4, scavenge_floor_5, combat_floor_2, combat_floor_3</t>
        </is>
      </c>
      <c r="J27" s="95" t="inlineStr">
        <is>
          <t>src/game/InventoryModule.gd#add_item</t>
        </is>
      </c>
      <c r="K27" s="95" t="inlineStr">
        <is>
          <t>src/world3d/Dungeon3D.gd#_install_attachment_from_inventory</t>
        </is>
      </c>
      <c r="L27" s="95" t="inlineStr">
        <is>
          <t>src/world3d/ItemModelFactory3D.gd#create_model / get_model_kind</t>
        </is>
      </c>
      <c r="M27" s="94" t="inlineStr">
        <is>
          <t>attachment</t>
        </is>
      </c>
      <c r="N27" s="94" t="inlineStr">
        <is>
          <t>WPN-ATT-ATTACH-SCOPE</t>
        </is>
      </c>
      <c r="O27" s="95" t="inlineStr">
        <is>
          <t>assets/registry/ledgers/ShellStorm2_武器账本_v001.xlsx#资产主表!A23</t>
        </is>
      </c>
      <c r="P27" s="94" t="inlineStr">
        <is>
          <t>WORLD-LOOT / REWARD-SERVICE / INVENTORY-SLOTS / WEAPON-OWNERSHIP</t>
        </is>
      </c>
      <c r="Q27" s="94" t="inlineStr">
        <is>
          <t>已注册；本表只导航，堆叠/数值/掉落概率由原定义拥有；2026-10-14 Blender源已完成（未导入运行时）：art_source/items_weapons/weapons/scope/source/wpn_scope_source_v001.blend；preview/ground双模型源已完成，ground100–200三角，运行时用途分流待接入。</t>
        </is>
      </c>
    </row>
    <row r="28" ht="76" customHeight="1" s="46">
      <c r="A28" s="94" t="inlineStr">
        <is>
          <t>attach_big_mag</t>
        </is>
      </c>
      <c r="B28" s="94" t="inlineStr">
        <is>
          <t>肉质弹匣</t>
        </is>
      </c>
      <c r="C28" s="94" t="inlineStr">
        <is>
          <t>attachment</t>
        </is>
      </c>
      <c r="D28" s="94" t="inlineStr">
        <is>
          <t>magazine</t>
        </is>
      </c>
      <c r="E28" s="94" t="inlineStr">
        <is>
          <t>assets/registry/ledgers/ShellStorm2_武器账本_v001.xlsx</t>
        </is>
      </c>
      <c r="F28" s="95" t="inlineStr">
        <is>
          <t>src/base/ItemRegistry.gd#L1151</t>
        </is>
      </c>
      <c r="G28" s="95" t="inlineStr">
        <is>
          <t>docs/v0.1/data/ShellStorm2_游戏内容数据库_v010.xlsx#掉落物品!A5</t>
        </is>
      </c>
      <c r="H28" s="94" t="inlineStr">
        <is>
          <t>未在当前CSV列出；池来源见下一列</t>
        </is>
      </c>
      <c r="I28" s="95" t="inlineStr">
        <is>
          <t>src/base/ItemRegistry.gd#L1151 / loot_floor_3_4, loot_floor_5, loot_abyss, scavenge_floor_3, scavenge_floor_4, scavenge_floor_5, combat_floor_1, combat_floor_2</t>
        </is>
      </c>
      <c r="J28" s="95" t="inlineStr">
        <is>
          <t>src/game/InventoryModule.gd#add_item</t>
        </is>
      </c>
      <c r="K28" s="95" t="inlineStr">
        <is>
          <t>src/world3d/Dungeon3D.gd#_install_attachment_from_inventory</t>
        </is>
      </c>
      <c r="L28" s="95" t="inlineStr">
        <is>
          <t>src/world3d/ItemModelFactory3D.gd#create_model / get_model_kind</t>
        </is>
      </c>
      <c r="M28" s="94" t="inlineStr">
        <is>
          <t>attachment</t>
        </is>
      </c>
      <c r="N28" s="94" t="inlineStr">
        <is>
          <t>WPN-ATT-ATTACH-BIG-MAG</t>
        </is>
      </c>
      <c r="O28" s="95" t="inlineStr">
        <is>
          <t>assets/registry/ledgers/ShellStorm2_武器账本_v001.xlsx#资产主表!A24</t>
        </is>
      </c>
      <c r="P28" s="94" t="inlineStr">
        <is>
          <t>WORLD-LOOT / REWARD-SERVICE / INVENTORY-SLOTS / WEAPON-OWNERSHIP</t>
        </is>
      </c>
      <c r="Q28" s="94" t="inlineStr">
        <is>
          <t>已注册；本表只导航，堆叠/数值/掉落概率由原定义拥有；远征01作者掉落表未列此项（不可视为无其他产出）；2026-10-14 Blender源已完成（未导入运行时）：art_source/items_weapons/weapons/big_mag/source/wpn_big_mag_source_v001.blend；preview/ground双模型源已完成，ground100–200三角，运行时用途分流待接入。</t>
        </is>
      </c>
    </row>
    <row r="29" ht="76" customHeight="1" s="46">
      <c r="A29" s="94" t="inlineStr">
        <is>
          <t>attach_fan</t>
        </is>
      </c>
      <c r="B29" s="94" t="inlineStr">
        <is>
          <t>小风扇</t>
        </is>
      </c>
      <c r="C29" s="94" t="inlineStr">
        <is>
          <t>attachment</t>
        </is>
      </c>
      <c r="D29" s="94" t="inlineStr">
        <is>
          <t>external</t>
        </is>
      </c>
      <c r="E29" s="94" t="inlineStr">
        <is>
          <t>assets/registry/ledgers/ShellStorm2_武器账本_v001.xlsx</t>
        </is>
      </c>
      <c r="F29" s="95" t="inlineStr">
        <is>
          <t>src/base/ItemRegistry.gd#L1173</t>
        </is>
      </c>
      <c r="G29" s="95" t="inlineStr">
        <is>
          <t>docs/v0.1/data/ShellStorm2_游戏内容数据库_v010.xlsx#掉落物品!A7</t>
        </is>
      </c>
      <c r="H29" s="94" t="inlineStr">
        <is>
          <t>未在当前CSV列出；池来源见下一列</t>
        </is>
      </c>
      <c r="I29" s="95" t="inlineStr">
        <is>
          <t>src/base/ItemRegistry.gd#L1173 / loot_floor_5, loot_abyss, boss_floor_1, scavenge_floor_4, scavenge_floor_5, combat_floor_3, combat_floor_4, combat_floor_5</t>
        </is>
      </c>
      <c r="J29" s="95" t="inlineStr">
        <is>
          <t>src/game/InventoryModule.gd#add_item</t>
        </is>
      </c>
      <c r="K29" s="95" t="inlineStr">
        <is>
          <t>src/world3d/Dungeon3D.gd#_install_attachment_from_inventory</t>
        </is>
      </c>
      <c r="L29" s="95" t="inlineStr">
        <is>
          <t>src/world3d/ItemModelFactory3D.gd#create_model / get_model_kind</t>
        </is>
      </c>
      <c r="M29" s="94" t="inlineStr">
        <is>
          <t>attachment</t>
        </is>
      </c>
      <c r="N29" s="94" t="inlineStr">
        <is>
          <t>WPN-ATT-ATTACH-FAN</t>
        </is>
      </c>
      <c r="O29" s="95" t="inlineStr">
        <is>
          <t>assets/registry/ledgers/ShellStorm2_武器账本_v001.xlsx#资产主表!A25</t>
        </is>
      </c>
      <c r="P29" s="94" t="inlineStr">
        <is>
          <t>WORLD-LOOT / REWARD-SERVICE / INVENTORY-SLOTS / WEAPON-OWNERSHIP</t>
        </is>
      </c>
      <c r="Q29" s="94" t="inlineStr">
        <is>
          <t>已注册；本表只导航，堆叠/数值/掉落概率由原定义拥有；远征01作者掉落表未列此项（不可视为无其他产出）</t>
        </is>
      </c>
    </row>
    <row r="30" ht="76" customHeight="1" s="46">
      <c r="A30" s="94" t="inlineStr">
        <is>
          <t>attach_copy_sticker</t>
        </is>
      </c>
      <c r="B30" s="94" t="inlineStr">
        <is>
          <t>复制贴纸</t>
        </is>
      </c>
      <c r="C30" s="94" t="inlineStr">
        <is>
          <t>attachment</t>
        </is>
      </c>
      <c r="D30" s="94" t="inlineStr">
        <is>
          <t>mutator</t>
        </is>
      </c>
      <c r="E30" s="94" t="inlineStr">
        <is>
          <t>assets/registry/ledgers/ShellStorm2_武器账本_v001.xlsx</t>
        </is>
      </c>
      <c r="F30" s="95" t="inlineStr">
        <is>
          <t>src/base/ItemRegistry.gd#L1195</t>
        </is>
      </c>
      <c r="G30" s="95" t="inlineStr">
        <is>
          <t>docs/v0.1/data/ShellStorm2_游戏内容数据库_v010.xlsx#掉落物品!A6</t>
        </is>
      </c>
      <c r="H30" s="94" t="inlineStr">
        <is>
          <t>未在当前CSV列出；池来源见下一列</t>
        </is>
      </c>
      <c r="I30" s="95" t="inlineStr">
        <is>
          <t>src/base/ItemRegistry.gd#L1195 / loot_abyss, boss_floor_1, boss_floor_2, scavenge_floor_4, scavenge_floor_5, combat_floor_3, combat_floor_4, combat_floor_5</t>
        </is>
      </c>
      <c r="J30" s="95" t="inlineStr">
        <is>
          <t>src/game/InventoryModule.gd#add_item</t>
        </is>
      </c>
      <c r="K30" s="95" t="inlineStr">
        <is>
          <t>src/world3d/Dungeon3D.gd#_install_attachment_from_inventory</t>
        </is>
      </c>
      <c r="L30" s="95" t="inlineStr">
        <is>
          <t>src/world3d/ItemModelFactory3D.gd#create_model / get_model_kind</t>
        </is>
      </c>
      <c r="M30" s="94" t="inlineStr">
        <is>
          <t>attachment</t>
        </is>
      </c>
      <c r="N30" s="94" t="inlineStr">
        <is>
          <t>WPN-ATT-ATTACH-COPY-STICKER</t>
        </is>
      </c>
      <c r="O30" s="95" t="inlineStr">
        <is>
          <t>assets/registry/ledgers/ShellStorm2_武器账本_v001.xlsx#资产主表!A26</t>
        </is>
      </c>
      <c r="P30" s="94" t="inlineStr">
        <is>
          <t>WORLD-LOOT / REWARD-SERVICE / INVENTORY-SLOTS / WEAPON-OWNERSHIP</t>
        </is>
      </c>
      <c r="Q30" s="94" t="inlineStr">
        <is>
          <t>已注册；本表只导航，堆叠/数值/掉落概率由原定义拥有；远征01作者掉落表未列此项（不可视为无其他产出）</t>
        </is>
      </c>
    </row>
  </sheetData>
  <mergeCells count="2">
    <mergeCell ref="A1:D1"/>
    <mergeCell ref="A2:D2"/>
  </mergeCells>
  <hyperlinks>
    <hyperlink xmlns:r="http://schemas.openxmlformats.org/officeDocument/2006/relationships" ref="F5" r:id="rId1"/>
    <hyperlink xmlns:r="http://schemas.openxmlformats.org/officeDocument/2006/relationships" ref="G5" r:id="rId2"/>
    <hyperlink xmlns:r="http://schemas.openxmlformats.org/officeDocument/2006/relationships" ref="I5" r:id="rId3"/>
    <hyperlink xmlns:r="http://schemas.openxmlformats.org/officeDocument/2006/relationships" ref="J5" r:id="rId4"/>
    <hyperlink xmlns:r="http://schemas.openxmlformats.org/officeDocument/2006/relationships" ref="K5" r:id="rId5"/>
    <hyperlink xmlns:r="http://schemas.openxmlformats.org/officeDocument/2006/relationships" ref="L5" r:id="rId6"/>
    <hyperlink xmlns:r="http://schemas.openxmlformats.org/officeDocument/2006/relationships" ref="O5" r:id="rId7"/>
    <hyperlink xmlns:r="http://schemas.openxmlformats.org/officeDocument/2006/relationships" ref="F6" r:id="rId8"/>
    <hyperlink xmlns:r="http://schemas.openxmlformats.org/officeDocument/2006/relationships" ref="G6" r:id="rId9"/>
    <hyperlink xmlns:r="http://schemas.openxmlformats.org/officeDocument/2006/relationships" ref="I6" r:id="rId10"/>
    <hyperlink xmlns:r="http://schemas.openxmlformats.org/officeDocument/2006/relationships" ref="J6" r:id="rId11"/>
    <hyperlink xmlns:r="http://schemas.openxmlformats.org/officeDocument/2006/relationships" ref="K6" r:id="rId12"/>
    <hyperlink xmlns:r="http://schemas.openxmlformats.org/officeDocument/2006/relationships" ref="L6" r:id="rId13"/>
    <hyperlink xmlns:r="http://schemas.openxmlformats.org/officeDocument/2006/relationships" ref="O6" r:id="rId14"/>
    <hyperlink xmlns:r="http://schemas.openxmlformats.org/officeDocument/2006/relationships" ref="F7" r:id="rId15"/>
    <hyperlink xmlns:r="http://schemas.openxmlformats.org/officeDocument/2006/relationships" ref="G7" r:id="rId16"/>
    <hyperlink xmlns:r="http://schemas.openxmlformats.org/officeDocument/2006/relationships" ref="I7" r:id="rId17"/>
    <hyperlink xmlns:r="http://schemas.openxmlformats.org/officeDocument/2006/relationships" ref="J7" r:id="rId18"/>
    <hyperlink xmlns:r="http://schemas.openxmlformats.org/officeDocument/2006/relationships" ref="K7" r:id="rId19"/>
    <hyperlink xmlns:r="http://schemas.openxmlformats.org/officeDocument/2006/relationships" ref="L7" r:id="rId20"/>
    <hyperlink xmlns:r="http://schemas.openxmlformats.org/officeDocument/2006/relationships" ref="O7" r:id="rId21"/>
    <hyperlink xmlns:r="http://schemas.openxmlformats.org/officeDocument/2006/relationships" ref="F8" r:id="rId22"/>
    <hyperlink xmlns:r="http://schemas.openxmlformats.org/officeDocument/2006/relationships" ref="G8" r:id="rId23"/>
    <hyperlink xmlns:r="http://schemas.openxmlformats.org/officeDocument/2006/relationships" ref="I8" r:id="rId24"/>
    <hyperlink xmlns:r="http://schemas.openxmlformats.org/officeDocument/2006/relationships" ref="J8" r:id="rId25"/>
    <hyperlink xmlns:r="http://schemas.openxmlformats.org/officeDocument/2006/relationships" ref="K8" r:id="rId26"/>
    <hyperlink xmlns:r="http://schemas.openxmlformats.org/officeDocument/2006/relationships" ref="L8" r:id="rId27"/>
    <hyperlink xmlns:r="http://schemas.openxmlformats.org/officeDocument/2006/relationships" ref="O8" r:id="rId28"/>
    <hyperlink xmlns:r="http://schemas.openxmlformats.org/officeDocument/2006/relationships" ref="F9" r:id="rId29"/>
    <hyperlink xmlns:r="http://schemas.openxmlformats.org/officeDocument/2006/relationships" ref="I9" r:id="rId30"/>
    <hyperlink xmlns:r="http://schemas.openxmlformats.org/officeDocument/2006/relationships" ref="J9" r:id="rId31"/>
    <hyperlink xmlns:r="http://schemas.openxmlformats.org/officeDocument/2006/relationships" ref="K9" r:id="rId32"/>
    <hyperlink xmlns:r="http://schemas.openxmlformats.org/officeDocument/2006/relationships" ref="L9" r:id="rId33"/>
    <hyperlink xmlns:r="http://schemas.openxmlformats.org/officeDocument/2006/relationships" ref="F10" r:id="rId34"/>
    <hyperlink xmlns:r="http://schemas.openxmlformats.org/officeDocument/2006/relationships" ref="G10" r:id="rId35"/>
    <hyperlink xmlns:r="http://schemas.openxmlformats.org/officeDocument/2006/relationships" ref="I10" r:id="rId36"/>
    <hyperlink xmlns:r="http://schemas.openxmlformats.org/officeDocument/2006/relationships" ref="J10" r:id="rId37"/>
    <hyperlink xmlns:r="http://schemas.openxmlformats.org/officeDocument/2006/relationships" ref="K10" r:id="rId38"/>
    <hyperlink xmlns:r="http://schemas.openxmlformats.org/officeDocument/2006/relationships" ref="L10" r:id="rId39"/>
    <hyperlink xmlns:r="http://schemas.openxmlformats.org/officeDocument/2006/relationships" ref="O10" r:id="rId40"/>
    <hyperlink xmlns:r="http://schemas.openxmlformats.org/officeDocument/2006/relationships" ref="F11" r:id="rId41"/>
    <hyperlink xmlns:r="http://schemas.openxmlformats.org/officeDocument/2006/relationships" ref="G11" r:id="rId42"/>
    <hyperlink xmlns:r="http://schemas.openxmlformats.org/officeDocument/2006/relationships" ref="I11" r:id="rId43"/>
    <hyperlink xmlns:r="http://schemas.openxmlformats.org/officeDocument/2006/relationships" ref="J11" r:id="rId44"/>
    <hyperlink xmlns:r="http://schemas.openxmlformats.org/officeDocument/2006/relationships" ref="K11" r:id="rId45"/>
    <hyperlink xmlns:r="http://schemas.openxmlformats.org/officeDocument/2006/relationships" ref="L11" r:id="rId46"/>
    <hyperlink xmlns:r="http://schemas.openxmlformats.org/officeDocument/2006/relationships" ref="O11" r:id="rId47"/>
    <hyperlink xmlns:r="http://schemas.openxmlformats.org/officeDocument/2006/relationships" ref="F12" r:id="rId48"/>
    <hyperlink xmlns:r="http://schemas.openxmlformats.org/officeDocument/2006/relationships" ref="G12" r:id="rId49"/>
    <hyperlink xmlns:r="http://schemas.openxmlformats.org/officeDocument/2006/relationships" ref="I12" r:id="rId50"/>
    <hyperlink xmlns:r="http://schemas.openxmlformats.org/officeDocument/2006/relationships" ref="J12" r:id="rId51"/>
    <hyperlink xmlns:r="http://schemas.openxmlformats.org/officeDocument/2006/relationships" ref="K12" r:id="rId52"/>
    <hyperlink xmlns:r="http://schemas.openxmlformats.org/officeDocument/2006/relationships" ref="L12" r:id="rId53"/>
    <hyperlink xmlns:r="http://schemas.openxmlformats.org/officeDocument/2006/relationships" ref="O12" r:id="rId54"/>
    <hyperlink xmlns:r="http://schemas.openxmlformats.org/officeDocument/2006/relationships" ref="F13" r:id="rId55"/>
    <hyperlink xmlns:r="http://schemas.openxmlformats.org/officeDocument/2006/relationships" ref="G13" r:id="rId56"/>
    <hyperlink xmlns:r="http://schemas.openxmlformats.org/officeDocument/2006/relationships" ref="I13" r:id="rId57"/>
    <hyperlink xmlns:r="http://schemas.openxmlformats.org/officeDocument/2006/relationships" ref="J13" r:id="rId58"/>
    <hyperlink xmlns:r="http://schemas.openxmlformats.org/officeDocument/2006/relationships" ref="K13" r:id="rId59"/>
    <hyperlink xmlns:r="http://schemas.openxmlformats.org/officeDocument/2006/relationships" ref="L13" r:id="rId60"/>
    <hyperlink xmlns:r="http://schemas.openxmlformats.org/officeDocument/2006/relationships" ref="O13" r:id="rId61"/>
    <hyperlink xmlns:r="http://schemas.openxmlformats.org/officeDocument/2006/relationships" ref="F14" r:id="rId62"/>
    <hyperlink xmlns:r="http://schemas.openxmlformats.org/officeDocument/2006/relationships" ref="G14" r:id="rId63"/>
    <hyperlink xmlns:r="http://schemas.openxmlformats.org/officeDocument/2006/relationships" ref="I14" r:id="rId64"/>
    <hyperlink xmlns:r="http://schemas.openxmlformats.org/officeDocument/2006/relationships" ref="J14" r:id="rId65"/>
    <hyperlink xmlns:r="http://schemas.openxmlformats.org/officeDocument/2006/relationships" ref="K14" r:id="rId66"/>
    <hyperlink xmlns:r="http://schemas.openxmlformats.org/officeDocument/2006/relationships" ref="L14" r:id="rId67"/>
    <hyperlink xmlns:r="http://schemas.openxmlformats.org/officeDocument/2006/relationships" ref="O14" r:id="rId68"/>
    <hyperlink xmlns:r="http://schemas.openxmlformats.org/officeDocument/2006/relationships" ref="F15" r:id="rId69"/>
    <hyperlink xmlns:r="http://schemas.openxmlformats.org/officeDocument/2006/relationships" ref="G15" r:id="rId70"/>
    <hyperlink xmlns:r="http://schemas.openxmlformats.org/officeDocument/2006/relationships" ref="I15" r:id="rId71"/>
    <hyperlink xmlns:r="http://schemas.openxmlformats.org/officeDocument/2006/relationships" ref="J15" r:id="rId72"/>
    <hyperlink xmlns:r="http://schemas.openxmlformats.org/officeDocument/2006/relationships" ref="K15" r:id="rId73"/>
    <hyperlink xmlns:r="http://schemas.openxmlformats.org/officeDocument/2006/relationships" ref="L15" r:id="rId74"/>
    <hyperlink xmlns:r="http://schemas.openxmlformats.org/officeDocument/2006/relationships" ref="O15" r:id="rId75"/>
    <hyperlink xmlns:r="http://schemas.openxmlformats.org/officeDocument/2006/relationships" ref="F16" r:id="rId76"/>
    <hyperlink xmlns:r="http://schemas.openxmlformats.org/officeDocument/2006/relationships" ref="G16" r:id="rId77"/>
    <hyperlink xmlns:r="http://schemas.openxmlformats.org/officeDocument/2006/relationships" ref="I16" r:id="rId78"/>
    <hyperlink xmlns:r="http://schemas.openxmlformats.org/officeDocument/2006/relationships" ref="J16" r:id="rId79"/>
    <hyperlink xmlns:r="http://schemas.openxmlformats.org/officeDocument/2006/relationships" ref="K16" r:id="rId80"/>
    <hyperlink xmlns:r="http://schemas.openxmlformats.org/officeDocument/2006/relationships" ref="L16" r:id="rId81"/>
    <hyperlink xmlns:r="http://schemas.openxmlformats.org/officeDocument/2006/relationships" ref="F17" r:id="rId82"/>
    <hyperlink xmlns:r="http://schemas.openxmlformats.org/officeDocument/2006/relationships" ref="G17" r:id="rId83"/>
    <hyperlink xmlns:r="http://schemas.openxmlformats.org/officeDocument/2006/relationships" ref="I17" r:id="rId84"/>
    <hyperlink xmlns:r="http://schemas.openxmlformats.org/officeDocument/2006/relationships" ref="J17" r:id="rId85"/>
    <hyperlink xmlns:r="http://schemas.openxmlformats.org/officeDocument/2006/relationships" ref="K17" r:id="rId86"/>
    <hyperlink xmlns:r="http://schemas.openxmlformats.org/officeDocument/2006/relationships" ref="L17" r:id="rId87"/>
    <hyperlink xmlns:r="http://schemas.openxmlformats.org/officeDocument/2006/relationships" ref="F18" r:id="rId88"/>
    <hyperlink xmlns:r="http://schemas.openxmlformats.org/officeDocument/2006/relationships" ref="G18" r:id="rId89"/>
    <hyperlink xmlns:r="http://schemas.openxmlformats.org/officeDocument/2006/relationships" ref="I18" r:id="rId90"/>
    <hyperlink xmlns:r="http://schemas.openxmlformats.org/officeDocument/2006/relationships" ref="J18" r:id="rId91"/>
    <hyperlink xmlns:r="http://schemas.openxmlformats.org/officeDocument/2006/relationships" ref="K18" r:id="rId92"/>
    <hyperlink xmlns:r="http://schemas.openxmlformats.org/officeDocument/2006/relationships" ref="L18" r:id="rId93"/>
    <hyperlink xmlns:r="http://schemas.openxmlformats.org/officeDocument/2006/relationships" ref="F19" r:id="rId94"/>
    <hyperlink xmlns:r="http://schemas.openxmlformats.org/officeDocument/2006/relationships" ref="G19" r:id="rId95"/>
    <hyperlink xmlns:r="http://schemas.openxmlformats.org/officeDocument/2006/relationships" ref="I19" r:id="rId96"/>
    <hyperlink xmlns:r="http://schemas.openxmlformats.org/officeDocument/2006/relationships" ref="J19" r:id="rId97"/>
    <hyperlink xmlns:r="http://schemas.openxmlformats.org/officeDocument/2006/relationships" ref="K19" r:id="rId98"/>
    <hyperlink xmlns:r="http://schemas.openxmlformats.org/officeDocument/2006/relationships" ref="L19" r:id="rId99"/>
    <hyperlink xmlns:r="http://schemas.openxmlformats.org/officeDocument/2006/relationships" ref="F20" r:id="rId100"/>
    <hyperlink xmlns:r="http://schemas.openxmlformats.org/officeDocument/2006/relationships" ref="G20" r:id="rId101"/>
    <hyperlink xmlns:r="http://schemas.openxmlformats.org/officeDocument/2006/relationships" ref="I20" r:id="rId102"/>
    <hyperlink xmlns:r="http://schemas.openxmlformats.org/officeDocument/2006/relationships" ref="J20" r:id="rId103"/>
    <hyperlink xmlns:r="http://schemas.openxmlformats.org/officeDocument/2006/relationships" ref="K20" r:id="rId104"/>
    <hyperlink xmlns:r="http://schemas.openxmlformats.org/officeDocument/2006/relationships" ref="L20" r:id="rId105"/>
    <hyperlink xmlns:r="http://schemas.openxmlformats.org/officeDocument/2006/relationships" ref="F21" r:id="rId106"/>
    <hyperlink xmlns:r="http://schemas.openxmlformats.org/officeDocument/2006/relationships" ref="G21" r:id="rId107"/>
    <hyperlink xmlns:r="http://schemas.openxmlformats.org/officeDocument/2006/relationships" ref="I21" r:id="rId108"/>
    <hyperlink xmlns:r="http://schemas.openxmlformats.org/officeDocument/2006/relationships" ref="J21" r:id="rId109"/>
    <hyperlink xmlns:r="http://schemas.openxmlformats.org/officeDocument/2006/relationships" ref="K21" r:id="rId110"/>
    <hyperlink xmlns:r="http://schemas.openxmlformats.org/officeDocument/2006/relationships" ref="L21" r:id="rId111"/>
    <hyperlink xmlns:r="http://schemas.openxmlformats.org/officeDocument/2006/relationships" ref="F22" r:id="rId112"/>
    <hyperlink xmlns:r="http://schemas.openxmlformats.org/officeDocument/2006/relationships" ref="G22" r:id="rId113"/>
    <hyperlink xmlns:r="http://schemas.openxmlformats.org/officeDocument/2006/relationships" ref="I22" r:id="rId114"/>
    <hyperlink xmlns:r="http://schemas.openxmlformats.org/officeDocument/2006/relationships" ref="J22" r:id="rId115"/>
    <hyperlink xmlns:r="http://schemas.openxmlformats.org/officeDocument/2006/relationships" ref="K22" r:id="rId116"/>
    <hyperlink xmlns:r="http://schemas.openxmlformats.org/officeDocument/2006/relationships" ref="L22" r:id="rId117"/>
    <hyperlink xmlns:r="http://schemas.openxmlformats.org/officeDocument/2006/relationships" ref="F23" r:id="rId118"/>
    <hyperlink xmlns:r="http://schemas.openxmlformats.org/officeDocument/2006/relationships" ref="G23" r:id="rId119"/>
    <hyperlink xmlns:r="http://schemas.openxmlformats.org/officeDocument/2006/relationships" ref="I23" r:id="rId120"/>
    <hyperlink xmlns:r="http://schemas.openxmlformats.org/officeDocument/2006/relationships" ref="J23" r:id="rId121"/>
    <hyperlink xmlns:r="http://schemas.openxmlformats.org/officeDocument/2006/relationships" ref="K23" r:id="rId122"/>
    <hyperlink xmlns:r="http://schemas.openxmlformats.org/officeDocument/2006/relationships" ref="L23" r:id="rId123"/>
    <hyperlink xmlns:r="http://schemas.openxmlformats.org/officeDocument/2006/relationships" ref="F24" r:id="rId124"/>
    <hyperlink xmlns:r="http://schemas.openxmlformats.org/officeDocument/2006/relationships" ref="G24" r:id="rId125"/>
    <hyperlink xmlns:r="http://schemas.openxmlformats.org/officeDocument/2006/relationships" ref="I24" r:id="rId126"/>
    <hyperlink xmlns:r="http://schemas.openxmlformats.org/officeDocument/2006/relationships" ref="J24" r:id="rId127"/>
    <hyperlink xmlns:r="http://schemas.openxmlformats.org/officeDocument/2006/relationships" ref="K24" r:id="rId128"/>
    <hyperlink xmlns:r="http://schemas.openxmlformats.org/officeDocument/2006/relationships" ref="L24" r:id="rId129"/>
    <hyperlink xmlns:r="http://schemas.openxmlformats.org/officeDocument/2006/relationships" ref="F25" r:id="rId130"/>
    <hyperlink xmlns:r="http://schemas.openxmlformats.org/officeDocument/2006/relationships" ref="G25" r:id="rId131"/>
    <hyperlink xmlns:r="http://schemas.openxmlformats.org/officeDocument/2006/relationships" ref="I25" r:id="rId132"/>
    <hyperlink xmlns:r="http://schemas.openxmlformats.org/officeDocument/2006/relationships" ref="J25" r:id="rId133"/>
    <hyperlink xmlns:r="http://schemas.openxmlformats.org/officeDocument/2006/relationships" ref="K25" r:id="rId134"/>
    <hyperlink xmlns:r="http://schemas.openxmlformats.org/officeDocument/2006/relationships" ref="L25" r:id="rId135"/>
    <hyperlink xmlns:r="http://schemas.openxmlformats.org/officeDocument/2006/relationships" ref="O25" r:id="rId136"/>
    <hyperlink xmlns:r="http://schemas.openxmlformats.org/officeDocument/2006/relationships" ref="F26" r:id="rId137"/>
    <hyperlink xmlns:r="http://schemas.openxmlformats.org/officeDocument/2006/relationships" ref="G26" r:id="rId138"/>
    <hyperlink xmlns:r="http://schemas.openxmlformats.org/officeDocument/2006/relationships" ref="I26" r:id="rId139"/>
    <hyperlink xmlns:r="http://schemas.openxmlformats.org/officeDocument/2006/relationships" ref="J26" r:id="rId140"/>
    <hyperlink xmlns:r="http://schemas.openxmlformats.org/officeDocument/2006/relationships" ref="K26" r:id="rId141"/>
    <hyperlink xmlns:r="http://schemas.openxmlformats.org/officeDocument/2006/relationships" ref="L26" r:id="rId142"/>
    <hyperlink xmlns:r="http://schemas.openxmlformats.org/officeDocument/2006/relationships" ref="O26" r:id="rId143"/>
    <hyperlink xmlns:r="http://schemas.openxmlformats.org/officeDocument/2006/relationships" ref="F27" r:id="rId144"/>
    <hyperlink xmlns:r="http://schemas.openxmlformats.org/officeDocument/2006/relationships" ref="G27" r:id="rId145"/>
    <hyperlink xmlns:r="http://schemas.openxmlformats.org/officeDocument/2006/relationships" ref="I27" r:id="rId146"/>
    <hyperlink xmlns:r="http://schemas.openxmlformats.org/officeDocument/2006/relationships" ref="J27" r:id="rId147"/>
    <hyperlink xmlns:r="http://schemas.openxmlformats.org/officeDocument/2006/relationships" ref="K27" r:id="rId148"/>
    <hyperlink xmlns:r="http://schemas.openxmlformats.org/officeDocument/2006/relationships" ref="L27" r:id="rId149"/>
    <hyperlink xmlns:r="http://schemas.openxmlformats.org/officeDocument/2006/relationships" ref="O27" r:id="rId150"/>
    <hyperlink xmlns:r="http://schemas.openxmlformats.org/officeDocument/2006/relationships" ref="F28" r:id="rId151"/>
    <hyperlink xmlns:r="http://schemas.openxmlformats.org/officeDocument/2006/relationships" ref="G28" r:id="rId152"/>
    <hyperlink xmlns:r="http://schemas.openxmlformats.org/officeDocument/2006/relationships" ref="I28" r:id="rId153"/>
    <hyperlink xmlns:r="http://schemas.openxmlformats.org/officeDocument/2006/relationships" ref="J28" r:id="rId154"/>
    <hyperlink xmlns:r="http://schemas.openxmlformats.org/officeDocument/2006/relationships" ref="K28" r:id="rId155"/>
    <hyperlink xmlns:r="http://schemas.openxmlformats.org/officeDocument/2006/relationships" ref="L28" r:id="rId156"/>
    <hyperlink xmlns:r="http://schemas.openxmlformats.org/officeDocument/2006/relationships" ref="O28" r:id="rId157"/>
    <hyperlink xmlns:r="http://schemas.openxmlformats.org/officeDocument/2006/relationships" ref="F29" r:id="rId158"/>
    <hyperlink xmlns:r="http://schemas.openxmlformats.org/officeDocument/2006/relationships" ref="G29" r:id="rId159"/>
    <hyperlink xmlns:r="http://schemas.openxmlformats.org/officeDocument/2006/relationships" ref="I29" r:id="rId160"/>
    <hyperlink xmlns:r="http://schemas.openxmlformats.org/officeDocument/2006/relationships" ref="J29" r:id="rId161"/>
    <hyperlink xmlns:r="http://schemas.openxmlformats.org/officeDocument/2006/relationships" ref="K29" r:id="rId162"/>
    <hyperlink xmlns:r="http://schemas.openxmlformats.org/officeDocument/2006/relationships" ref="L29" r:id="rId163"/>
    <hyperlink xmlns:r="http://schemas.openxmlformats.org/officeDocument/2006/relationships" ref="O29" r:id="rId164"/>
    <hyperlink xmlns:r="http://schemas.openxmlformats.org/officeDocument/2006/relationships" ref="F30" r:id="rId165"/>
    <hyperlink xmlns:r="http://schemas.openxmlformats.org/officeDocument/2006/relationships" ref="G30" r:id="rId166"/>
    <hyperlink xmlns:r="http://schemas.openxmlformats.org/officeDocument/2006/relationships" ref="I30" r:id="rId167"/>
    <hyperlink xmlns:r="http://schemas.openxmlformats.org/officeDocument/2006/relationships" ref="J30" r:id="rId168"/>
    <hyperlink xmlns:r="http://schemas.openxmlformats.org/officeDocument/2006/relationships" ref="K30" r:id="rId169"/>
    <hyperlink xmlns:r="http://schemas.openxmlformats.org/officeDocument/2006/relationships" ref="L30" r:id="rId170"/>
    <hyperlink xmlns:r="http://schemas.openxmlformats.org/officeDocument/2006/relationships" ref="O30" r:id="rId171"/>
  </hyperlinks>
  <pageMargins left="0.75" right="0.75" top="1" bottom="1" header="0.5" footer="0.5"/>
  <tableParts count="1">
    <tablePart xmlns:r="http://schemas.openxmlformats.org/officeDocument/2006/relationships" r:id="rId17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zh-CN</dc:language>
  <dcterms:created xmlns:dcterms="http://purl.org/dc/terms/" xmlns:xsi="http://www.w3.org/2001/XMLSchema-instance" xsi:type="dcterms:W3CDTF">2026-09-18T02:30:03Z</dcterms:created>
  <dcterms:modified xmlns:dcterms="http://purl.org/dc/terms/" xmlns:xsi="http://www.w3.org/2001/XMLSchema-instance" xsi:type="dcterms:W3CDTF">2026-10-14T04:06:17Z</dcterms:modified>
  <cp:revision>0</cp:revision>
</cp:coreProperties>
</file>