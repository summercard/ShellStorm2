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角色组件" sheetId="4" state="visible" r:id="rId4"/>
    <sheet name="动画与状态" sheetId="5" state="visible" r:id="rId5"/>
    <sheet name="原型角色" sheetId="6" state="visible" r:id="rId6"/>
    <sheet name="角色中转记录" sheetId="7" state="visible" r:id="rId7"/>
    <sheet name="3D-角色" sheetId="8" state="visible" r:id="rId8"/>
    <sheet name="域变更日志" sheetId="9" state="visible" r:id="rId9"/>
  </sheets>
  <definedNames>
    <definedName name="_xlnm._FilterDatabase" localSheetId="2" hidden="1">'资产主表'!$A$5:$X$36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角色美术账本 v0.1</t>
        </is>
      </c>
    </row>
    <row r="2" ht="12" customHeight="1"/>
    <row r="3" ht="23" customHeight="1">
      <c r="A3" s="318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COUNTA('资产主表'!$A$6:$A$36)</f>
        <v/>
      </c>
      <c r="B6" s="354" t="n"/>
      <c r="C6" s="321">
        <f>COUNTIF('资产主表'!$K$6:$K$36,"已完成")+COUNTIF('资产主表'!$K$6:$K$36,"原型已接入")+COUNTIF('资产主表'!$K$6:$K$36,"正式美术已接入")+COUNTIF('资产主表'!$K$6:$K$36,"已优化并正式接入")+COUNTIF('资产主表'!$K$6:$K$36,"Blender源已完成")+COUNTIF('资产主表'!$K$6:$K$36,"已导入；优化完成")</f>
        <v/>
      </c>
      <c r="D6" s="354" t="n"/>
      <c r="E6" s="321">
        <f>COUNTIF('资产主表'!$K$6:$K$36,"待制作")+COUNTIF('资产主表'!$K$6:$K$36,"程序占位")</f>
        <v/>
      </c>
      <c r="F6" s="354" t="n"/>
      <c r="G6" s="321">
        <f>COUNTIF('资产主表'!$S$6:$S$36,"重复")</f>
        <v/>
      </c>
      <c r="H6" s="354" t="n"/>
      <c r="I6" s="320" t="inlineStr">
        <is>
          <t>域内专表：角色组件 / 动画与状态 / 原型角色 / 角色中转记录 / 3D-角色　|　3D Prefab 分页：3D-角色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角色</t>
        </is>
      </c>
      <c r="B10" s="301">
        <f>COUNTIF('资产主表'!$C$6:$C$36,A10)</f>
        <v/>
      </c>
      <c r="C10" s="301">
        <f>SUMPRODUCT(('资产主表'!$C$6:$C$36=A10)*(('资产主表'!$K$6:$K$36="已完成")+('资产主表'!$K$6:$K$36="原型已接入")+('资产主表'!$K$6:$K$36="正式美术已接入")+('资产主表'!$K$6:$K$36="已优化并正式接入")+('资产主表'!$K$6:$K$36="Blender源已完成")+('资产主表'!$K$6:$K$36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3D-角色</t>
        </is>
      </c>
      <c r="B15" s="301">
        <f>COUNTA('3D-角色'!$A$5:$A$204)</f>
        <v/>
      </c>
      <c r="C15" s="301">
        <f>COUNTIF('3D-角色'!$D$5:$D$204,"&lt;&gt;")</f>
        <v/>
      </c>
      <c r="D15" s="301">
        <f>COUNTIF('3D-角色'!$G$5:$G$204,"&lt;&gt;")</f>
        <v/>
      </c>
      <c r="E15" s="301">
        <f>COUNTIF('3D-角色'!$H$5:$H$204,"开")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角色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角色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assets/registry/ledgers/ShellStorm2_角色账本_v001.xlsx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角色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CHR / SKEL / BONE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角色组件 / 动画与状态 / 原型角色 / 角色中转记录 / 3D-角色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3D-角色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动画与状态 / 角色中转记录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game-character-model-pipeline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player-avatar-asset-standard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玩家与NPC角色的模型母版、换装组件、挂点、骨架、动作库与状态机映射。动画随角色同账本，禁止把动作登记在别的域。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6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301" t="inlineStr">
        <is>
          <t>CHR-PLY-CAPSULE01</t>
        </is>
      </c>
      <c r="B6" s="301" t="inlineStr">
        <is>
          <t>胶囊防护体玩家</t>
        </is>
      </c>
      <c r="C6" s="301" t="inlineStr">
        <is>
          <t>角色</t>
        </is>
      </c>
      <c r="D6" s="301" t="inlineStr">
        <is>
          <t>player</t>
        </is>
      </c>
      <c r="E6" s="301" t="inlineStr">
        <is>
          <t>player_capsule01</t>
        </is>
      </c>
      <c r="F6" s="301" t="inlineStr">
        <is>
          <t>root</t>
        </is>
      </c>
      <c r="G6" s="301" t="str"/>
      <c r="H6" s="301" t="inlineStr">
        <is>
          <t>俯视3D</t>
        </is>
      </c>
      <c r="I6" s="301" t="inlineStr">
        <is>
          <t>default</t>
        </is>
      </c>
      <c r="J6" s="301" t="inlineStr">
        <is>
          <t>正式3D玩家</t>
        </is>
      </c>
      <c r="K6" s="301" t="inlineStr">
        <is>
          <t>原型已接入</t>
        </is>
      </c>
      <c r="L6" s="301" t="inlineStr">
        <is>
          <t>P0</t>
        </is>
      </c>
      <c r="M6" s="301" t="inlineStr">
        <is>
          <t>v021</t>
        </is>
      </c>
      <c r="N6" s="301" t="inlineStr">
        <is>
          <t>可见边界0.724×1.050×0.452m（含耳）；Player3D 碰撞胶囊高1.5m、半径0.34m</t>
        </is>
      </c>
      <c r="O6" s="301" t="inlineStr">
        <is>
          <t>assets/art/characters/player/chr_player_capsule01_3d/variants/bunny01/production/v021/runtime/chr_bunny01_root_v021.tscn</t>
        </is>
      </c>
      <c r="P6" s="301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6" s="301" t="inlineStr">
        <is>
          <t>玩家; 胶囊体; 防护服; 主角</t>
        </is>
      </c>
      <c r="R6" s="301">
        <f>LOWER(TRIM(C6)&amp;"|"&amp;TRIM(D6)&amp;"|"&amp;TRIM(E6)&amp;"|"&amp;TRIM(F6)&amp;"|"&amp;TRIM(H6)&amp;"|"&amp;TRIM(I6))</f>
        <v/>
      </c>
      <c r="S6" s="301">
        <f>IF(COUNTIF($R$6:$R$36,R6)&gt;1,"重复","唯一")</f>
        <v/>
      </c>
      <c r="T6" s="301" t="inlineStr">
        <is>
          <t>e9cac2738d9fa586eed9f2e97a93ff220cab52b60d89f53f4cd80e38ebc9b6c4</t>
        </is>
      </c>
      <c r="U6" s="301" t="inlineStr">
        <is>
          <t>待分配</t>
        </is>
      </c>
      <c r="V6" s="302" t="n">
        <v>46264</v>
      </c>
      <c r="W6" s="301" t="inlineStr">
        <is>
          <t>稳定玩法根 AssetID</t>
        </is>
      </c>
      <c r="X6" s="375" t="inlineStr">
        <is>
          <t>—</t>
        </is>
      </c>
      <c r="Y6" s="301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">
      <c r="A7" s="138" t="inlineStr">
        <is>
          <t>CHR-PLY-CAPSULE01-HEAD-SIDE</t>
        </is>
      </c>
      <c r="B7" s="138" t="inlineStr">
        <is>
          <t>胶囊头壳</t>
        </is>
      </c>
      <c r="C7" s="138" t="inlineStr">
        <is>
          <t>角色</t>
        </is>
      </c>
      <c r="D7" s="138" t="inlineStr">
        <is>
          <t>player_component</t>
        </is>
      </c>
      <c r="E7" s="138" t="inlineStr">
        <is>
          <t>player_capsule01</t>
        </is>
      </c>
      <c r="F7" s="138" t="inlineStr">
        <is>
          <t>head</t>
        </is>
      </c>
      <c r="G7" s="138" t="inlineStr">
        <is>
          <t>CHR-PLY-CAPSULE01</t>
        </is>
      </c>
      <c r="H7" s="138" t="inlineStr">
        <is>
          <t>侧面朝右（可水平翻转）</t>
        </is>
      </c>
      <c r="I7" s="138" t="inlineStr">
        <is>
          <t>deprecated</t>
        </is>
      </c>
      <c r="J7" s="138" t="inlineStr">
        <is>
          <t>单资产</t>
        </is>
      </c>
      <c r="K7" s="138" t="inlineStr">
        <is>
          <t>弃用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28×24 px</t>
        </is>
      </c>
      <c r="O7" s="138" t="n"/>
      <c r="P7" s="138" t="n"/>
      <c r="Q7" s="138" t="inlineStr">
        <is>
          <t>头; 头盔; 传感器</t>
        </is>
      </c>
      <c r="R7" s="138">
        <f>LOWER(TRIM(C7)&amp;"|"&amp;TRIM(D7)&amp;"|"&amp;TRIM(E7)&amp;"|"&amp;TRIM(F7)&amp;"|"&amp;TRIM(H7)&amp;"|"&amp;TRIM(I7))</f>
        <v/>
      </c>
      <c r="S7" s="138">
        <f>IF(COUNTIF($R$6:$R$36,R7)&gt;1,"重复","唯一")</f>
        <v/>
      </c>
      <c r="T7" s="138" t="inlineStr">
        <is>
          <t>6035db0c8d1824ee0d0f12c0bcf7d5ebced8e37666541b7c31000ff7bad2f905</t>
        </is>
      </c>
      <c r="U7" s="138" t="inlineStr">
        <is>
          <t>待分配</t>
        </is>
      </c>
      <c r="V7" s="303" t="n">
        <v>46243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2026-08-09：旧2D玩家像素表现文件已从仓库删除；仅保留AssetID/哈希作为历史记录，替代项为 CHR-PLY-CAPSULE01-3D-BUNNY01。</t>
        </is>
      </c>
    </row>
    <row r="8">
      <c r="A8" s="138" t="inlineStr">
        <is>
          <t>CHR-PLY-CAPSULE01-BODY-SIDE</t>
        </is>
      </c>
      <c r="B8" s="138" t="inlineStr">
        <is>
          <t>胶囊防护服躯干</t>
        </is>
      </c>
      <c r="C8" s="138" t="inlineStr">
        <is>
          <t>角色</t>
        </is>
      </c>
      <c r="D8" s="138" t="inlineStr">
        <is>
          <t>player_component</t>
        </is>
      </c>
      <c r="E8" s="138" t="inlineStr">
        <is>
          <t>player_capsule01</t>
        </is>
      </c>
      <c r="F8" s="138" t="inlineStr">
        <is>
          <t>body</t>
        </is>
      </c>
      <c r="G8" s="138" t="inlineStr">
        <is>
          <t>CHR-PLY-CAPSULE01</t>
        </is>
      </c>
      <c r="H8" s="138" t="inlineStr">
        <is>
          <t>侧面朝右（可水平翻转）</t>
        </is>
      </c>
      <c r="I8" s="138" t="inlineStr">
        <is>
          <t>deprecated</t>
        </is>
      </c>
      <c r="J8" s="138" t="inlineStr">
        <is>
          <t>单资产</t>
        </is>
      </c>
      <c r="K8" s="138" t="inlineStr">
        <is>
          <t>弃用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32×35 px</t>
        </is>
      </c>
      <c r="O8" s="138" t="n"/>
      <c r="P8" s="138" t="n"/>
      <c r="Q8" s="138" t="inlineStr">
        <is>
          <t>身子; 躯干; 防护服</t>
        </is>
      </c>
      <c r="R8" s="138">
        <f>LOWER(TRIM(C8)&amp;"|"&amp;TRIM(D8)&amp;"|"&amp;TRIM(E8)&amp;"|"&amp;TRIM(F8)&amp;"|"&amp;TRIM(H8)&amp;"|"&amp;TRIM(I8))</f>
        <v/>
      </c>
      <c r="S8" s="138">
        <f>IF(COUNTIF($R$6:$R$36,R8)&gt;1,"重复","唯一")</f>
        <v/>
      </c>
      <c r="T8" s="138" t="inlineStr">
        <is>
          <t>653190cbcd99aaa10735842e4ee694c61e3c04b2d6aee7acfc3b03e0c7a65d6e</t>
        </is>
      </c>
      <c r="U8" s="138" t="inlineStr">
        <is>
          <t>待分配</t>
        </is>
      </c>
      <c r="V8" s="303" t="n">
        <v>46243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2026-08-09：旧2D玩家像素表现文件已从仓库删除；仅保留AssetID/哈希作为历史记录，替代项为 CHR-PLY-CAPSULE01-3D-BUNNY01。</t>
        </is>
      </c>
    </row>
    <row r="9">
      <c r="A9" s="138" t="inlineStr">
        <is>
          <t>CHR-PLY-CAPSULE01-HAND-L-SIDE</t>
        </is>
      </c>
      <c r="B9" s="138" t="inlineStr">
        <is>
          <t>左悬浮手（停用）</t>
        </is>
      </c>
      <c r="C9" s="138" t="inlineStr">
        <is>
          <t>角色</t>
        </is>
      </c>
      <c r="D9" s="138" t="inlineStr">
        <is>
          <t>player_component</t>
        </is>
      </c>
      <c r="E9" s="138" t="inlineStr">
        <is>
          <t>player_capsule01</t>
        </is>
      </c>
      <c r="F9" s="138" t="inlineStr">
        <is>
          <t>hand_l_source</t>
        </is>
      </c>
      <c r="G9" s="138" t="inlineStr">
        <is>
          <t>CHR-PLY-CAPSULE01</t>
        </is>
      </c>
      <c r="H9" s="138" t="inlineStr">
        <is>
          <t>侧面朝右（可水平翻转）</t>
        </is>
      </c>
      <c r="I9" s="138" t="inlineStr">
        <is>
          <t>deprecated</t>
        </is>
      </c>
      <c r="J9" s="138" t="inlineStr">
        <is>
          <t>单资产</t>
        </is>
      </c>
      <c r="K9" s="138" t="inlineStr">
        <is>
          <t>弃用</t>
        </is>
      </c>
      <c r="L9" s="138" t="inlineStr">
        <is>
          <t>P0</t>
        </is>
      </c>
      <c r="M9" s="138" t="inlineStr">
        <is>
          <t>v001</t>
        </is>
      </c>
      <c r="N9" s="138" t="inlineStr">
        <is>
          <t>22×21 px</t>
        </is>
      </c>
      <c r="O9" s="138" t="n"/>
      <c r="P9" s="138" t="n"/>
      <c r="Q9" s="138" t="inlineStr">
        <is>
          <t>左手; 辅助手</t>
        </is>
      </c>
      <c r="R9" s="138">
        <f>LOWER(TRIM(C9)&amp;"|"&amp;TRIM(D9)&amp;"|"&amp;TRIM(E9)&amp;"|"&amp;TRIM(F9)&amp;"|"&amp;TRIM(H9)&amp;"|"&amp;TRIM(I9))</f>
        <v/>
      </c>
      <c r="S9" s="138">
        <f>IF(COUNTIF($R$6:$R$36,R9)&gt;1,"重复","唯一")</f>
        <v/>
      </c>
      <c r="T9" s="138" t="inlineStr">
        <is>
          <t>6270855f57a22aa2c1bc156b4fb85c98d8cc1b3978cd19082a0874e3d901c7c9</t>
        </is>
      </c>
      <c r="U9" s="138" t="inlineStr">
        <is>
          <t>待分配</t>
        </is>
      </c>
      <c r="V9" s="303" t="n">
        <v>46243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2026-08-09：旧2D玩家像素表现文件已从仓库删除；仅保留AssetID/哈希作为历史记录，替代项为 CHR-PLY-CAPSULE01-3D-BUNNY01。</t>
        </is>
      </c>
    </row>
    <row r="10">
      <c r="A10" s="138" t="inlineStr">
        <is>
          <t>CHR-PLY-CAPSULE01-HAND-R-SIDE</t>
        </is>
      </c>
      <c r="B10" s="138" t="inlineStr">
        <is>
          <t>唯一镜像握持手</t>
        </is>
      </c>
      <c r="C10" s="138" t="inlineStr">
        <is>
          <t>角色</t>
        </is>
      </c>
      <c r="D10" s="138" t="inlineStr">
        <is>
          <t>player_component</t>
        </is>
      </c>
      <c r="E10" s="138" t="inlineStr">
        <is>
          <t>player_capsule01</t>
        </is>
      </c>
      <c r="F10" s="138" t="inlineStr">
        <is>
          <t>hand</t>
        </is>
      </c>
      <c r="G10" s="138" t="inlineStr">
        <is>
          <t>CHR-PLY-CAPSULE01</t>
        </is>
      </c>
      <c r="H10" s="138" t="inlineStr">
        <is>
          <t>侧面朝右（可水平翻转）</t>
        </is>
      </c>
      <c r="I10" s="138" t="inlineStr">
        <is>
          <t>deprecated</t>
        </is>
      </c>
      <c r="J10" s="138" t="inlineStr">
        <is>
          <t>单资产</t>
        </is>
      </c>
      <c r="K10" s="138" t="inlineStr">
        <is>
          <t>弃用</t>
        </is>
      </c>
      <c r="L10" s="138" t="inlineStr">
        <is>
          <t>P0</t>
        </is>
      </c>
      <c r="M10" s="138" t="inlineStr">
        <is>
          <t>v001</t>
        </is>
      </c>
      <c r="N10" s="138" t="inlineStr">
        <is>
          <t>22×17 px</t>
        </is>
      </c>
      <c r="O10" s="138" t="n"/>
      <c r="P10" s="138" t="n"/>
      <c r="Q10" s="138" t="inlineStr">
        <is>
          <t>右手; 主手; 枪手; 镜像握持</t>
        </is>
      </c>
      <c r="R10" s="138">
        <f>LOWER(TRIM(C10)&amp;"|"&amp;TRIM(D10)&amp;"|"&amp;TRIM(E10)&amp;"|"&amp;TRIM(F10)&amp;"|"&amp;TRIM(H10)&amp;"|"&amp;TRIM(I10))</f>
        <v/>
      </c>
      <c r="S10" s="138">
        <f>IF(COUNTIF($R$6:$R$36,R10)&gt;1,"重复","唯一")</f>
        <v/>
      </c>
      <c r="T10" s="138" t="inlineStr">
        <is>
          <t>69c2529cbd277ed337ce3b0a02a1994a2b470c99e545fad297e314a60485cfdf</t>
        </is>
      </c>
      <c r="U10" s="138" t="inlineStr">
        <is>
          <t>待分配</t>
        </is>
      </c>
      <c r="V10" s="303" t="n">
        <v>46243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2026-08-09：旧2D玩家像素表现文件已从仓库删除；仅保留AssetID/哈希作为历史记录，替代项为 CHR-PLY-CAPSULE01-3D-BUNNY01。</t>
        </is>
      </c>
    </row>
    <row r="11">
      <c r="A11" s="138" t="inlineStr">
        <is>
          <t>CHR-PLY-CAPSULE01-SCARF-SIDE</t>
        </is>
      </c>
      <c r="B11" s="138" t="inlineStr">
        <is>
          <t>红色安全围巾</t>
        </is>
      </c>
      <c r="C11" s="138" t="inlineStr">
        <is>
          <t>角色</t>
        </is>
      </c>
      <c r="D11" s="138" t="inlineStr">
        <is>
          <t>player_accessory</t>
        </is>
      </c>
      <c r="E11" s="138" t="inlineStr">
        <is>
          <t>player_capsule01</t>
        </is>
      </c>
      <c r="F11" s="138" t="inlineStr">
        <is>
          <t>scarf</t>
        </is>
      </c>
      <c r="G11" s="138" t="inlineStr">
        <is>
          <t>CHR-PLY-CAPSULE01</t>
        </is>
      </c>
      <c r="H11" s="138" t="inlineStr">
        <is>
          <t>侧面朝右（可水平翻转）</t>
        </is>
      </c>
      <c r="I11" s="138" t="inlineStr">
        <is>
          <t>deprecated</t>
        </is>
      </c>
      <c r="J11" s="138" t="inlineStr">
        <is>
          <t>单资产</t>
        </is>
      </c>
      <c r="K11" s="138" t="inlineStr">
        <is>
          <t>弃用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26×14 px</t>
        </is>
      </c>
      <c r="O11" s="138" t="n"/>
      <c r="P11" s="138" t="n"/>
      <c r="Q11" s="138" t="inlineStr">
        <is>
          <t>红围巾; 牛仔围巾; 识别色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IF(COUNTIF($R$6:$R$36,R11)&gt;1,"重复","唯一")</f>
        <v/>
      </c>
      <c r="T11" s="138" t="inlineStr">
        <is>
          <t>d3a7b1bb5e2ac0ef0c2129854ce59e91d7503a88e478326e1bd3b918a74fc079</t>
        </is>
      </c>
      <c r="U11" s="138" t="inlineStr">
        <is>
          <t>待分配</t>
        </is>
      </c>
      <c r="V11" s="303" t="n">
        <v>46243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2026-08-09：旧2D玩家像素表现文件已从仓库删除；仅保留AssetID/哈希作为历史记录，替代项为 CHR-PLY-CAPSULE01-3D-BUNNY01。</t>
        </is>
      </c>
    </row>
    <row r="12">
      <c r="A12" s="138" t="inlineStr">
        <is>
          <t>CHR-PLY-CAPSULE01-PREVIEW-STATES</t>
        </is>
      </c>
      <c r="B12" s="138" t="inlineStr">
        <is>
          <t>玩家六态验收预览</t>
        </is>
      </c>
      <c r="C12" s="138" t="inlineStr">
        <is>
          <t>角色</t>
        </is>
      </c>
      <c r="D12" s="138" t="inlineStr">
        <is>
          <t>review_board</t>
        </is>
      </c>
      <c r="E12" s="138" t="inlineStr">
        <is>
          <t>player_capsule01</t>
        </is>
      </c>
      <c r="F12" s="138" t="inlineStr">
        <is>
          <t>preview</t>
        </is>
      </c>
      <c r="G12" s="138" t="inlineStr">
        <is>
          <t>CHR-PLY-CAPSULE01</t>
        </is>
      </c>
      <c r="H12" s="138" t="inlineStr">
        <is>
          <t>侧面朝右（可水平翻转）</t>
        </is>
      </c>
      <c r="I12" s="138" t="inlineStr">
        <is>
          <t>deprecated</t>
        </is>
      </c>
      <c r="J12" s="138" t="inlineStr">
        <is>
          <t>评审/回归</t>
        </is>
      </c>
      <c r="K12" s="138" t="inlineStr">
        <is>
          <t>弃用</t>
        </is>
      </c>
      <c r="L12" s="138" t="inlineStr">
        <is>
          <t>P0</t>
        </is>
      </c>
      <c r="M12" s="138" t="inlineStr">
        <is>
          <t>v001</t>
        </is>
      </c>
      <c r="N12" s="138" t="inlineStr">
        <is>
          <t>1280×720 px</t>
        </is>
      </c>
      <c r="O12" s="138" t="n"/>
      <c r="P12" s="138" t="n"/>
      <c r="Q12" s="138" t="inlineStr">
        <is>
          <t>六态; 验收板</t>
        </is>
      </c>
      <c r="R12" s="138">
        <f>LOWER(TRIM(C12)&amp;"|"&amp;TRIM(D12)&amp;"|"&amp;TRIM(E12)&amp;"|"&amp;TRIM(F12)&amp;"|"&amp;TRIM(H12)&amp;"|"&amp;TRIM(I12))</f>
        <v/>
      </c>
      <c r="S12" s="138">
        <f>IF(COUNTIF($R$6:$R$36,R12)&gt;1,"重复","唯一")</f>
        <v/>
      </c>
      <c r="T12" s="138" t="str"/>
      <c r="U12" s="138" t="inlineStr">
        <is>
          <t>待分配</t>
        </is>
      </c>
      <c r="V12" s="303" t="n">
        <v>46243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2026-08-09：旧2D玩家像素表现文件已从仓库删除；仅保留AssetID/哈希作为历史记录，替代项为 CHR-PLY-CAPSULE01-3D-BUNNY01。</t>
        </is>
      </c>
    </row>
    <row r="13">
      <c r="A13" s="392" t="inlineStr">
        <is>
          <t>CHR-PLY-CAPSULE01-HAND-3D</t>
        </is>
      </c>
      <c r="B13" s="392" t="inlineStr">
        <is>
          <t>方形猫角色3D唯一手部</t>
        </is>
      </c>
      <c r="C13" s="392" t="inlineStr">
        <is>
          <t>角色</t>
        </is>
      </c>
      <c r="D13" s="392" t="inlineStr">
        <is>
          <t>player</t>
        </is>
      </c>
      <c r="E13" s="392" t="inlineStr">
        <is>
          <t>player_capsule01</t>
        </is>
      </c>
      <c r="F13" s="392" t="inlineStr">
        <is>
          <t>hand_3d</t>
        </is>
      </c>
      <c r="G13" s="392" t="inlineStr">
        <is>
          <t>CHR-PLY-CAPSULE01-3D</t>
        </is>
      </c>
      <c r="H13" s="392" t="inlineStr">
        <is>
          <t>俯视3D</t>
        </is>
      </c>
      <c r="I13" s="392" t="inlineStr">
        <is>
          <t>default</t>
        </is>
      </c>
      <c r="J13" s="392" t="inlineStr">
        <is>
          <t>3D玩家场景</t>
        </is>
      </c>
      <c r="K13" s="392" t="inlineStr">
        <is>
          <t>原型已接入</t>
        </is>
      </c>
      <c r="L13" s="392" t="inlineStr">
        <is>
          <t>P0</t>
        </is>
      </c>
      <c r="M13" s="392" t="inlineStr">
        <is>
          <t>v001</t>
        </is>
      </c>
      <c r="N13" s="392" t="inlineStr">
        <is>
          <t>SphereMesh节点</t>
        </is>
      </c>
      <c r="O13" s="392" t="inlineStr">
        <is>
          <t>assets/art/characters/player/chr_player_capsule01_3d/chr_player_capsule01_root_top3d_v001.tscn</t>
        </is>
      </c>
      <c r="P13" s="392" t="inlineStr">
        <is>
          <t>VisualRoot/Hand</t>
        </is>
      </c>
      <c r="Q13" s="392" t="inlineStr">
        <is>
          <t>单手;悬浮手;握持;3D</t>
        </is>
      </c>
      <c r="R13" s="392">
        <f>LOWER(TRIM(C13)&amp;"|"&amp;TRIM(D13)&amp;"|"&amp;TRIM(E13)&amp;"|"&amp;TRIM(F13)&amp;"|"&amp;TRIM(H13)&amp;"|"&amp;TRIM(I13))</f>
        <v/>
      </c>
      <c r="S13" s="392">
        <f>IF(COUNTIF($R$6:$R$36,R13)&gt;1,"重复","唯一")</f>
        <v/>
      </c>
      <c r="T13" s="392" t="inlineStr">
        <is>
          <t>d962a133c9f966e97e0471adf110eaddda7ade65c2ef3ec47b56dbf2f1c93af0</t>
        </is>
      </c>
      <c r="U13" s="392" t="inlineStr">
        <is>
          <t>Codex</t>
        </is>
      </c>
      <c r="V13" s="348" t="n">
        <v>46264</v>
      </c>
      <c r="W13" s="392" t="inlineStr">
        <is>
          <t>原创程序几何</t>
        </is>
      </c>
      <c r="X13" s="375" t="inlineStr">
        <is>
          <t>—</t>
        </is>
      </c>
      <c r="Y13" s="392" t="inlineStr">
        <is>
          <t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4">
      <c r="A14" s="392" t="inlineStr">
        <is>
          <t>CHR-PLY-CAPSULE01-SCARF-3D</t>
        </is>
      </c>
      <c r="B14" s="392" t="inlineStr">
        <is>
          <t>旧3D红围巾兼容节点</t>
        </is>
      </c>
      <c r="C14" s="392" t="inlineStr">
        <is>
          <t>角色</t>
        </is>
      </c>
      <c r="D14" s="392" t="inlineStr">
        <is>
          <t>player</t>
        </is>
      </c>
      <c r="E14" s="392" t="inlineStr">
        <is>
          <t>player_capsule01</t>
        </is>
      </c>
      <c r="F14" s="392" t="inlineStr">
        <is>
          <t>scarf_3d</t>
        </is>
      </c>
      <c r="G14" s="392" t="inlineStr">
        <is>
          <t>CHR-PLY-CAPSULE01-3D</t>
        </is>
      </c>
      <c r="H14" s="392" t="inlineStr">
        <is>
          <t>俯视3D</t>
        </is>
      </c>
      <c r="I14" s="392" t="inlineStr">
        <is>
          <t>default</t>
        </is>
      </c>
      <c r="J14" s="392" t="inlineStr">
        <is>
          <t>3D玩家场景</t>
        </is>
      </c>
      <c r="K14" s="392" t="inlineStr">
        <is>
          <t>原型已接入</t>
        </is>
      </c>
      <c r="L14" s="392" t="inlineStr">
        <is>
          <t>P0</t>
        </is>
      </c>
      <c r="M14" s="392" t="inlineStr">
        <is>
          <t>v001</t>
        </is>
      </c>
      <c r="N14" s="392" t="inlineStr">
        <is>
          <t>Cylinder+Box节点</t>
        </is>
      </c>
      <c r="O14" s="392" t="inlineStr">
        <is>
          <t>assets/art/characters/player/chr_player_capsule01_3d/chr_player_capsule01_root_top3d_v001.tscn</t>
        </is>
      </c>
      <c r="P14" s="392" t="inlineStr">
        <is>
          <t>VisualRoot/Scarf</t>
        </is>
      </c>
      <c r="Q14" s="392" t="inlineStr">
        <is>
          <t>红围巾;身份配件;3D</t>
        </is>
      </c>
      <c r="R14" s="392">
        <f>LOWER(TRIM(C14)&amp;"|"&amp;TRIM(D14)&amp;"|"&amp;TRIM(E14)&amp;"|"&amp;TRIM(F14)&amp;"|"&amp;TRIM(H14)&amp;"|"&amp;TRIM(I14))</f>
        <v/>
      </c>
      <c r="S14" s="392">
        <f>IF(COUNTIF($R$6:$R$36,R14)&gt;1,"重复","唯一")</f>
        <v/>
      </c>
      <c r="T14" s="392" t="inlineStr">
        <is>
          <t>d962a133c9f966e97e0471adf110eaddda7ade65c2ef3ec47b56dbf2f1c93af0</t>
        </is>
      </c>
      <c r="U14" s="392" t="inlineStr">
        <is>
          <t>Codex</t>
        </is>
      </c>
      <c r="V14" s="348" t="n">
        <v>46264</v>
      </c>
      <c r="W14" s="392" t="inlineStr">
        <is>
          <t>原创程序几何</t>
        </is>
      </c>
      <c r="X14" s="375" t="inlineStr">
        <is>
          <t>—</t>
        </is>
      </c>
      <c r="Y14" s="392" t="inlineStr">
        <is>
          <t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5">
      <c r="A15" s="392" t="inlineStr">
        <is>
          <t>CHR-PLY-CAPSULE01-WEAPON-SOCKET-3D</t>
        </is>
      </c>
      <c r="B15" s="392" t="inlineStr">
        <is>
          <t>方形猫角色3D武器挂点</t>
        </is>
      </c>
      <c r="C15" s="392" t="inlineStr">
        <is>
          <t>角色</t>
        </is>
      </c>
      <c r="D15" s="392" t="inlineStr">
        <is>
          <t>player</t>
        </is>
      </c>
      <c r="E15" s="392" t="inlineStr">
        <is>
          <t>player_capsule01</t>
        </is>
      </c>
      <c r="F15" s="392" t="inlineStr">
        <is>
          <t>weapon_socket_3d</t>
        </is>
      </c>
      <c r="G15" s="392" t="inlineStr">
        <is>
          <t>CHR-PLY-CAPSULE01-3D</t>
        </is>
      </c>
      <c r="H15" s="392" t="inlineStr">
        <is>
          <t>俯视3D</t>
        </is>
      </c>
      <c r="I15" s="392" t="inlineStr">
        <is>
          <t>default</t>
        </is>
      </c>
      <c r="J15" s="392" t="inlineStr">
        <is>
          <t>武器系统</t>
        </is>
      </c>
      <c r="K15" s="392" t="inlineStr">
        <is>
          <t>原型已接入</t>
        </is>
      </c>
      <c r="L15" s="392" t="inlineStr">
        <is>
          <t>P0</t>
        </is>
      </c>
      <c r="M15" s="392" t="inlineStr">
        <is>
          <t>v001</t>
        </is>
      </c>
      <c r="N15" s="392" t="inlineStr">
        <is>
          <t>Marker3D</t>
        </is>
      </c>
      <c r="O15" s="392" t="inlineStr">
        <is>
          <t>assets/art/characters/player/chr_player_capsule01_3d/chr_player_capsule01_root_top3d_v001.tscn</t>
        </is>
      </c>
      <c r="P15" s="392" t="inlineStr">
        <is>
          <t>VisualRoot/WeaponSocket</t>
        </is>
      </c>
      <c r="Q15" s="392" t="inlineStr">
        <is>
          <t>武器挂点;Marker3D;瞄准</t>
        </is>
      </c>
      <c r="R15" s="392">
        <f>LOWER(TRIM(C15)&amp;"|"&amp;TRIM(D15)&amp;"|"&amp;TRIM(E15)&amp;"|"&amp;TRIM(F15)&amp;"|"&amp;TRIM(H15)&amp;"|"&amp;TRIM(I15))</f>
        <v/>
      </c>
      <c r="S15" s="392">
        <f>IF(COUNTIF($R$6:$R$36,R15)&gt;1,"重复","唯一")</f>
        <v/>
      </c>
      <c r="T15" s="392" t="inlineStr">
        <is>
          <t>d962a133c9f966e97e0471adf110eaddda7ade65c2ef3ec47b56dbf2f1c93af0</t>
        </is>
      </c>
      <c r="U15" s="392" t="inlineStr">
        <is>
          <t>Codex</t>
        </is>
      </c>
      <c r="V15" s="348" t="n">
        <v>46264</v>
      </c>
      <c r="W15" s="392" t="inlineStr">
        <is>
          <t>原创逻辑挂点</t>
        </is>
      </c>
      <c r="X15" s="375" t="inlineStr">
        <is>
          <t>—</t>
        </is>
      </c>
      <c r="Y15" s="392" t="inlineStr">
        <is>
          <t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16">
      <c r="A16" s="392" t="inlineStr">
        <is>
          <t>CHR-PLY-CAPSULE01-BODY-DIY-3D</t>
        </is>
      </c>
      <c r="B16" s="392" t="inlineStr">
        <is>
          <t>胶囊防护体3D身体DIY变体</t>
        </is>
      </c>
      <c r="C16" s="392" t="inlineStr">
        <is>
          <t>角色</t>
        </is>
      </c>
      <c r="D16" s="392" t="inlineStr">
        <is>
          <t>player_variant</t>
        </is>
      </c>
      <c r="E16" s="392" t="inlineStr">
        <is>
          <t>player_capsule01</t>
        </is>
      </c>
      <c r="F16" s="392" t="inlineStr">
        <is>
          <t>body_diy_3d</t>
        </is>
      </c>
      <c r="G16" s="392" t="inlineStr">
        <is>
          <t>CHR-PLY-CAPSULE01-BODY-3D</t>
        </is>
      </c>
      <c r="H16" s="392" t="inlineStr">
        <is>
          <t>俯视3D</t>
        </is>
      </c>
      <c r="I16" s="392" t="inlineStr">
        <is>
          <t>diy</t>
        </is>
      </c>
      <c r="J16" s="392" t="inlineStr">
        <is>
          <t>3D玩家/预览场</t>
        </is>
      </c>
      <c r="K16" s="392" t="inlineStr">
        <is>
          <t>原型已接入</t>
        </is>
      </c>
      <c r="L16" s="392" t="inlineStr">
        <is>
          <t>P1</t>
        </is>
      </c>
      <c r="M16" s="392" t="inlineStr">
        <is>
          <t>v001</t>
        </is>
      </c>
      <c r="N16" s="392" t="inlineStr">
        <is>
          <t>3种程序材质</t>
        </is>
      </c>
      <c r="O16" s="392" t="inlineStr">
        <is>
          <t>src/player3d/PlayerAvatar3D.gd</t>
        </is>
      </c>
      <c r="P16" s="392" t="inlineStr">
        <is>
          <t>VisualRoot/Body</t>
        </is>
      </c>
      <c r="Q16" s="392" t="inlineStr">
        <is>
          <t>身体;防护服;DIY;橄榄;沙色;钴蓝</t>
        </is>
      </c>
      <c r="R16" s="392">
        <f>LOWER(TRIM(C16)&amp;"|"&amp;TRIM(D16)&amp;"|"&amp;TRIM(E16)&amp;"|"&amp;TRIM(F16)&amp;"|"&amp;TRIM(H16)&amp;"|"&amp;TRIM(I16))</f>
        <v/>
      </c>
      <c r="S16" s="392">
        <f>IF(COUNTIF($R$6:$R$36,R16)&gt;1,"重复","唯一")</f>
        <v/>
      </c>
      <c r="T16" s="392" t="inlineStr">
        <is>
          <t>4499816448fa5c8cd655053b8191f12c7db3f87713f0572965f1250aa31ec85b</t>
        </is>
      </c>
      <c r="U16" s="392" t="inlineStr">
        <is>
          <t>Codex</t>
        </is>
      </c>
      <c r="V16" s="392" t="n">
        <v>46264</v>
      </c>
      <c r="W16" s="392" t="inlineStr">
        <is>
          <t>原创程序几何</t>
        </is>
      </c>
      <c r="X16" s="375" t="inlineStr">
        <is>
          <t>—</t>
        </is>
      </c>
      <c r="Y16" s="392" t="inlineStr">
        <is>
          <t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7">
      <c r="A17" s="392" t="inlineStr">
        <is>
          <t>CHR-PLY-CAPSULE01-HEAD-DIY-3D</t>
        </is>
      </c>
      <c r="B17" s="392" t="inlineStr">
        <is>
          <t>胶囊防护体3D头部DIY变体</t>
        </is>
      </c>
      <c r="C17" s="392" t="inlineStr">
        <is>
          <t>角色</t>
        </is>
      </c>
      <c r="D17" s="392" t="inlineStr">
        <is>
          <t>player_variant</t>
        </is>
      </c>
      <c r="E17" s="392" t="inlineStr">
        <is>
          <t>player_capsule01</t>
        </is>
      </c>
      <c r="F17" s="392" t="inlineStr">
        <is>
          <t>head_diy_3d</t>
        </is>
      </c>
      <c r="G17" s="392" t="inlineStr">
        <is>
          <t>CHR-PLY-CAPSULE01-HEAD-3D</t>
        </is>
      </c>
      <c r="H17" s="392" t="inlineStr">
        <is>
          <t>俯视3D</t>
        </is>
      </c>
      <c r="I17" s="392" t="inlineStr">
        <is>
          <t>diy</t>
        </is>
      </c>
      <c r="J17" s="392" t="inlineStr">
        <is>
          <t>3D玩家/预览场</t>
        </is>
      </c>
      <c r="K17" s="392" t="inlineStr">
        <is>
          <t>原型已接入</t>
        </is>
      </c>
      <c r="L17" s="392" t="inlineStr">
        <is>
          <t>P1</t>
        </is>
      </c>
      <c r="M17" s="392" t="inlineStr">
        <is>
          <t>v001</t>
        </is>
      </c>
      <c r="N17" s="392" t="inlineStr">
        <is>
          <t>3种程序材质</t>
        </is>
      </c>
      <c r="O17" s="392" t="inlineStr">
        <is>
          <t>src/player3d/PlayerAvatar3D.gd</t>
        </is>
      </c>
      <c r="P17" s="392" t="inlineStr">
        <is>
          <t>VisualRoot/Head</t>
        </is>
      </c>
      <c r="Q17" s="392" t="inlineStr">
        <is>
          <t>头壳;传感器;DIY;青色面板;琥珀装甲</t>
        </is>
      </c>
      <c r="R17" s="392">
        <f>LOWER(TRIM(C17)&amp;"|"&amp;TRIM(D17)&amp;"|"&amp;TRIM(E17)&amp;"|"&amp;TRIM(F17)&amp;"|"&amp;TRIM(H17)&amp;"|"&amp;TRIM(I17))</f>
        <v/>
      </c>
      <c r="S17" s="392">
        <f>IF(COUNTIF($R$6:$R$36,R17)&gt;1,"重复","唯一")</f>
        <v/>
      </c>
      <c r="T17" s="392" t="inlineStr">
        <is>
          <t>4499816448fa5c8cd655053b8191f12c7db3f87713f0572965f1250aa31ec85b</t>
        </is>
      </c>
      <c r="U17" s="392" t="inlineStr">
        <is>
          <t>Codex</t>
        </is>
      </c>
      <c r="V17" s="392" t="n">
        <v>46264</v>
      </c>
      <c r="W17" s="392" t="inlineStr">
        <is>
          <t>原创程序几何</t>
        </is>
      </c>
      <c r="X17" s="375" t="inlineStr">
        <is>
          <t>—</t>
        </is>
      </c>
      <c r="Y17" s="392" t="inlineStr">
        <is>
          <t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8">
      <c r="A18" s="392" t="inlineStr">
        <is>
          <t>CHR-PLY-CAPSULE01-HAND-DIY-3D</t>
        </is>
      </c>
      <c r="B18" s="392" t="inlineStr">
        <is>
          <t>胶囊防护体3D手部DIY变体</t>
        </is>
      </c>
      <c r="C18" s="392" t="inlineStr">
        <is>
          <t>角色</t>
        </is>
      </c>
      <c r="D18" s="392" t="inlineStr">
        <is>
          <t>player_variant</t>
        </is>
      </c>
      <c r="E18" s="392" t="inlineStr">
        <is>
          <t>player_capsule01</t>
        </is>
      </c>
      <c r="F18" s="392" t="inlineStr">
        <is>
          <t>hand_diy_3d</t>
        </is>
      </c>
      <c r="G18" s="392" t="inlineStr">
        <is>
          <t>CHR-PLY-CAPSULE01-HAND-3D</t>
        </is>
      </c>
      <c r="H18" s="392" t="inlineStr">
        <is>
          <t>俯视3D</t>
        </is>
      </c>
      <c r="I18" s="392" t="inlineStr">
        <is>
          <t>diy</t>
        </is>
      </c>
      <c r="J18" s="392" t="inlineStr">
        <is>
          <t>3D玩家/预览场</t>
        </is>
      </c>
      <c r="K18" s="392" t="inlineStr">
        <is>
          <t>原型已接入</t>
        </is>
      </c>
      <c r="L18" s="392" t="inlineStr">
        <is>
          <t>P1</t>
        </is>
      </c>
      <c r="M18" s="392" t="inlineStr">
        <is>
          <t>v001</t>
        </is>
      </c>
      <c r="N18" s="392" t="inlineStr">
        <is>
          <t>3种程序材质/抓握压缩</t>
        </is>
      </c>
      <c r="O18" s="392" t="inlineStr">
        <is>
          <t>src/player3d/PlayerAvatar3D.gd</t>
        </is>
      </c>
      <c r="P18" s="392" t="inlineStr">
        <is>
          <t>VisualRoot/Hand</t>
        </is>
      </c>
      <c r="Q18" s="392" t="inlineStr">
        <is>
          <t>唯一手;握持;DIY;橙色;青绿</t>
        </is>
      </c>
      <c r="R18" s="392">
        <f>LOWER(TRIM(C18)&amp;"|"&amp;TRIM(D18)&amp;"|"&amp;TRIM(E18)&amp;"|"&amp;TRIM(F18)&amp;"|"&amp;TRIM(H18)&amp;"|"&amp;TRIM(I18))</f>
        <v/>
      </c>
      <c r="S18" s="392">
        <f>IF(COUNTIF($R$6:$R$36,R18)&gt;1,"重复","唯一")</f>
        <v/>
      </c>
      <c r="T18" s="392" t="inlineStr">
        <is>
          <t>4499816448fa5c8cd655053b8191f12c7db3f87713f0572965f1250aa31ec85b</t>
        </is>
      </c>
      <c r="U18" s="392" t="inlineStr">
        <is>
          <t>Codex</t>
        </is>
      </c>
      <c r="V18" s="392" t="n">
        <v>46264</v>
      </c>
      <c r="W18" s="392" t="inlineStr">
        <is>
          <t>原创程序几何</t>
        </is>
      </c>
      <c r="X18" s="375" t="inlineStr">
        <is>
          <t>—</t>
        </is>
      </c>
      <c r="Y18" s="392" t="inlineStr">
        <is>
          <t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19">
      <c r="A19" s="392" t="inlineStr">
        <is>
          <t>CHR-PLY-CAPSULE01-HAT-DIY-3D</t>
        </is>
      </c>
      <c r="B19" s="392" t="inlineStr">
        <is>
          <t>胶囊防护体3D帽子DIY组件</t>
        </is>
      </c>
      <c r="C19" s="392" t="inlineStr">
        <is>
          <t>角色</t>
        </is>
      </c>
      <c r="D19" s="392" t="inlineStr">
        <is>
          <t>player_accessory</t>
        </is>
      </c>
      <c r="E19" s="392" t="inlineStr">
        <is>
          <t>player_capsule01</t>
        </is>
      </c>
      <c r="F19" s="392" t="inlineStr">
        <is>
          <t>hat_diy_3d</t>
        </is>
      </c>
      <c r="G19" s="392" t="inlineStr">
        <is>
          <t>CHR-PLY-CAPSULE01-HEAD-3D</t>
        </is>
      </c>
      <c r="H19" s="392" t="inlineStr">
        <is>
          <t>俯视3D</t>
        </is>
      </c>
      <c r="I19" s="392" t="inlineStr">
        <is>
          <t>diy</t>
        </is>
      </c>
      <c r="J19" s="392" t="inlineStr">
        <is>
          <t>3D玩家/预览场</t>
        </is>
      </c>
      <c r="K19" s="392" t="inlineStr">
        <is>
          <t>原型已接入</t>
        </is>
      </c>
      <c r="L19" s="392" t="inlineStr">
        <is>
          <t>P1</t>
        </is>
      </c>
      <c r="M19" s="392" t="inlineStr">
        <is>
          <t>v001</t>
        </is>
      </c>
      <c r="N19" s="392" t="inlineStr">
        <is>
          <t>软帽/安全帽/密封兜帽</t>
        </is>
      </c>
      <c r="O19" s="392" t="inlineStr">
        <is>
          <t>src/player3d/PlayerAvatar3D.gd</t>
        </is>
      </c>
      <c r="P19" s="392" t="inlineStr">
        <is>
          <t>VisualRoot/Head/Wearables</t>
        </is>
      </c>
      <c r="Q19" s="392" t="inlineStr">
        <is>
          <t>帽子;软帽;安全帽;兜帽;DIY</t>
        </is>
      </c>
      <c r="R19" s="392">
        <f>LOWER(TRIM(C19)&amp;"|"&amp;TRIM(D19)&amp;"|"&amp;TRIM(E19)&amp;"|"&amp;TRIM(F19)&amp;"|"&amp;TRIM(H19)&amp;"|"&amp;TRIM(I19))</f>
        <v/>
      </c>
      <c r="S19" s="392">
        <f>IF(COUNTIF($R$6:$R$36,R19)&gt;1,"重复","唯一")</f>
        <v/>
      </c>
      <c r="T19" s="392" t="inlineStr">
        <is>
          <t>4499816448fa5c8cd655053b8191f12c7db3f87713f0572965f1250aa31ec85b</t>
        </is>
      </c>
      <c r="U19" s="392" t="inlineStr">
        <is>
          <t>Codex</t>
        </is>
      </c>
      <c r="V19" s="392" t="n">
        <v>46264</v>
      </c>
      <c r="W19" s="392" t="inlineStr">
        <is>
          <t>原创程序几何</t>
        </is>
      </c>
      <c r="X19" s="375" t="inlineStr">
        <is>
          <t>—</t>
        </is>
      </c>
      <c r="Y19" s="392" t="inlineStr">
        <is>
          <t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20">
      <c r="A20" s="392" t="inlineStr">
        <is>
          <t>CHR-PLY-CAPSULE01-GLASSES-DIY-3D</t>
        </is>
      </c>
      <c r="B20" s="392" t="inlineStr">
        <is>
          <t>胶囊防护体3D眼镜DIY组件</t>
        </is>
      </c>
      <c r="C20" s="392" t="inlineStr">
        <is>
          <t>角色</t>
        </is>
      </c>
      <c r="D20" s="392" t="inlineStr">
        <is>
          <t>player_accessory</t>
        </is>
      </c>
      <c r="E20" s="392" t="inlineStr">
        <is>
          <t>player_capsule01</t>
        </is>
      </c>
      <c r="F20" s="392" t="inlineStr">
        <is>
          <t>glasses_diy_3d</t>
        </is>
      </c>
      <c r="G20" s="392" t="inlineStr">
        <is>
          <t>CHR-PLY-CAPSULE01-HEAD-3D</t>
        </is>
      </c>
      <c r="H20" s="392" t="inlineStr">
        <is>
          <t>俯视3D</t>
        </is>
      </c>
      <c r="I20" s="392" t="inlineStr">
        <is>
          <t>diy</t>
        </is>
      </c>
      <c r="J20" s="392" t="inlineStr">
        <is>
          <t>3D玩家/预览场</t>
        </is>
      </c>
      <c r="K20" s="392" t="inlineStr">
        <is>
          <t>原型已接入</t>
        </is>
      </c>
      <c r="L20" s="392" t="inlineStr">
        <is>
          <t>P1</t>
        </is>
      </c>
      <c r="M20" s="392" t="inlineStr">
        <is>
          <t>v001</t>
        </is>
      </c>
      <c r="N20" s="392" t="inlineStr">
        <is>
          <t>单目镜/双目护镜/宽面护目镜</t>
        </is>
      </c>
      <c r="O20" s="392" t="inlineStr">
        <is>
          <t>src/player3d/PlayerAvatar3D.gd</t>
        </is>
      </c>
      <c r="P20" s="392" t="inlineStr">
        <is>
          <t>VisualRoot/Head/Wearables</t>
        </is>
      </c>
      <c r="Q20" s="392" t="inlineStr">
        <is>
          <t>眼镜;单目镜;护目镜;宽面护目镜;DIY</t>
        </is>
      </c>
      <c r="R20" s="392">
        <f>LOWER(TRIM(C20)&amp;"|"&amp;TRIM(D20)&amp;"|"&amp;TRIM(E20)&amp;"|"&amp;TRIM(F20)&amp;"|"&amp;TRIM(H20)&amp;"|"&amp;TRIM(I20))</f>
        <v/>
      </c>
      <c r="S20" s="392">
        <f>IF(COUNTIF($R$6:$R$36,R20)&gt;1,"重复","唯一")</f>
        <v/>
      </c>
      <c r="T20" s="392" t="inlineStr">
        <is>
          <t>4499816448fa5c8cd655053b8191f12c7db3f87713f0572965f1250aa31ec85b</t>
        </is>
      </c>
      <c r="U20" s="392" t="inlineStr">
        <is>
          <t>Codex</t>
        </is>
      </c>
      <c r="V20" s="392" t="n">
        <v>46264</v>
      </c>
      <c r="W20" s="392" t="inlineStr">
        <is>
          <t>原创程序几何</t>
        </is>
      </c>
      <c r="X20" s="375" t="inlineStr">
        <is>
          <t>—</t>
        </is>
      </c>
      <c r="Y20" s="392" t="inlineStr">
        <is>
          <t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t>
        </is>
      </c>
    </row>
    <row r="21">
      <c r="A21" s="392" t="inlineStr">
        <is>
          <t>CHR-PLY-CAPSULE01-FOOT-3D</t>
        </is>
      </c>
      <c r="B21" s="392" t="inlineStr">
        <is>
          <t>方形猫角色3D脚部模块</t>
        </is>
      </c>
      <c r="C21" s="392" t="inlineStr">
        <is>
          <t>角色</t>
        </is>
      </c>
      <c r="D21" s="392" t="inlineStr">
        <is>
          <t>player</t>
        </is>
      </c>
      <c r="E21" s="392" t="inlineStr">
        <is>
          <t>player_capsule01</t>
        </is>
      </c>
      <c r="F21" s="392" t="inlineStr">
        <is>
          <t>feet_3d</t>
        </is>
      </c>
      <c r="G21" s="392" t="inlineStr">
        <is>
          <t>CHR-PLY-CAPSULE01-3D</t>
        </is>
      </c>
      <c r="H21" s="392" t="inlineStr">
        <is>
          <t>俯视3D</t>
        </is>
      </c>
      <c r="I21" s="392" t="inlineStr">
        <is>
          <t>default</t>
        </is>
      </c>
      <c r="J21" s="392" t="inlineStr">
        <is>
          <t>3D玩家/预览场</t>
        </is>
      </c>
      <c r="K21" s="392" t="inlineStr">
        <is>
          <t>原型已接入</t>
        </is>
      </c>
      <c r="L21" s="392" t="inlineStr">
        <is>
          <t>P1</t>
        </is>
      </c>
      <c r="M21" s="392" t="inlineStr">
        <is>
          <t>v001</t>
        </is>
      </c>
      <c r="N21" s="392" t="inlineStr">
        <is>
          <t>双BoxMesh短脚</t>
        </is>
      </c>
      <c r="O21" s="392" t="inlineStr">
        <is>
          <t>assets/art/characters/player/chr_player_capsule01_3d/chr_player_capsule01_root_top3d_v001.tscn</t>
        </is>
      </c>
      <c r="P21" s="392" t="inlineStr">
        <is>
          <t>VisualRoot/Feet</t>
        </is>
      </c>
      <c r="Q21" s="392" t="inlineStr">
        <is>
          <t>脚;脚部;双脚;方脚;猫脚</t>
        </is>
      </c>
      <c r="R21" s="392">
        <f>LOWER(TRIM(C21)&amp;"|"&amp;TRIM(D21)&amp;"|"&amp;TRIM(E21)&amp;"|"&amp;TRIM(F21)&amp;"|"&amp;TRIM(H21)&amp;"|"&amp;TRIM(I21))</f>
        <v/>
      </c>
      <c r="S21" s="392">
        <f>IF(COUNTIF($R$6:$R$36,R21)&gt;1,"重复","唯一")</f>
        <v/>
      </c>
      <c r="T21" s="392" t="inlineStr">
        <is>
          <t>d962a133c9f966e97e0471adf110eaddda7ade65c2ef3ec47b56dbf2f1c93af0</t>
        </is>
      </c>
      <c r="U21" s="392" t="inlineStr">
        <is>
          <t>Codex</t>
        </is>
      </c>
      <c r="V21" s="392" t="n">
        <v>46264</v>
      </c>
      <c r="W21" s="392" t="inlineStr">
        <is>
          <t>原创程序几何</t>
        </is>
      </c>
      <c r="X21" s="375" t="inlineStr">
        <is>
          <t>—</t>
        </is>
      </c>
      <c r="Y21" s="392" t="inlineStr">
        <is>
          <t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22">
      <c r="A22" s="392" t="inlineStr">
        <is>
          <t>CHR-PLY-CAPSULE01-EYES-3D</t>
        </is>
      </c>
      <c r="B22" s="392" t="inlineStr">
        <is>
          <t>方形猫角色3D双眼配件</t>
        </is>
      </c>
      <c r="C22" s="392" t="inlineStr">
        <is>
          <t>角色</t>
        </is>
      </c>
      <c r="D22" s="392" t="inlineStr">
        <is>
          <t>player_accessory</t>
        </is>
      </c>
      <c r="E22" s="392" t="inlineStr">
        <is>
          <t>player_capsule01</t>
        </is>
      </c>
      <c r="F22" s="392" t="inlineStr">
        <is>
          <t>eyes_3d</t>
        </is>
      </c>
      <c r="G22" s="392" t="inlineStr">
        <is>
          <t>CHR-PLY-CAPSULE01-HEAD-3D</t>
        </is>
      </c>
      <c r="H22" s="392" t="inlineStr">
        <is>
          <t>俯视3D</t>
        </is>
      </c>
      <c r="I22" s="392" t="inlineStr">
        <is>
          <t>default</t>
        </is>
      </c>
      <c r="J22" s="392" t="inlineStr">
        <is>
          <t>3D玩家/预览场</t>
        </is>
      </c>
      <c r="K22" s="392" t="inlineStr">
        <is>
          <t>原型已接入</t>
        </is>
      </c>
      <c r="L22" s="392" t="inlineStr">
        <is>
          <t>P1</t>
        </is>
      </c>
      <c r="M22" s="392" t="inlineStr">
        <is>
          <t>v001</t>
        </is>
      </c>
      <c r="N22" s="392" t="inlineStr">
        <is>
          <t>2个矩形豆豆眼</t>
        </is>
      </c>
      <c r="O22" s="392" t="inlineStr">
        <is>
          <t>assets/art/characters/player/chr_player_capsule01_3d/chr_player_capsule01_root_top3d_v001.tscn</t>
        </is>
      </c>
      <c r="P22" s="392" t="inlineStr">
        <is>
          <t>VisualRoot/Head/Eyes</t>
        </is>
      </c>
      <c r="Q22" s="392" t="inlineStr">
        <is>
          <t>眼睛;双眼;豆豆眼;矩形眼</t>
        </is>
      </c>
      <c r="R22" s="392">
        <f>LOWER(TRIM(C22)&amp;"|"&amp;TRIM(D22)&amp;"|"&amp;TRIM(E22)&amp;"|"&amp;TRIM(F22)&amp;"|"&amp;TRIM(H22)&amp;"|"&amp;TRIM(I22))</f>
        <v/>
      </c>
      <c r="S22" s="392">
        <f>IF(COUNTIF($R$6:$R$36,R22)&gt;1,"重复","唯一")</f>
        <v/>
      </c>
      <c r="T22" s="392" t="inlineStr">
        <is>
          <t>d962a133c9f966e97e0471adf110eaddda7ade65c2ef3ec47b56dbf2f1c93af0</t>
        </is>
      </c>
      <c r="U22" s="392" t="inlineStr">
        <is>
          <t>Codex</t>
        </is>
      </c>
      <c r="V22" s="392" t="n">
        <v>46264</v>
      </c>
      <c r="W22" s="392" t="inlineStr">
        <is>
          <t>原创程序几何</t>
        </is>
      </c>
      <c r="X22" s="375" t="inlineStr">
        <is>
          <t>—</t>
        </is>
      </c>
      <c r="Y22" s="392" t="inlineStr">
        <is>
          <t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23">
      <c r="A23" s="392" t="inlineStr">
        <is>
          <t>CHR-PLY-CAPSULE01-EARS-3D</t>
        </is>
      </c>
      <c r="B23" s="392" t="inlineStr">
        <is>
          <t>方形猫角色3D双耳配件</t>
        </is>
      </c>
      <c r="C23" s="392" t="inlineStr">
        <is>
          <t>角色</t>
        </is>
      </c>
      <c r="D23" s="392" t="inlineStr">
        <is>
          <t>player_accessory</t>
        </is>
      </c>
      <c r="E23" s="392" t="inlineStr">
        <is>
          <t>player_capsule01</t>
        </is>
      </c>
      <c r="F23" s="392" t="inlineStr">
        <is>
          <t>ears_3d</t>
        </is>
      </c>
      <c r="G23" s="392" t="inlineStr">
        <is>
          <t>CHR-PLY-CAPSULE01-HEAD-3D</t>
        </is>
      </c>
      <c r="H23" s="392" t="inlineStr">
        <is>
          <t>俯视3D</t>
        </is>
      </c>
      <c r="I23" s="392" t="inlineStr">
        <is>
          <t>default</t>
        </is>
      </c>
      <c r="J23" s="392" t="inlineStr">
        <is>
          <t>3D玩家/预览场</t>
        </is>
      </c>
      <c r="K23" s="392" t="inlineStr">
        <is>
          <t>原型已接入</t>
        </is>
      </c>
      <c r="L23" s="392" t="inlineStr">
        <is>
          <t>P1</t>
        </is>
      </c>
      <c r="M23" s="392" t="inlineStr">
        <is>
          <t>v001</t>
        </is>
      </c>
      <c r="N23" s="392" t="inlineStr">
        <is>
          <t>2个三角耳</t>
        </is>
      </c>
      <c r="O23" s="392" t="inlineStr">
        <is>
          <t>assets/art/characters/player/chr_player_capsule01_3d/chr_player_capsule01_root_top3d_v001.tscn</t>
        </is>
      </c>
      <c r="P23" s="392" t="inlineStr">
        <is>
          <t>VisualRoot/Head/Ears</t>
        </is>
      </c>
      <c r="Q23" s="392" t="inlineStr">
        <is>
          <t>耳朵;双耳;猫耳;三角耳</t>
        </is>
      </c>
      <c r="R23" s="392">
        <f>LOWER(TRIM(C23)&amp;"|"&amp;TRIM(D23)&amp;"|"&amp;TRIM(E23)&amp;"|"&amp;TRIM(F23)&amp;"|"&amp;TRIM(H23)&amp;"|"&amp;TRIM(I23))</f>
        <v/>
      </c>
      <c r="S23" s="392">
        <f>IF(COUNTIF($R$6:$R$36,R23)&gt;1,"重复","唯一")</f>
        <v/>
      </c>
      <c r="T23" s="392" t="inlineStr">
        <is>
          <t>d962a133c9f966e97e0471adf110eaddda7ade65c2ef3ec47b56dbf2f1c93af0</t>
        </is>
      </c>
      <c r="U23" s="392" t="inlineStr">
        <is>
          <t>Codex</t>
        </is>
      </c>
      <c r="V23" s="392" t="n">
        <v>46264</v>
      </c>
      <c r="W23" s="392" t="inlineStr">
        <is>
          <t>原创程序几何</t>
        </is>
      </c>
      <c r="X23" s="375" t="inlineStr">
        <is>
          <t>—</t>
        </is>
      </c>
      <c r="Y23" s="392" t="inlineStr">
        <is>
          <t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24">
      <c r="A24" s="392" t="inlineStr">
        <is>
          <t>CHR-PLY-CAPSULE01-TAIL-STUB-3D</t>
        </is>
      </c>
      <c r="B24" s="392" t="inlineStr">
        <is>
          <t>方形猫角色3D圆短尾</t>
        </is>
      </c>
      <c r="C24" s="392" t="inlineStr">
        <is>
          <t>角色</t>
        </is>
      </c>
      <c r="D24" s="392" t="inlineStr">
        <is>
          <t>player_accessory</t>
        </is>
      </c>
      <c r="E24" s="392" t="inlineStr">
        <is>
          <t>player_capsule01</t>
        </is>
      </c>
      <c r="F24" s="392" t="inlineStr">
        <is>
          <t>tail_stub_3d</t>
        </is>
      </c>
      <c r="G24" s="392" t="inlineStr">
        <is>
          <t>CHR-PLY-CAPSULE01-BODY-3D</t>
        </is>
      </c>
      <c r="H24" s="392" t="inlineStr">
        <is>
          <t>俯视3D</t>
        </is>
      </c>
      <c r="I24" s="392" t="inlineStr">
        <is>
          <t>default</t>
        </is>
      </c>
      <c r="J24" s="392" t="inlineStr">
        <is>
          <t>3D玩家/预览场</t>
        </is>
      </c>
      <c r="K24" s="392" t="inlineStr">
        <is>
          <t>原型已接入</t>
        </is>
      </c>
      <c r="L24" s="392" t="inlineStr">
        <is>
          <t>P1</t>
        </is>
      </c>
      <c r="M24" s="392" t="inlineStr">
        <is>
          <t>v001</t>
        </is>
      </c>
      <c r="N24" s="392" t="inlineStr">
        <is>
          <t>单个SphereMesh圆尾团</t>
        </is>
      </c>
      <c r="O24" s="392" t="inlineStr">
        <is>
          <t>assets/art/characters/player/chr_player_capsule01_3d/chr_player_capsule01_root_top3d_v001.tscn</t>
        </is>
      </c>
      <c r="P24" s="392" t="inlineStr">
        <is>
          <t>VisualRoot/Body/TailStub</t>
        </is>
      </c>
      <c r="Q24" s="392" t="inlineStr">
        <is>
          <t>尾巴;短尾;圆尾;尾团;无长尾</t>
        </is>
      </c>
      <c r="R24" s="392">
        <f>LOWER(TRIM(C24)&amp;"|"&amp;TRIM(D24)&amp;"|"&amp;TRIM(E24)&amp;"|"&amp;TRIM(F24)&amp;"|"&amp;TRIM(H24)&amp;"|"&amp;TRIM(I24))</f>
        <v/>
      </c>
      <c r="S24" s="392">
        <f>IF(COUNTIF($R$6:$R$36,R24)&gt;1,"重复","唯一")</f>
        <v/>
      </c>
      <c r="T24" s="392" t="inlineStr">
        <is>
          <t>d962a133c9f966e97e0471adf110eaddda7ade65c2ef3ec47b56dbf2f1c93af0</t>
        </is>
      </c>
      <c r="U24" s="392" t="inlineStr">
        <is>
          <t>Codex</t>
        </is>
      </c>
      <c r="V24" s="392" t="n">
        <v>46264</v>
      </c>
      <c r="W24" s="392" t="inlineStr">
        <is>
          <t>原创程序几何</t>
        </is>
      </c>
      <c r="X24" s="375" t="inlineStr">
        <is>
          <t>—</t>
        </is>
      </c>
      <c r="Y24" s="392" t="inlineStr">
        <is>
          <t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t>
        </is>
      </c>
    </row>
    <row r="25">
      <c r="A25" s="392" t="inlineStr">
        <is>
          <t>CHR-PLY-CAPSULE01-FEET-DIY-3D</t>
        </is>
      </c>
      <c r="B25" s="392" t="inlineStr">
        <is>
          <t>方形猫角色3D脚部DIY变体</t>
        </is>
      </c>
      <c r="C25" s="392" t="inlineStr">
        <is>
          <t>角色</t>
        </is>
      </c>
      <c r="D25" s="392" t="inlineStr">
        <is>
          <t>player_variant</t>
        </is>
      </c>
      <c r="E25" s="392" t="inlineStr">
        <is>
          <t>player_capsule01</t>
        </is>
      </c>
      <c r="F25" s="392" t="inlineStr">
        <is>
          <t>feet_diy_3d</t>
        </is>
      </c>
      <c r="G25" s="392" t="inlineStr">
        <is>
          <t>CHR-PLY-CAPSULE01-FOOT-3D</t>
        </is>
      </c>
      <c r="H25" s="392" t="inlineStr">
        <is>
          <t>俯视3D</t>
        </is>
      </c>
      <c r="I25" s="392" t="inlineStr">
        <is>
          <t>diy</t>
        </is>
      </c>
      <c r="J25" s="392" t="inlineStr">
        <is>
          <t>3D玩家/预览场</t>
        </is>
      </c>
      <c r="K25" s="392" t="inlineStr">
        <is>
          <t>原型已接入</t>
        </is>
      </c>
      <c r="L25" s="392" t="inlineStr">
        <is>
          <t>P1</t>
        </is>
      </c>
      <c r="M25" s="392" t="inlineStr">
        <is>
          <t>v001</t>
        </is>
      </c>
      <c r="N25" s="392" t="inlineStr">
        <is>
          <t>4种程序材质</t>
        </is>
      </c>
      <c r="O25" s="392" t="inlineStr">
        <is>
          <t>src/player3d/PlayerAvatar3D.gd</t>
        </is>
      </c>
      <c r="P25" s="392" t="inlineStr">
        <is>
          <t>VisualRoot/Feet</t>
        </is>
      </c>
      <c r="Q25" s="392" t="inlineStr">
        <is>
          <t>脚部DIY;猫脚;短靴;橙色;沙色;钴蓝;青绿</t>
        </is>
      </c>
      <c r="R25" s="392">
        <f>LOWER(TRIM(C25)&amp;"|"&amp;TRIM(D25)&amp;"|"&amp;TRIM(E25)&amp;"|"&amp;TRIM(F25)&amp;"|"&amp;TRIM(H25)&amp;"|"&amp;TRIM(I25))</f>
        <v/>
      </c>
      <c r="S25" s="392">
        <f>IF(COUNTIF($R$6:$R$36,R25)&gt;1,"重复","唯一")</f>
        <v/>
      </c>
      <c r="T25" s="392" t="inlineStr">
        <is>
          <t>4499816448fa5c8cd655053b8191f12c7db3f87713f0572965f1250aa31ec85b</t>
        </is>
      </c>
      <c r="U25" s="392" t="inlineStr">
        <is>
          <t>Codex</t>
        </is>
      </c>
      <c r="V25" s="392" t="n">
        <v>46264</v>
      </c>
      <c r="W25" s="392" t="inlineStr">
        <is>
          <t>原创程序几何</t>
        </is>
      </c>
      <c r="X25" s="375" t="inlineStr">
        <is>
          <t>—</t>
        </is>
      </c>
      <c r="Y25" s="392" t="inlineStr">
        <is>
          <t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t>
        </is>
      </c>
    </row>
    <row r="26">
      <c r="A26" s="364" t="inlineStr">
        <is>
          <t>CHR-PLY-CAPSULE01-3D-BUNNY01</t>
        </is>
      </c>
      <c r="B26" s="364" t="inlineStr">
        <is>
          <t>兔子主角3D根变体</t>
        </is>
      </c>
      <c r="C26" s="364" t="inlineStr">
        <is>
          <t>角色</t>
        </is>
      </c>
      <c r="D26" s="364" t="inlineStr">
        <is>
          <t>player_variant</t>
        </is>
      </c>
      <c r="E26" s="364" t="inlineStr">
        <is>
          <t>player_capsule01</t>
        </is>
      </c>
      <c r="F26" s="364" t="inlineStr">
        <is>
          <t>root_3d_bunny01</t>
        </is>
      </c>
      <c r="G26" s="364" t="inlineStr">
        <is>
          <t>CHR-PLY-CAPSULE01-3D</t>
        </is>
      </c>
      <c r="H26" s="364" t="inlineStr">
        <is>
          <t>俯视3D</t>
        </is>
      </c>
      <c r="I26" s="364" t="inlineStr">
        <is>
          <t>default</t>
        </is>
      </c>
      <c r="J26" s="364" t="inlineStr">
        <is>
          <t>3D玩家场景</t>
        </is>
      </c>
      <c r="K26" s="364" t="inlineStr">
        <is>
          <t>原型已接入</t>
        </is>
      </c>
      <c r="L26" s="364" t="inlineStr">
        <is>
          <t>P0</t>
        </is>
      </c>
      <c r="M26" s="364" t="inlineStr">
        <is>
          <t>v021</t>
        </is>
      </c>
      <c r="N26" s="364" t="inlineStr">
        <is>
          <t>创作高1.5m；运行可见高1.05m；碰撞由Player3D拥有，不随美术骨架修改。</t>
        </is>
      </c>
      <c r="O26" s="364" t="inlineStr">
        <is>
          <t>assets/art/characters/player/chr_player_capsule01_3d/variants/bunny01/production/v021/runtime/chr_bunny01_root_v021.tscn</t>
        </is>
      </c>
      <c r="P26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6" s="364" t="inlineStr">
        <is>
          <t>兔子;主角;兔耳;3D;Blender;bunny01</t>
        </is>
      </c>
      <c r="R26" s="364">
        <f>LOWER(TRIM(C26)&amp;"|"&amp;TRIM(D26)&amp;"|"&amp;TRIM(E26)&amp;"|"&amp;TRIM(F26)&amp;"|"&amp;TRIM(H26)&amp;"|"&amp;TRIM(I26))</f>
        <v/>
      </c>
      <c r="S26" s="364">
        <f>IF(COUNTIF($R$6:$R$36,R26)&gt;1,"重复","唯一")</f>
        <v/>
      </c>
      <c r="T26" s="364" t="inlineStr">
        <is>
          <t>e9cac2738d9fa586eed9f2e97a93ff220cab52b60d89f53f4cd80e38ebc9b6c4</t>
        </is>
      </c>
      <c r="U26" s="364" t="inlineStr">
        <is>
          <t>Codex</t>
        </is>
      </c>
      <c r="V26" s="307" t="n">
        <v>46264</v>
      </c>
      <c r="W26" s="307" t="inlineStr">
        <is>
          <t>原创 Blender/Godot 组合</t>
        </is>
      </c>
      <c r="X26" s="375" t="inlineStr">
        <is>
          <t>—</t>
        </is>
      </c>
      <c r="Y26" s="364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7">
      <c r="A27" s="364" t="inlineStr">
        <is>
          <t>CHR-PLY-CAPSULE01-3D-BUNNY01-BODY</t>
        </is>
      </c>
      <c r="B27" s="364" t="inlineStr">
        <is>
          <t>兔子主角3D身体</t>
        </is>
      </c>
      <c r="C27" s="364" t="inlineStr">
        <is>
          <t>角色</t>
        </is>
      </c>
      <c r="D27" s="364" t="inlineStr">
        <is>
          <t>player_component</t>
        </is>
      </c>
      <c r="E27" s="364" t="inlineStr">
        <is>
          <t>player_capsule01</t>
        </is>
      </c>
      <c r="F27" s="364" t="inlineStr">
        <is>
          <t>body_3d_bunny01</t>
        </is>
      </c>
      <c r="G27" s="364" t="inlineStr">
        <is>
          <t>CHR-PLY-CAPSULE01-3D-BUNNY01</t>
        </is>
      </c>
      <c r="H27" s="364" t="inlineStr">
        <is>
          <t>俯视3D</t>
        </is>
      </c>
      <c r="I27" s="364" t="inlineStr">
        <is>
          <t>default</t>
        </is>
      </c>
      <c r="J27" s="364" t="inlineStr">
        <is>
          <t>3D玩家场景</t>
        </is>
      </c>
      <c r="K27" s="364" t="inlineStr">
        <is>
          <t>原型已接入</t>
        </is>
      </c>
      <c r="L27" s="364" t="inlineStr">
        <is>
          <t>P0</t>
        </is>
      </c>
      <c r="M27" s="364" t="inlineStr">
        <is>
          <t>v021</t>
        </is>
      </c>
      <c r="N27" s="364" t="inlineStr">
        <is>
          <t>GLB / 1,958 verts / pivot-local / 1.5m总高比例</t>
        </is>
      </c>
      <c r="O27" s="364" t="inlineStr">
        <is>
          <t>assets/art/characters/player/chr_player_capsule01_3d/variants/bunny01/production/v021/exports/chr_bunny01_body_v021.glb</t>
        </is>
      </c>
      <c r="P27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7" s="364" t="inlineStr">
        <is>
          <t>兔子;身体;服装;body;bunny01</t>
        </is>
      </c>
      <c r="R27" s="364">
        <f>LOWER(TRIM(C27)&amp;"|"&amp;TRIM(D27)&amp;"|"&amp;TRIM(E27)&amp;"|"&amp;TRIM(F27)&amp;"|"&amp;TRIM(H27)&amp;"|"&amp;TRIM(I27))</f>
        <v/>
      </c>
      <c r="S27" s="364">
        <f>IF(COUNTIF($R$6:$R$36,R27)&gt;1,"重复","唯一")</f>
        <v/>
      </c>
      <c r="T27" s="364" t="inlineStr">
        <is>
          <t>861c7d454e510d7d50c0459dc9fa5b052af56c473896333a68ab6940ae981b49</t>
        </is>
      </c>
      <c r="U27" s="364" t="inlineStr">
        <is>
          <t>Codex</t>
        </is>
      </c>
      <c r="V27" s="307" t="n">
        <v>46264</v>
      </c>
      <c r="W27" s="364" t="inlineStr">
        <is>
          <t>用户提供 Blender 源文件</t>
        </is>
      </c>
      <c r="X27" s="375" t="inlineStr">
        <is>
          <t>—</t>
        </is>
      </c>
      <c r="Y27" s="364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8">
      <c r="A28" s="364" t="inlineStr">
        <is>
          <t>CHR-PLY-CAPSULE01-3D-BUNNY01-HEAD</t>
        </is>
      </c>
      <c r="B28" s="364" t="inlineStr">
        <is>
          <t>兔子主角3D头部</t>
        </is>
      </c>
      <c r="C28" s="364" t="inlineStr">
        <is>
          <t>角色</t>
        </is>
      </c>
      <c r="D28" s="364" t="inlineStr">
        <is>
          <t>player_component</t>
        </is>
      </c>
      <c r="E28" s="364" t="inlineStr">
        <is>
          <t>player_capsule01</t>
        </is>
      </c>
      <c r="F28" s="364" t="inlineStr">
        <is>
          <t>head_3d_bunny01</t>
        </is>
      </c>
      <c r="G28" s="364" t="inlineStr">
        <is>
          <t>CHR-PLY-CAPSULE01-3D-BUNNY01</t>
        </is>
      </c>
      <c r="H28" s="364" t="inlineStr">
        <is>
          <t>俯视3D</t>
        </is>
      </c>
      <c r="I28" s="364" t="inlineStr">
        <is>
          <t>default</t>
        </is>
      </c>
      <c r="J28" s="364" t="inlineStr">
        <is>
          <t>3D玩家场景</t>
        </is>
      </c>
      <c r="K28" s="364" t="inlineStr">
        <is>
          <t>原型已接入</t>
        </is>
      </c>
      <c r="L28" s="364" t="inlineStr">
        <is>
          <t>P0</t>
        </is>
      </c>
      <c r="M28" s="364" t="inlineStr">
        <is>
          <t>v021</t>
        </is>
      </c>
      <c r="N28" s="364" t="inlineStr">
        <is>
          <t>GLB / 5,936 verts / pivot-local / 头顶1.103390m</t>
        </is>
      </c>
      <c r="O28" s="364" t="inlineStr">
        <is>
          <t>assets/art/characters/player/chr_player_capsule01_3d/variants/bunny01/production/v021/exports/chr_bunny01_head_v021.glb</t>
        </is>
      </c>
      <c r="P28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8" s="364" t="inlineStr">
        <is>
          <t>兔子;头部;head;bunny01</t>
        </is>
      </c>
      <c r="R28" s="364">
        <f>LOWER(TRIM(C28)&amp;"|"&amp;TRIM(D28)&amp;"|"&amp;TRIM(E28)&amp;"|"&amp;TRIM(F28)&amp;"|"&amp;TRIM(H28)&amp;"|"&amp;TRIM(I28))</f>
        <v/>
      </c>
      <c r="S28" s="364">
        <f>IF(COUNTIF($R$6:$R$36,R28)&gt;1,"重复","唯一")</f>
        <v/>
      </c>
      <c r="T28" s="364" t="inlineStr">
        <is>
          <t>f654754b8a52cbd173597bd5f1e390a900bd0c2b0ed4ba357a8060542d51fda5</t>
        </is>
      </c>
      <c r="U28" s="364" t="inlineStr">
        <is>
          <t>Codex</t>
        </is>
      </c>
      <c r="V28" s="307" t="n">
        <v>46264</v>
      </c>
      <c r="W28" s="364" t="inlineStr">
        <is>
          <t>用户提供 Blender 源文件</t>
        </is>
      </c>
      <c r="X28" s="375" t="inlineStr">
        <is>
          <t>—</t>
        </is>
      </c>
      <c r="Y28" s="364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9">
      <c r="A29" s="364" t="inlineStr">
        <is>
          <t>CHR-PLY-CAPSULE01-3D-BUNNY01-EARS</t>
        </is>
      </c>
      <c r="B29" s="364" t="inlineStr">
        <is>
          <t>兔子主角3D双耳配件</t>
        </is>
      </c>
      <c r="C29" s="364" t="inlineStr">
        <is>
          <t>角色</t>
        </is>
      </c>
      <c r="D29" s="364" t="inlineStr">
        <is>
          <t>player_accessory</t>
        </is>
      </c>
      <c r="E29" s="364" t="inlineStr">
        <is>
          <t>player_capsule01</t>
        </is>
      </c>
      <c r="F29" s="364" t="inlineStr">
        <is>
          <t>ears_3d_bunny01</t>
        </is>
      </c>
      <c r="G29" s="364" t="inlineStr">
        <is>
          <t>CHR-PLY-CAPSULE01-3D-BUNNY01-HEAD</t>
        </is>
      </c>
      <c r="H29" s="364" t="inlineStr">
        <is>
          <t>俯视3D</t>
        </is>
      </c>
      <c r="I29" s="364" t="inlineStr">
        <is>
          <t>default</t>
        </is>
      </c>
      <c r="J29" s="364" t="inlineStr">
        <is>
          <t>3D玩家场景</t>
        </is>
      </c>
      <c r="K29" s="364" t="inlineStr">
        <is>
          <t>原型已接入</t>
        </is>
      </c>
      <c r="L29" s="364" t="inlineStr">
        <is>
          <t>P0</t>
        </is>
      </c>
      <c r="M29" s="364" t="inlineStr">
        <is>
          <t>v021</t>
        </is>
      </c>
      <c r="N29" s="364" t="inlineStr">
        <is>
          <t>左右独立 GLB / 已烘焙镜像</t>
        </is>
      </c>
      <c r="O29" s="364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29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9" s="364" t="inlineStr">
        <is>
          <t>兔耳;耳朵;耳部配件;EarSocketL;EarSocketR;bunny01</t>
        </is>
      </c>
      <c r="R29" s="364">
        <f>LOWER(TRIM(C29)&amp;"|"&amp;TRIM(D29)&amp;"|"&amp;TRIM(E29)&amp;"|"&amp;TRIM(F29)&amp;"|"&amp;TRIM(H29)&amp;"|"&amp;TRIM(I29))</f>
        <v/>
      </c>
      <c r="S29" s="364">
        <f>IF(COUNTIF($R$6:$R$36,R29)&gt;1,"重复","唯一")</f>
        <v/>
      </c>
      <c r="T29" s="364" t="inlineStr">
        <is>
          <t>0936a7e3212554eddf48af62704649b6a6c98a67b56b180ed2e802bc97a1fc7c / 7719ba73dec977951da3edf997752ba5afcf4a1c9f8b2bc8dd5ad8a78381b208</t>
        </is>
      </c>
      <c r="U29" s="364" t="inlineStr">
        <is>
          <t>Codex</t>
        </is>
      </c>
      <c r="V29" s="307" t="n">
        <v>46264</v>
      </c>
      <c r="W29" s="364" t="inlineStr">
        <is>
          <t>用户提供 Blender 源文件</t>
        </is>
      </c>
      <c r="X29" s="375" t="inlineStr">
        <is>
          <t>—</t>
        </is>
      </c>
      <c r="Y29" s="364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30">
      <c r="A30" s="364" t="inlineStr">
        <is>
          <t>CHR-PLY-CAPSULE01-3D-BUNNY01-HAND</t>
        </is>
      </c>
      <c r="B30" s="364" t="inlineStr">
        <is>
          <t>兔子主角3D双爪表现组件</t>
        </is>
      </c>
      <c r="C30" s="364" t="inlineStr">
        <is>
          <t>角色</t>
        </is>
      </c>
      <c r="D30" s="364" t="inlineStr">
        <is>
          <t>player_component</t>
        </is>
      </c>
      <c r="E30" s="364" t="inlineStr">
        <is>
          <t>player_capsule01</t>
        </is>
      </c>
      <c r="F30" s="364" t="inlineStr">
        <is>
          <t>hand_3d_bunny01</t>
        </is>
      </c>
      <c r="G30" s="364" t="inlineStr">
        <is>
          <t>CHR-PLY-CAPSULE01-3D-BUNNY01</t>
        </is>
      </c>
      <c r="H30" s="364" t="inlineStr">
        <is>
          <t>俯视3D</t>
        </is>
      </c>
      <c r="I30" s="364" t="inlineStr">
        <is>
          <t>default</t>
        </is>
      </c>
      <c r="J30" s="364" t="inlineStr">
        <is>
          <t>3D玩家场景</t>
        </is>
      </c>
      <c r="K30" s="364" t="inlineStr">
        <is>
          <t>原型已接入</t>
        </is>
      </c>
      <c r="L30" s="364" t="inlineStr">
        <is>
          <t>P0</t>
        </is>
      </c>
      <c r="M30" s="364" t="inlineStr">
        <is>
          <t>v021</t>
        </is>
      </c>
      <c r="N30" s="364" t="inlineStr">
        <is>
          <t>双 GLB / 左右各1,058 verts / pivot-local / 1.5m角色比例</t>
        </is>
      </c>
      <c r="O30" s="364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30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30" s="364" t="inlineStr">
        <is>
          <t>兔爪;手;握持;weapon_socket;bunny01</t>
        </is>
      </c>
      <c r="R30" s="364">
        <f>LOWER(TRIM(C30)&amp;"|"&amp;TRIM(D30)&amp;"|"&amp;TRIM(E30)&amp;"|"&amp;TRIM(F30)&amp;"|"&amp;TRIM(H30)&amp;"|"&amp;TRIM(I30))</f>
        <v/>
      </c>
      <c r="S30" s="364">
        <f>IF(COUNTIF($R$6:$R$36,R30)&gt;1,"重复","唯一")</f>
        <v/>
      </c>
      <c r="T30" s="364" t="inlineStr">
        <is>
          <t>eb021c9f0858a3b6bc5012551db2424cbc44baa0f769d6365fde780df4b8058c / ceaf3366cd4fa1887c3e897608052419120f2e4887003f48871b1fdea71f5cfb</t>
        </is>
      </c>
      <c r="U30" s="364" t="inlineStr">
        <is>
          <t>Codex</t>
        </is>
      </c>
      <c r="V30" s="307" t="n">
        <v>46264</v>
      </c>
      <c r="W30" s="364" t="inlineStr">
        <is>
          <t>用户提供 Blender 源文件</t>
        </is>
      </c>
      <c r="X30" s="375" t="inlineStr">
        <is>
          <t>—</t>
        </is>
      </c>
      <c r="Y30" s="364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31">
      <c r="A31" s="364" t="inlineStr">
        <is>
          <t>CHR-PLY-CAPSULE01-3D-BUNNY01-FOOT-L</t>
        </is>
      </c>
      <c r="B31" s="364" t="inlineStr">
        <is>
          <t>兔子主角3D左脚</t>
        </is>
      </c>
      <c r="C31" s="364" t="inlineStr">
        <is>
          <t>角色</t>
        </is>
      </c>
      <c r="D31" s="364" t="inlineStr">
        <is>
          <t>player_component</t>
        </is>
      </c>
      <c r="E31" s="364" t="inlineStr">
        <is>
          <t>player_capsule01</t>
        </is>
      </c>
      <c r="F31" s="364" t="inlineStr">
        <is>
          <t>foot_l_3d_bunny01</t>
        </is>
      </c>
      <c r="G31" s="364" t="inlineStr">
        <is>
          <t>CHR-PLY-CAPSULE01-3D-BUNNY01</t>
        </is>
      </c>
      <c r="H31" s="364" t="inlineStr">
        <is>
          <t>俯视3D</t>
        </is>
      </c>
      <c r="I31" s="364" t="inlineStr">
        <is>
          <t>moving</t>
        </is>
      </c>
      <c r="J31" s="364" t="inlineStr">
        <is>
          <t>3D玩家场景</t>
        </is>
      </c>
      <c r="K31" s="364" t="inlineStr">
        <is>
          <t>原型已接入</t>
        </is>
      </c>
      <c r="L31" s="364" t="inlineStr">
        <is>
          <t>P0</t>
        </is>
      </c>
      <c r="M31" s="364" t="inlineStr">
        <is>
          <t>v021</t>
        </is>
      </c>
      <c r="N31" s="364" t="inlineStr">
        <is>
          <t>GLB / 5,396 verts / pivot-local / 1.5m角色比例</t>
        </is>
      </c>
      <c r="O31" s="364" t="inlineStr">
        <is>
          <t>assets/art/characters/player/chr_player_capsule01_3d/variants/bunny01/production/v021/exports/chr_bunny01_foot_l_v021.glb</t>
        </is>
      </c>
      <c r="P31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31" s="364" t="inlineStr">
        <is>
          <t>兔脚;左脚;步态;FootL;bunny01</t>
        </is>
      </c>
      <c r="R31" s="364">
        <f>LOWER(TRIM(C31)&amp;"|"&amp;TRIM(D31)&amp;"|"&amp;TRIM(E31)&amp;"|"&amp;TRIM(F31)&amp;"|"&amp;TRIM(H31)&amp;"|"&amp;TRIM(I31))</f>
        <v/>
      </c>
      <c r="S31" s="364">
        <f>IF(COUNTIF($R$6:$R$36,R31)&gt;1,"重复","唯一")</f>
        <v/>
      </c>
      <c r="T31" s="364" t="inlineStr">
        <is>
          <t>60617a88b9659d9c4dba5884ed68314ff1e503a80df0ff5b35d63f8578b6b60a</t>
        </is>
      </c>
      <c r="U31" s="364" t="inlineStr">
        <is>
          <t>Codex</t>
        </is>
      </c>
      <c r="V31" s="307" t="n">
        <v>46264</v>
      </c>
      <c r="W31" s="364" t="inlineStr">
        <is>
          <t>用户提供 Blender 源文件</t>
        </is>
      </c>
      <c r="X31" s="375" t="inlineStr">
        <is>
          <t>—</t>
        </is>
      </c>
      <c r="Y31" s="364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32">
      <c r="A32" s="364" t="inlineStr">
        <is>
          <t>CHR-PLY-CAPSULE01-3D-BUNNY01-FOOT-R</t>
        </is>
      </c>
      <c r="B32" s="364" t="inlineStr">
        <is>
          <t>兔子主角3D右脚</t>
        </is>
      </c>
      <c r="C32" s="364" t="inlineStr">
        <is>
          <t>角色</t>
        </is>
      </c>
      <c r="D32" s="364" t="inlineStr">
        <is>
          <t>player_component</t>
        </is>
      </c>
      <c r="E32" s="364" t="inlineStr">
        <is>
          <t>player_capsule01</t>
        </is>
      </c>
      <c r="F32" s="364" t="inlineStr">
        <is>
          <t>foot_r_3d_bunny01</t>
        </is>
      </c>
      <c r="G32" s="364" t="inlineStr">
        <is>
          <t>CHR-PLY-CAPSULE01-3D-BUNNY01</t>
        </is>
      </c>
      <c r="H32" s="364" t="inlineStr">
        <is>
          <t>俯视3D</t>
        </is>
      </c>
      <c r="I32" s="364" t="inlineStr">
        <is>
          <t>moving</t>
        </is>
      </c>
      <c r="J32" s="364" t="inlineStr">
        <is>
          <t>3D玩家场景</t>
        </is>
      </c>
      <c r="K32" s="364" t="inlineStr">
        <is>
          <t>原型已接入</t>
        </is>
      </c>
      <c r="L32" s="364" t="inlineStr">
        <is>
          <t>P0</t>
        </is>
      </c>
      <c r="M32" s="364" t="inlineStr">
        <is>
          <t>v021</t>
        </is>
      </c>
      <c r="N32" s="364" t="inlineStr">
        <is>
          <t>GLB / 5,396 verts / pivot-local / 1.5m角色比例</t>
        </is>
      </c>
      <c r="O32" s="364" t="inlineStr">
        <is>
          <t>assets/art/characters/player/chr_player_capsule01_3d/variants/bunny01/production/v021/exports/chr_bunny01_foot_r_v021.glb</t>
        </is>
      </c>
      <c r="P32" s="364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32" s="364" t="inlineStr">
        <is>
          <t>兔脚;右脚;步态;FootR;bunny01</t>
        </is>
      </c>
      <c r="R32" s="364">
        <f>LOWER(TRIM(C32)&amp;"|"&amp;TRIM(D32)&amp;"|"&amp;TRIM(E32)&amp;"|"&amp;TRIM(F32)&amp;"|"&amp;TRIM(H32)&amp;"|"&amp;TRIM(I32))</f>
        <v/>
      </c>
      <c r="S32" s="364">
        <f>IF(COUNTIF($R$6:$R$36,R32)&gt;1,"重复","唯一")</f>
        <v/>
      </c>
      <c r="T32" s="364" t="inlineStr">
        <is>
          <t>8509a8e959a7d427b4ee168d8585fb2d09ca01cbbf8c83601d8d5c46fe22e7a7</t>
        </is>
      </c>
      <c r="U32" s="364" t="inlineStr">
        <is>
          <t>Codex</t>
        </is>
      </c>
      <c r="V32" s="307" t="n">
        <v>46264</v>
      </c>
      <c r="W32" s="364" t="inlineStr">
        <is>
          <t>用户提供 Blender 源文件</t>
        </is>
      </c>
      <c r="X32" s="375" t="inlineStr">
        <is>
          <t>—</t>
        </is>
      </c>
      <c r="Y32" s="364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33">
      <c r="A33" s="392" t="inlineStr">
        <is>
          <t>CHR-PLY-CAPSULE01-BACKPACK-SOCKET-3D</t>
        </is>
      </c>
      <c r="B33" s="392" t="inlineStr">
        <is>
          <t>玩家背包装备挂点</t>
        </is>
      </c>
      <c r="C33" s="392" t="inlineStr">
        <is>
          <t>角色</t>
        </is>
      </c>
      <c r="D33" s="392" t="inlineStr">
        <is>
          <t>player_accessory_socket</t>
        </is>
      </c>
      <c r="E33" s="392" t="inlineStr">
        <is>
          <t>player_capsule01</t>
        </is>
      </c>
      <c r="F33" s="392" t="inlineStr">
        <is>
          <t>backpack_socket_3d</t>
        </is>
      </c>
      <c r="G33" s="392" t="inlineStr">
        <is>
          <t>CHR-PLY-CAPSULE01-3D</t>
        </is>
      </c>
      <c r="H33" s="392" t="inlineStr">
        <is>
          <t>俯视3D</t>
        </is>
      </c>
      <c r="I33" s="392" t="inlineStr">
        <is>
          <t>default</t>
        </is>
      </c>
      <c r="J33" s="392" t="inlineStr">
        <is>
          <t>3D玩家场景/可装备背包</t>
        </is>
      </c>
      <c r="K33" s="392" t="inlineStr">
        <is>
          <t>原型已接入</t>
        </is>
      </c>
      <c r="L33" s="392" t="inlineStr">
        <is>
          <t>P0</t>
        </is>
      </c>
      <c r="M33" s="392" t="inlineStr">
        <is>
          <t>v001</t>
        </is>
      </c>
      <c r="N33" s="392" t="inlineStr">
        <is>
          <t>Marker3D；bunny=(0,0.74,0.30)；fallback=(0,1.25,0.48)</t>
        </is>
      </c>
      <c r="O33" s="392" t="inlineStr">
        <is>
          <t>src/player3d/PlayerAvatar3D.gd</t>
        </is>
      </c>
      <c r="P33" s="392" t="inlineStr">
        <is>
          <t>src/player3d/PlayerAvatar3D.gd; tests/verification/verify_backpack_equipment_flow.tscn</t>
        </is>
      </c>
      <c r="Q33" s="392" t="inlineStr">
        <is>
          <t>背包挂点;BackpackSocket;背部装备;wearable;capacity</t>
        </is>
      </c>
      <c r="R33" s="392">
        <f>LOWER(TRIM(C33)&amp;"|"&amp;TRIM(D33)&amp;"|"&amp;TRIM(E33)&amp;"|"&amp;TRIM(F33)&amp;"|"&amp;TRIM(H33)&amp;"|"&amp;TRIM(I33))</f>
        <v/>
      </c>
      <c r="S33" s="392">
        <f>IF(COUNTIF($R$6:$R$36,R33)&gt;1,"重复","唯一")</f>
        <v/>
      </c>
      <c r="T33" s="392" t="inlineStr">
        <is>
          <t>4499816448fa5c8cd655053b8191f12c7db3f87713f0572965f1250aa31ec85b</t>
        </is>
      </c>
      <c r="U33" s="392" t="inlineStr">
        <is>
          <t>Codex</t>
        </is>
      </c>
      <c r="V33" s="392" t="n">
        <v>46264</v>
      </c>
      <c r="W33" s="392" t="inlineStr">
        <is>
          <t>原创程序挂点</t>
        </is>
      </c>
      <c r="X33" s="375" t="inlineStr">
        <is>
          <t>—</t>
        </is>
      </c>
      <c r="Y33" s="392" t="inlineStr">
        <is>
          <t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t>
        </is>
      </c>
    </row>
    <row r="34">
      <c r="A34" s="392" t="inlineStr">
        <is>
          <t>CHR-PLY-CAPSULE01-3D-BUNNY01-LOWER-BODY-SOCKET</t>
        </is>
      </c>
      <c r="B34" s="392" t="inlineStr">
        <is>
          <t>兔子主角下身配件挂点</t>
        </is>
      </c>
      <c r="C34" s="392" t="inlineStr">
        <is>
          <t>角色</t>
        </is>
      </c>
      <c r="D34" s="392" t="inlineStr">
        <is>
          <t>player_accessory_socket</t>
        </is>
      </c>
      <c r="E34" s="392" t="inlineStr">
        <is>
          <t>player_capsule01</t>
        </is>
      </c>
      <c r="F34" s="392" t="inlineStr">
        <is>
          <t>lower_body_socket_3d_bunny01</t>
        </is>
      </c>
      <c r="G34" s="392" t="inlineStr">
        <is>
          <t>CHR-PLY-CAPSULE01-3D-BUNNY01-BODY</t>
        </is>
      </c>
      <c r="H34" s="392" t="inlineStr">
        <is>
          <t>俯视3D</t>
        </is>
      </c>
      <c r="I34" s="392" t="inlineStr">
        <is>
          <t>default</t>
        </is>
      </c>
      <c r="J34" s="392" t="inlineStr">
        <is>
          <t>3D玩家下身配件</t>
        </is>
      </c>
      <c r="K34" s="392" t="inlineStr">
        <is>
          <t>原型已接入</t>
        </is>
      </c>
      <c r="L34" s="392" t="inlineStr">
        <is>
          <t>P0</t>
        </is>
      </c>
      <c r="M34" s="392" t="inlineStr">
        <is>
          <t>v021</t>
        </is>
      </c>
      <c r="N34" s="392" t="inlineStr">
        <is>
          <t>Marker3D；BodyJoint local=(0,0.14,0)</t>
        </is>
      </c>
      <c r="O34" s="392" t="inlineStr">
        <is>
          <t>assets/art/characters/player/chr_player_capsule01_3d/variants/bunny01/production/v021/runtime/chr_bunny01_root_v021.tscn</t>
        </is>
      </c>
      <c r="P34" s="392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34" s="392" t="inlineStr">
        <is>
          <t>下身挂点;腰部挂点;裙子;裙摆;腰甲;LowerBodySocket;lower_body</t>
        </is>
      </c>
      <c r="R34" s="392">
        <f>LOWER(TRIM(C34)&amp;"|"&amp;TRIM(D34)&amp;"|"&amp;TRIM(E34)&amp;"|"&amp;TRIM(F34)&amp;"|"&amp;TRIM(H34)&amp;"|"&amp;TRIM(I34))</f>
        <v/>
      </c>
      <c r="S34" s="392">
        <f>IF(COUNTIF($R$6:$R$36,R34)&gt;1,"重复","唯一")</f>
        <v/>
      </c>
      <c r="T34" s="392" t="inlineStr">
        <is>
          <t>e9cac2738d9fa586eed9f2e97a93ff220cab52b60d89f53f4cd80e38ebc9b6c4</t>
        </is>
      </c>
      <c r="U34" s="392" t="inlineStr">
        <is>
          <t>Codex</t>
        </is>
      </c>
      <c r="V34" s="348" t="n">
        <v>46264</v>
      </c>
      <c r="W34" s="392" t="inlineStr">
        <is>
          <t>原创程序挂点</t>
        </is>
      </c>
      <c r="X34" s="375" t="inlineStr">
        <is>
          <t>—</t>
        </is>
      </c>
      <c r="Y34" s="392" t="inlineStr">
        <is>
          <t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35">
      <c r="A35" s="392" t="inlineStr">
        <is>
          <t>CHR-PLAYER-AVATAR-TEMPLATE-001</t>
        </is>
      </c>
      <c r="B35" s="392" t="inlineStr">
        <is>
          <t>玩家角色1.5米制作母版</t>
        </is>
      </c>
      <c r="C35" s="392" t="inlineStr">
        <is>
          <t>角色</t>
        </is>
      </c>
      <c r="D35" s="392" t="inlineStr">
        <is>
          <t>authoring_template</t>
        </is>
      </c>
      <c r="E35" s="392" t="inlineStr">
        <is>
          <t>player_avatar_template</t>
        </is>
      </c>
      <c r="F35" s="392" t="inlineStr">
        <is>
          <t>root</t>
        </is>
      </c>
      <c r="G35" s="392" t="inlineStr">
        <is>
          <t>CHR-PLY-CAPSULE01</t>
        </is>
      </c>
      <c r="H35" s="392" t="inlineStr">
        <is>
          <t>全向3D</t>
        </is>
      </c>
      <c r="I35" s="392" t="inlineStr">
        <is>
          <t>template</t>
        </is>
      </c>
      <c r="J35" s="392" t="inlineStr">
        <is>
          <t>角色制作</t>
        </is>
      </c>
      <c r="K35" s="392" t="inlineStr">
        <is>
          <t>已完成</t>
        </is>
      </c>
      <c r="L35" s="392" t="inlineStr">
        <is>
          <t>P0</t>
        </is>
      </c>
      <c r="M35" s="392" t="inlineStr">
        <is>
          <t>v001</t>
        </is>
      </c>
      <c r="N35" s="392" t="inlineStr">
        <is>
          <t>1.50m；根缩放1</t>
        </is>
      </c>
      <c r="O35" s="392" t="inlineStr">
        <is>
          <t>assets/art/characters/player/chr_player_avatar_template_3d/source/chr_player_avatar_template_source_v001.blend</t>
        </is>
      </c>
      <c r="P35" s="392" t="inlineStr">
        <is>
          <t>scripts/blender/validate_player_avatar_asset_template.py</t>
        </is>
      </c>
      <c r="Q35" s="392" t="inlineStr">
        <is>
          <t>角色母版; 1.5米; 挂点; 配件</t>
        </is>
      </c>
      <c r="R35" s="392">
        <f>LOWER(TRIM(C35)&amp;"|"&amp;TRIM(D35)&amp;"|"&amp;TRIM(E35)&amp;"|"&amp;TRIM(F35)&amp;"|"&amp;TRIM(H35)&amp;"|"&amp;TRIM(I35))</f>
        <v/>
      </c>
      <c r="S35" s="392">
        <f>IF(COUNTIF($R$6:$R$36,R35)&gt;1,"重复","唯一")</f>
        <v/>
      </c>
      <c r="T35" s="392" t="inlineStr">
        <is>
          <t>8bb17309f5dac5a5b8c4d3917193042213c64ff566486abdfff0aeafdc893117</t>
        </is>
      </c>
      <c r="U35" s="392" t="inlineStr">
        <is>
          <t>Codex</t>
        </is>
      </c>
      <c r="V35" s="348" t="n">
        <v>46264</v>
      </c>
      <c r="W35" s="392" t="inlineStr">
        <is>
          <t>用户自制/项目内资产</t>
        </is>
      </c>
      <c r="X35" s="375" t="inlineStr">
        <is>
          <t>—</t>
        </is>
      </c>
      <c r="Y35" s="392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36">
      <c r="A36" t="inlineStr">
        <is>
          <t>CHR-PLY-BUNNY01-HEAD-CHIBI-ANIME-3D</t>
        </is>
      </c>
      <c r="B36" t="inlineStr">
        <is>
          <t>Bunny 二次元女仆头部配件</t>
        </is>
      </c>
      <c r="C36" t="inlineStr">
        <is>
          <t>角色</t>
        </is>
      </c>
      <c r="D36" t="inlineStr">
        <is>
          <t>头部配件</t>
        </is>
      </c>
      <c r="E36" t="inlineStr">
        <is>
          <t>chibi_anime</t>
        </is>
      </c>
      <c r="F36" t="inlineStr">
        <is>
          <t>head</t>
        </is>
      </c>
      <c r="G36" t="inlineStr">
        <is>
          <t>CHR-PLY-CAPSULE01-3D-BUNNY01</t>
        </is>
      </c>
      <c r="H36" t="inlineStr">
        <is>
          <t>3D</t>
        </is>
      </c>
      <c r="I36" t="inlineStr">
        <is>
          <t>default</t>
        </is>
      </c>
      <c r="J36" t="inlineStr">
        <is>
          <t>玩家换装</t>
        </is>
      </c>
      <c r="K36" t="inlineStr">
        <is>
          <t>原型已接入</t>
        </is>
      </c>
      <c r="L36" t="inlineStr">
        <is>
          <t>P1</t>
        </is>
      </c>
      <c r="M36" t="inlineStr">
        <is>
          <t>v021</t>
        </is>
      </c>
      <c r="N36" t="inlineStr">
        <is>
          <t>0.777×0.771×0.723m；HeadJoint 原点；root scale 1</t>
        </is>
      </c>
      <c r="O36" t="inlineStr">
        <is>
          <t>assets/art/characters/player/chr_player_capsule01_3d/variants/bunny01/production/v021/runtime/chr_bunny01_chibi_anime_root_v021.tscn</t>
        </is>
      </c>
      <c r="P36" t="inlineStr">
        <is>
          <t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36" t="inlineStr">
        <is>
          <t>chibi anime maid head</t>
        </is>
      </c>
      <c r="R36">
        <f>LOWER(TRIM(C36)&amp;"|"&amp;TRIM(D36)&amp;"|"&amp;TRIM(E36)&amp;"|"&amp;TRIM(F36)&amp;"|"&amp;TRIM(H36)&amp;"|"&amp;TRIM(I36))</f>
        <v/>
      </c>
      <c r="S36">
        <f>IF(COUNTIF($R$6:$R$36,R36)&gt;1,"重复","唯一")</f>
        <v/>
      </c>
      <c r="T36" t="inlineStr">
        <is>
          <t>7f01db18d3f93d33567589bdf93f3b966930df9221a571dea8cf99d0ca005d9c</t>
        </is>
      </c>
      <c r="U36" t="inlineStr">
        <is>
          <t>美术</t>
        </is>
      </c>
      <c r="V36" t="n">
        <v>46264</v>
      </c>
      <c r="W36" t="inlineStr">
        <is>
          <t>项目现有；原始模型商业使用许可须由项目方复核</t>
        </is>
      </c>
      <c r="X36" s="375" t="inlineStr">
        <is>
          <t>—</t>
        </is>
      </c>
      <c r="Y36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36"/>
  <mergeCells count="2">
    <mergeCell ref="A1:X2"/>
    <mergeCell ref="A3:X3"/>
  </mergeCells>
  <conditionalFormatting sqref="S6:S36">
    <cfRule type="containsText" priority="1" operator="containsText" dxfId="0" text="重复"/>
  </conditionalFormatting>
  <conditionalFormatting sqref="K6:K36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36" showDropDown="0" showInputMessage="0" showErrorMessage="0" allowBlank="1" type="list">
      <formula1>"角色,敌人,武器,道具,场景,场景道具,基地资产包,UI,特效,音频"</formula1>
    </dataValidation>
    <dataValidation sqref="K6:K36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36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2" customWidth="1" min="3" max="3"/>
    <col width="15" customWidth="1" min="4" max="4"/>
    <col width="44" customWidth="1" min="5" max="5"/>
    <col width="14" customWidth="1" min="6" max="6"/>
    <col width="34" customWidth="1" min="7" max="7"/>
    <col width="19" customWidth="1" min="8" max="8"/>
    <col width="6" customWidth="1" min="9" max="9"/>
    <col width="26" customWidth="1" min="10" max="10"/>
    <col width="20" customWidth="1" min="11" max="11"/>
    <col width="8" customWidth="1" min="12" max="12"/>
    <col width="42" customWidth="1" min="13" max="13"/>
  </cols>
  <sheetData>
    <row r="1" ht="25" customHeight="1">
      <c r="A1" s="3" t="inlineStr">
        <is>
          <t>角色组件与挂点契约</t>
        </is>
      </c>
    </row>
    <row r="2" ht="12" customHeight="1"/>
    <row r="3" ht="23" customHeight="1">
      <c r="A3" s="6" t="inlineStr">
        <is>
          <t>每个角色优先复用这些槽；允许缺少某槽，但禁止把手臂烘焙回 body，武器永远挂 weapon_socket</t>
        </is>
      </c>
    </row>
    <row r="5" ht="32" customHeight="1">
      <c r="A5" s="298" t="inlineStr">
        <is>
          <t>角色ID</t>
        </is>
      </c>
      <c r="B5" s="299" t="inlineStr">
        <is>
          <t>组件槽</t>
        </is>
      </c>
      <c r="C5" s="299" t="inlineStr">
        <is>
          <t>节点路径</t>
        </is>
      </c>
      <c r="D5" s="299" t="inlineStr">
        <is>
          <t>父槽</t>
        </is>
      </c>
      <c r="E5" s="299" t="inlineStr">
        <is>
          <t>纹理路径</t>
        </is>
      </c>
      <c r="F5" s="299" t="inlineStr">
        <is>
          <t>运行时尺寸</t>
        </is>
      </c>
      <c r="G5" s="299" t="inlineStr">
        <is>
          <t>局部位置</t>
        </is>
      </c>
      <c r="H5" s="299" t="inlineStr">
        <is>
          <t>旋转/翻转</t>
        </is>
      </c>
      <c r="I5" s="299" t="inlineStr">
        <is>
          <t>Z</t>
        </is>
      </c>
      <c r="J5" s="299" t="inlineStr">
        <is>
          <t>动画职责</t>
        </is>
      </c>
      <c r="K5" s="299" t="inlineStr">
        <is>
          <t>换装边界</t>
        </is>
      </c>
      <c r="L5" s="299" t="inlineStr">
        <is>
          <t>必需</t>
        </is>
      </c>
      <c r="M5" s="300" t="inlineStr">
        <is>
          <t>备注</t>
        </is>
      </c>
    </row>
    <row r="6">
      <c r="A6" s="301" t="inlineStr">
        <is>
          <t>player_capsule01</t>
        </is>
      </c>
      <c r="B6" s="301" t="inlineStr">
        <is>
          <t>body</t>
        </is>
      </c>
      <c r="C6" s="301" t="inlineStr">
        <is>
          <t>PixelComponents/Body</t>
        </is>
      </c>
      <c r="D6" s="301" t="inlineStr">
        <is>
          <t>root</t>
        </is>
      </c>
      <c r="E6" s="301" t="inlineStr">
        <is>
          <t>assets/art/characters/player/chr_player_capsule01/components/chr_player_capsule01_body_side_v001.png</t>
        </is>
      </c>
      <c r="F6" s="301" t="inlineStr">
        <is>
          <t>32×35</t>
        </is>
      </c>
      <c r="G6" s="301" t="inlineStr">
        <is>
          <t>(0, 7)</t>
        </is>
      </c>
      <c r="H6" s="301" t="inlineStr">
        <is>
          <t>随朝向 flip_h</t>
        </is>
      </c>
      <c r="I6" s="301" t="n">
        <v>1</v>
      </c>
      <c r="J6" s="301" t="inlineStr">
        <is>
          <t>呼吸/移动压缩/死亡倾倒</t>
        </is>
      </c>
      <c r="K6" s="301" t="inlineStr">
        <is>
          <t>防护服主体</t>
        </is>
      </c>
      <c r="L6" s="301" t="inlineStr">
        <is>
          <t>是</t>
        </is>
      </c>
      <c r="M6" s="301" t="inlineStr">
        <is>
          <t>已退役（2026-08-09）：旧2D节点/纹理/Marker2D已删除；仅作历史组件记录，禁止运行时引用。</t>
        </is>
      </c>
    </row>
    <row r="7">
      <c r="A7" s="138" t="inlineStr">
        <is>
          <t>player_capsule01</t>
        </is>
      </c>
      <c r="B7" s="138" t="inlineStr">
        <is>
          <t>scarf</t>
        </is>
      </c>
      <c r="C7" s="138" t="inlineStr">
        <is>
          <t>PixelComponents/Scarf</t>
        </is>
      </c>
      <c r="D7" s="138" t="inlineStr">
        <is>
          <t>root</t>
        </is>
      </c>
      <c r="E7" s="138" t="inlineStr">
        <is>
          <t>assets/art/characters/player/chr_player_capsule01/components/chr_player_capsule01_scarf_side_v001.png</t>
        </is>
      </c>
      <c r="F7" s="138" t="inlineStr">
        <is>
          <t>26×14</t>
        </is>
      </c>
      <c r="G7" s="138" t="inlineStr">
        <is>
          <t>(0, -8)</t>
        </is>
      </c>
      <c r="H7" s="138" t="inlineStr">
        <is>
          <t>flip_h + 轻摆</t>
        </is>
      </c>
      <c r="I7" s="138" t="n">
        <v>2</v>
      </c>
      <c r="J7" s="138" t="inlineStr">
        <is>
          <t>移动滞后/冲刺飘动</t>
        </is>
      </c>
      <c r="K7" s="138" t="inlineStr">
        <is>
          <t>身份配件</t>
        </is>
      </c>
      <c r="L7" s="138" t="inlineStr">
        <is>
          <t>否</t>
        </is>
      </c>
      <c r="M7" s="138" t="inlineStr">
        <is>
          <t>已退役（2026-08-09）：旧2D节点/纹理/Marker2D已删除；仅作历史组件记录，禁止运行时引用。</t>
        </is>
      </c>
    </row>
    <row r="8">
      <c r="A8" s="138" t="inlineStr">
        <is>
          <t>player_capsule01</t>
        </is>
      </c>
      <c r="B8" s="138" t="inlineStr">
        <is>
          <t>head</t>
        </is>
      </c>
      <c r="C8" s="138" t="inlineStr">
        <is>
          <t>PixelComponents/Head</t>
        </is>
      </c>
      <c r="D8" s="138" t="inlineStr">
        <is>
          <t>root</t>
        </is>
      </c>
      <c r="E8" s="138" t="inlineStr">
        <is>
          <t>assets/art/characters/player/chr_player_capsule01/components/chr_player_capsule01_head_side_v001.png</t>
        </is>
      </c>
      <c r="F8" s="138" t="inlineStr">
        <is>
          <t>28×24</t>
        </is>
      </c>
      <c r="G8" s="138" t="inlineStr">
        <is>
          <t>(0, -19)</t>
        </is>
      </c>
      <c r="H8" s="138" t="inlineStr">
        <is>
          <t>随朝向 flip_h</t>
        </is>
      </c>
      <c r="I8" s="138" t="n">
        <v>3</v>
      </c>
      <c r="J8" s="138" t="inlineStr">
        <is>
          <t>朝向/受击/死亡</t>
        </is>
      </c>
      <c r="K8" s="138" t="inlineStr">
        <is>
          <t>头壳/传感器</t>
        </is>
      </c>
      <c r="L8" s="138" t="inlineStr">
        <is>
          <t>是</t>
        </is>
      </c>
      <c r="M8" s="138" t="inlineStr">
        <is>
          <t>已退役（2026-08-09）：旧2D节点/纹理/Marker2D已删除；仅作历史组件记录，禁止运行时引用。</t>
        </is>
      </c>
    </row>
    <row r="9">
      <c r="A9" s="138" t="inlineStr">
        <is>
          <t>player_capsule01</t>
        </is>
      </c>
      <c r="B9" s="138" t="inlineStr">
        <is>
          <t>hand_l_source</t>
        </is>
      </c>
      <c r="C9" s="138" t="inlineStr">
        <is>
          <t>不实例化</t>
        </is>
      </c>
      <c r="D9" s="138" t="inlineStr">
        <is>
          <t>root</t>
        </is>
      </c>
      <c r="E9" s="138" t="inlineStr">
        <is>
          <t>assets/art/characters/player/chr_player_capsule01/components/chr_player_capsule01_hand_l_side_v001.png</t>
        </is>
      </c>
      <c r="F9" s="138" t="inlineStr">
        <is>
          <t>22×21</t>
        </is>
      </c>
      <c r="G9" s="138" t="inlineStr">
        <is>
          <t>不适用</t>
        </is>
      </c>
      <c r="H9" s="138" t="inlineStr">
        <is>
          <t>不适用</t>
        </is>
      </c>
      <c r="I9" s="138" t="n">
        <v>4</v>
      </c>
      <c r="J9" s="138" t="inlineStr">
        <is>
          <t>停用；仅保留源文件</t>
        </is>
      </c>
      <c r="K9" s="138" t="inlineStr">
        <is>
          <t>历史副手源</t>
        </is>
      </c>
      <c r="L9" s="138" t="inlineStr">
        <is>
          <t>否</t>
        </is>
      </c>
      <c r="M9" s="138" t="inlineStr">
        <is>
          <t>已退役（2026-08-09）：旧2D节点/纹理/Marker2D已删除；仅作历史组件记录，禁止运行时引用。</t>
        </is>
      </c>
    </row>
    <row r="10">
      <c r="A10" s="138" t="inlineStr">
        <is>
          <t>player_capsule01</t>
        </is>
      </c>
      <c r="B10" s="138" t="inlineStr">
        <is>
          <t>hand</t>
        </is>
      </c>
      <c r="C10" s="138" t="inlineStr">
        <is>
          <t>PixelComponents/Hand</t>
        </is>
      </c>
      <c r="D10" s="138" t="inlineStr">
        <is>
          <t>root</t>
        </is>
      </c>
      <c r="E10" s="138" t="inlineStr">
        <is>
          <t>assets/art/characters/player/chr_player_capsule01/components/chr_player_capsule01_hand_r_side_v001.png</t>
        </is>
      </c>
      <c r="F10" s="138" t="inlineStr">
        <is>
          <t>22×17</t>
        </is>
      </c>
      <c r="G10" s="138" t="inlineStr">
        <is>
          <t>(-19, 0)/(19, 0)</t>
        </is>
      </c>
      <c r="H10" s="138" t="inlineStr">
        <is>
          <t>随身体 flip_h；不连续旋转</t>
        </is>
      </c>
      <c r="I10" s="138" t="n">
        <v>5</v>
      </c>
      <c r="J10" s="138" t="inlineStr">
        <is>
          <t>随身体左右换边；局部距离固定</t>
        </is>
      </c>
      <c r="K10" s="138" t="inlineStr">
        <is>
          <t>唯一握持手</t>
        </is>
      </c>
      <c r="L10" s="138" t="inlineStr">
        <is>
          <t>是</t>
        </is>
      </c>
      <c r="M10" s="138" t="inlineStr">
        <is>
          <t>已退役（2026-08-09）：旧2D节点/纹理/Marker2D已删除；仅作历史组件记录，禁止运行时引用。</t>
        </is>
      </c>
    </row>
    <row r="11">
      <c r="A11" s="138" t="inlineStr">
        <is>
          <t>player_capsule01</t>
        </is>
      </c>
      <c r="B11" s="138" t="inlineStr">
        <is>
          <t>weapon_socket</t>
        </is>
      </c>
      <c r="C11" s="138" t="inlineStr">
        <is>
          <t>Player/WeaponAnchor</t>
        </is>
      </c>
      <c r="D11" s="138" t="inlineStr">
        <is>
          <t>player_root</t>
        </is>
      </c>
      <c r="E11" s="138" t="inlineStr">
        <is>
          <t>无纹理</t>
        </is>
      </c>
      <c r="F11" s="138" t="inlineStr">
        <is>
          <t>Marker2D</t>
        </is>
      </c>
      <c r="G11" s="138" t="inlineStr">
        <is>
          <t>(-24, 0)/(24, 0)</t>
        </is>
      </c>
      <c r="H11" s="138" t="inlineStr">
        <is>
          <t>挂点随身体换边；枪械跟随 aim_direction</t>
        </is>
      </c>
      <c r="I11" s="138" t="n">
        <v>6</v>
      </c>
      <c r="J11" s="138" t="inlineStr">
        <is>
          <t>枪械挂载/枪口特效</t>
        </is>
      </c>
      <c r="K11" s="138" t="inlineStr">
        <is>
          <t>武器系统</t>
        </is>
      </c>
      <c r="L11" s="138" t="inlineStr">
        <is>
          <t>是</t>
        </is>
      </c>
      <c r="M11" s="138" t="inlineStr">
        <is>
          <t>已退役（2026-08-09）：旧2D节点/纹理/Marker2D已删除；仅作历史组件记录，禁止运行时引用。</t>
        </is>
      </c>
    </row>
    <row r="12">
      <c r="A12" s="138" t="inlineStr">
        <is>
          <t>template</t>
        </is>
      </c>
      <c r="B12" s="138" t="inlineStr">
        <is>
          <t>accessory_back</t>
        </is>
      </c>
      <c r="C12" s="138" t="inlineStr">
        <is>
          <t>PixelComponents/AccessoryBack</t>
        </is>
      </c>
      <c r="D12" s="138" t="inlineStr">
        <is>
          <t>root</t>
        </is>
      </c>
      <c r="E12" s="138" t="inlineStr">
        <is>
          <t>按需</t>
        </is>
      </c>
      <c r="F12" s="138" t="inlineStr">
        <is>
          <t>按需</t>
        </is>
      </c>
      <c r="G12" s="138" t="inlineStr">
        <is>
          <t>按需</t>
        </is>
      </c>
      <c r="H12" s="138" t="inlineStr">
        <is>
          <t>随朝向</t>
        </is>
      </c>
      <c r="I12" s="138" t="n">
        <v>0</v>
      </c>
      <c r="J12" s="138" t="inlineStr">
        <is>
          <t>披风/背包/长围巾尾</t>
        </is>
      </c>
      <c r="K12" s="138" t="inlineStr">
        <is>
          <t>背部配件</t>
        </is>
      </c>
      <c r="L12" s="138" t="inlineStr">
        <is>
          <t>否</t>
        </is>
      </c>
      <c r="M12" s="138" t="inlineStr">
        <is>
          <t>避免与 body 合图</t>
        </is>
      </c>
    </row>
    <row r="13">
      <c r="A13" s="138" t="inlineStr">
        <is>
          <t>template</t>
        </is>
      </c>
      <c r="B13" s="138" t="inlineStr">
        <is>
          <t>accessory_front</t>
        </is>
      </c>
      <c r="C13" s="138" t="inlineStr">
        <is>
          <t>PixelComponents/AccessoryFront</t>
        </is>
      </c>
      <c r="D13" s="138" t="inlineStr">
        <is>
          <t>root</t>
        </is>
      </c>
      <c r="E13" s="138" t="inlineStr">
        <is>
          <t>按需</t>
        </is>
      </c>
      <c r="F13" s="138" t="inlineStr">
        <is>
          <t>按需</t>
        </is>
      </c>
      <c r="G13" s="138" t="inlineStr">
        <is>
          <t>按需</t>
        </is>
      </c>
      <c r="H13" s="138" t="inlineStr">
        <is>
          <t>随朝向</t>
        </is>
      </c>
      <c r="I13" s="138" t="n">
        <v>6</v>
      </c>
      <c r="J13" s="138" t="inlineStr">
        <is>
          <t>徽章/护盾/前景饰物</t>
        </is>
      </c>
      <c r="K13" s="138" t="inlineStr">
        <is>
          <t>前景配件</t>
        </is>
      </c>
      <c r="L13" s="138" t="inlineStr">
        <is>
          <t>否</t>
        </is>
      </c>
      <c r="M13" s="138" t="inlineStr">
        <is>
          <t>必要时高于双手</t>
        </is>
      </c>
    </row>
    <row r="14" ht="38" customHeight="1">
      <c r="A14" s="392" t="inlineStr">
        <is>
          <t>player_capsule01_3d</t>
        </is>
      </c>
      <c r="B14" s="392" t="inlineStr">
        <is>
          <t>root</t>
        </is>
      </c>
      <c r="C14" s="392" t="inlineStr">
        <is>
          <t>Avatar3D/CapsuleAvatar3D/VisualRoot</t>
        </is>
      </c>
      <c r="D14" s="392" t="inlineStr">
        <is>
          <t>player_root</t>
        </is>
      </c>
      <c r="E14" s="392" t="inlineStr">
        <is>
          <t>assets/art/characters/player/chr_player_capsule01_3d/chr_player_capsule01_root_top3d_v001.tscn</t>
        </is>
      </c>
      <c r="F14" s="392" t="inlineStr">
        <is>
          <t>Node3D</t>
        </is>
      </c>
      <c r="G14" s="392" t="inlineStr">
        <is>
          <t>(0,0,0)</t>
        </is>
      </c>
      <c r="H14" s="392" t="inlineStr">
        <is>
          <t>整体随准星绕Y轴</t>
        </is>
      </c>
      <c r="I14" s="392" t="n">
        <v>0</v>
      </c>
      <c r="J14" s="392" t="inlineStr">
        <is>
          <t>六态整体 + reloading/firing/charging/knockback覆盖</t>
        </is>
      </c>
      <c r="K14" s="392" t="inlineStr">
        <is>
          <t>3D表现根</t>
        </is>
      </c>
      <c r="L14" s="392" t="inlineStr">
        <is>
          <t>是</t>
        </is>
      </c>
      <c r="M14" s="392" t="inlineStr">
        <is>
          <t>正式3D表现根；旧2D胶囊已完成退役，不再属于兼容范围。</t>
        </is>
      </c>
    </row>
    <row r="15" ht="38" customHeight="1">
      <c r="A15" s="392" t="inlineStr">
        <is>
          <t>player_capsule01_3d</t>
        </is>
      </c>
      <c r="B15" s="392" t="inlineStr">
        <is>
          <t>body</t>
        </is>
      </c>
      <c r="C15" s="392" t="inlineStr">
        <is>
          <t>VisualRoot/Body</t>
        </is>
      </c>
      <c r="D15" s="392" t="inlineStr">
        <is>
          <t>root</t>
        </is>
      </c>
      <c r="E15" s="392" t="inlineStr">
        <is>
          <t>assets/art/characters/player/chr_player_capsule01_3d/chr_player_capsule01_root_top3d_v001.tscn</t>
        </is>
      </c>
      <c r="F15" s="392" t="inlineStr">
        <is>
          <t>BoxMesh + 子件</t>
        </is>
      </c>
      <c r="G15" s="392" t="inlineStr">
        <is>
          <t>(0,0.76,0.02)</t>
        </is>
      </c>
      <c r="H15" s="392" t="inlineStr">
        <is>
          <t>随root</t>
        </is>
      </c>
      <c r="I15" s="392" t="n">
        <v>1</v>
      </c>
      <c r="J15" s="392" t="inlineStr">
        <is>
          <t>呼吸/移动压缩/射击前探/死亡倾倒</t>
        </is>
      </c>
      <c r="K15" s="392" t="inlineStr">
        <is>
          <t>方形猫身</t>
        </is>
      </c>
      <c r="L15" s="392" t="inlineStr">
        <is>
          <t>是</t>
        </is>
      </c>
      <c r="M15" s="392" t="inlineStr">
        <is>
          <t>BodyShell + BellyPatch；方形主轮廓</t>
        </is>
      </c>
    </row>
    <row r="16" ht="38" customHeight="1">
      <c r="A16" s="392" t="inlineStr">
        <is>
          <t>player_capsule01_3d</t>
        </is>
      </c>
      <c r="B16" s="392" t="inlineStr">
        <is>
          <t>head</t>
        </is>
      </c>
      <c r="C16" s="392" t="inlineStr">
        <is>
          <t>VisualRoot/Head</t>
        </is>
      </c>
      <c r="D16" s="392" t="inlineStr">
        <is>
          <t>root</t>
        </is>
      </c>
      <c r="E16" s="392" t="inlineStr">
        <is>
          <t>assets/art/characters/player/chr_player_capsule01_3d/chr_player_capsule01_root_top3d_v001.tscn</t>
        </is>
      </c>
      <c r="F16" s="392" t="inlineStr">
        <is>
          <t>BoxMesh + 子件</t>
        </is>
      </c>
      <c r="G16" s="392" t="inlineStr">
        <is>
          <t>(0,1.72,-0.08)</t>
        </is>
      </c>
      <c r="H16" s="392" t="inlineStr">
        <is>
          <t>随root</t>
        </is>
      </c>
      <c r="I16" s="392" t="n">
        <v>3</v>
      </c>
      <c r="J16" s="392" t="inlineStr">
        <is>
          <t>移动反相滞后/后坐/受击/死亡</t>
        </is>
      </c>
      <c r="K16" s="392" t="inlineStr">
        <is>
          <t>方形猫头</t>
        </is>
      </c>
      <c r="L16" s="392" t="inlineStr">
        <is>
          <t>是</t>
        </is>
      </c>
      <c r="M16" s="392" t="inlineStr">
        <is>
          <t>无嘴无鼻；Eyes与Ears固定归Head</t>
        </is>
      </c>
    </row>
    <row r="17" ht="38" customHeight="1">
      <c r="A17" s="392" t="inlineStr">
        <is>
          <t>player_capsule01_3d</t>
        </is>
      </c>
      <c r="B17" s="392" t="inlineStr">
        <is>
          <t>hand</t>
        </is>
      </c>
      <c r="C17" s="392" t="inlineStr">
        <is>
          <t>VisualRoot/Hand</t>
        </is>
      </c>
      <c r="D17" s="392" t="inlineStr">
        <is>
          <t>root</t>
        </is>
      </c>
      <c r="E17" s="392" t="inlineStr">
        <is>
          <t>assets/art/characters/player/chr_player_capsule01_3d/chr_player_capsule01_root_top3d_v001.tscn</t>
        </is>
      </c>
      <c r="F17" s="392" t="inlineStr">
        <is>
          <t>BoxMesh</t>
        </is>
      </c>
      <c r="G17" s="392" t="inlineStr">
        <is>
          <t>(0.60,1.10,-0.30)</t>
        </is>
      </c>
      <c r="H17" s="392" t="inlineStr">
        <is>
          <t>随root；动作同相</t>
        </is>
      </c>
      <c r="I17" s="392" t="n">
        <v>4</v>
      </c>
      <c r="J17" s="392" t="inlineStr">
        <is>
          <t>移动/换弹/射击/蓄力/击飞保持握持</t>
        </is>
      </c>
      <c r="K17" s="392" t="inlineStr">
        <is>
          <t>唯一悬浮手</t>
        </is>
      </c>
      <c r="L17" s="392" t="inlineStr">
        <is>
          <t>是</t>
        </is>
      </c>
      <c r="M17" s="392" t="inlineStr">
        <is>
          <t>无手臂、无第二手；与WeaponSocket固定相对向量</t>
        </is>
      </c>
    </row>
    <row r="18" ht="38" customHeight="1">
      <c r="A18" s="392" t="inlineStr">
        <is>
          <t>player_capsule01_3d</t>
        </is>
      </c>
      <c r="B18" s="392" t="inlineStr">
        <is>
          <t>feet</t>
        </is>
      </c>
      <c r="C18" s="392" t="inlineStr">
        <is>
          <t>VisualRoot/Feet</t>
        </is>
      </c>
      <c r="D18" s="392" t="inlineStr">
        <is>
          <t>root</t>
        </is>
      </c>
      <c r="E18" s="392" t="inlineStr">
        <is>
          <t>assets/art/characters/player/chr_player_capsule01_3d/chr_player_capsule01_root_top3d_v001.tscn</t>
        </is>
      </c>
      <c r="F18" s="392" t="inlineStr">
        <is>
          <t>BoxMesh×2</t>
        </is>
      </c>
      <c r="G18" s="392" t="inlineStr">
        <is>
          <t>(0,0.22,-0.02)</t>
        </is>
      </c>
      <c r="H18" s="392" t="inlineStr">
        <is>
          <t>随root；FootL/R交替</t>
        </is>
      </c>
      <c r="I18" s="392" t="n">
        <v>1</v>
      </c>
      <c r="J18" s="392" t="inlineStr">
        <is>
          <t>moving交替抬脚；冲刺/受击/死亡随整体</t>
        </is>
      </c>
      <c r="K18" s="392" t="inlineStr">
        <is>
          <t>双脚主模块</t>
        </is>
      </c>
      <c r="L18" s="392" t="inlineStr">
        <is>
          <t>是</t>
        </is>
      </c>
      <c r="M18" s="392" t="inlineStr">
        <is>
          <t>FootL/FootR属于同一可替换Feet模块</t>
        </is>
      </c>
    </row>
    <row r="19" ht="38" customHeight="1">
      <c r="A19" s="392" t="inlineStr">
        <is>
          <t>player_capsule01_3d</t>
        </is>
      </c>
      <c r="B19" s="392" t="inlineStr">
        <is>
          <t>eyes</t>
        </is>
      </c>
      <c r="C19" s="392" t="inlineStr">
        <is>
          <t>VisualRoot/Head/Eyes</t>
        </is>
      </c>
      <c r="D19" s="392" t="inlineStr">
        <is>
          <t>head</t>
        </is>
      </c>
      <c r="E19" s="392" t="inlineStr">
        <is>
          <t>assets/art/characters/player/chr_player_capsule01_3d/chr_player_capsule01_root_top3d_v001.tscn</t>
        </is>
      </c>
      <c r="F19" s="392" t="inlineStr">
        <is>
          <t>BoxMesh×2</t>
        </is>
      </c>
      <c r="G19" s="392" t="inlineStr">
        <is>
          <t>(0,-0.03,-0.56)</t>
        </is>
      </c>
      <c r="H19" s="392" t="inlineStr">
        <is>
          <t>继承Head</t>
        </is>
      </c>
      <c r="I19" s="392" t="n">
        <v>4</v>
      </c>
      <c r="J19" s="392" t="inlineStr">
        <is>
          <t>随头部滞后/后坐/受击</t>
        </is>
      </c>
      <c r="K19" s="392" t="inlineStr">
        <is>
          <t>面部配件</t>
        </is>
      </c>
      <c r="L19" s="392" t="inlineStr">
        <is>
          <t>是</t>
        </is>
      </c>
      <c r="M19" s="392" t="inlineStr">
        <is>
          <t>EyeL/EyeR；深色窄矩形豆豆眼；无嘴</t>
        </is>
      </c>
    </row>
    <row r="20" ht="38" customHeight="1">
      <c r="A20" s="392" t="inlineStr">
        <is>
          <t>player_capsule01_3d</t>
        </is>
      </c>
      <c r="B20" s="392" t="inlineStr">
        <is>
          <t>ears</t>
        </is>
      </c>
      <c r="C20" s="392" t="inlineStr">
        <is>
          <t>VisualRoot/Head/Ears</t>
        </is>
      </c>
      <c r="D20" s="392" t="inlineStr">
        <is>
          <t>head</t>
        </is>
      </c>
      <c r="E20" s="392" t="inlineStr">
        <is>
          <t>assets/art/characters/player/chr_player_capsule01_3d/chr_player_capsule01_root_top3d_v001.tscn</t>
        </is>
      </c>
      <c r="F20" s="392" t="inlineStr">
        <is>
          <t>三边CylinderMesh×4</t>
        </is>
      </c>
      <c r="G20" s="392" t="inlineStr">
        <is>
          <t>沿Head顶部</t>
        </is>
      </c>
      <c r="H20" s="392" t="inlineStr">
        <is>
          <t>继承Head</t>
        </is>
      </c>
      <c r="I20" s="392" t="n">
        <v>4</v>
      </c>
      <c r="J20" s="392" t="inlineStr">
        <is>
          <t>随头部滞后/后坐/受击</t>
        </is>
      </c>
      <c r="K20" s="392" t="inlineStr">
        <is>
          <t>头部配件</t>
        </is>
      </c>
      <c r="L20" s="392" t="inlineStr">
        <is>
          <t>是</t>
        </is>
      </c>
      <c r="M20" s="392" t="inlineStr">
        <is>
          <t>EarL/EarR各含Inner；三角形语言</t>
        </is>
      </c>
    </row>
    <row r="21" ht="38" customHeight="1">
      <c r="A21" s="392" t="inlineStr">
        <is>
          <t>player_capsule01_3d</t>
        </is>
      </c>
      <c r="B21" s="392" t="inlineStr">
        <is>
          <t>tail_stub</t>
        </is>
      </c>
      <c r="C21" s="392" t="inlineStr">
        <is>
          <t>VisualRoot/Body/TailStub</t>
        </is>
      </c>
      <c r="D21" s="392" t="inlineStr">
        <is>
          <t>body</t>
        </is>
      </c>
      <c r="E21" s="392" t="inlineStr">
        <is>
          <t>assets/art/characters/player/chr_player_capsule01_3d/chr_player_capsule01_root_top3d_v001.tscn</t>
        </is>
      </c>
      <c r="F21" s="392" t="inlineStr">
        <is>
          <t>SphereMesh</t>
        </is>
      </c>
      <c r="G21" s="392" t="inlineStr">
        <is>
          <t>(-0.51,-0.02,0.24)</t>
        </is>
      </c>
      <c r="H21" s="392" t="inlineStr">
        <is>
          <t>继承Body + 轻摆</t>
        </is>
      </c>
      <c r="I21" s="392" t="n">
        <v>2</v>
      </c>
      <c r="J21" s="392" t="inlineStr">
        <is>
          <t>moving轻摆/弹性缩放</t>
        </is>
      </c>
      <c r="K21" s="392" t="inlineStr">
        <is>
          <t>身体配件</t>
        </is>
      </c>
      <c r="L21" s="392" t="inlineStr">
        <is>
          <t>是</t>
        </is>
      </c>
      <c r="M21" s="392" t="inlineStr">
        <is>
          <t>唯一圆形例外；短圆尾团，禁止长尾</t>
        </is>
      </c>
    </row>
    <row r="22" ht="38" customHeight="1">
      <c r="A22" s="392" t="inlineStr">
        <is>
          <t>player_capsule01_3d</t>
        </is>
      </c>
      <c r="B22" s="392" t="inlineStr">
        <is>
          <t>weapon_socket</t>
        </is>
      </c>
      <c r="C22" s="392" t="inlineStr">
        <is>
          <t>VisualRoot/WeaponSocket</t>
        </is>
      </c>
      <c r="D22" s="392" t="inlineStr">
        <is>
          <t>root</t>
        </is>
      </c>
      <c r="E22" s="392" t="inlineStr">
        <is>
          <t>无纹理</t>
        </is>
      </c>
      <c r="F22" s="392" t="inlineStr">
        <is>
          <t>Marker3D</t>
        </is>
      </c>
      <c r="G22" s="392" t="inlineStr">
        <is>
          <t>(0.60,1.15,-0.42)</t>
        </is>
      </c>
      <c r="H22" s="392" t="inlineStr">
        <is>
          <t>随root；动作同相</t>
        </is>
      </c>
      <c r="I22" s="392" t="n">
        <v>5</v>
      </c>
      <c r="J22" s="392" t="inlineStr">
        <is>
          <t>枪械挂载/枪口特效</t>
        </is>
      </c>
      <c r="K22" s="392" t="inlineStr">
        <is>
          <t>武器系统</t>
        </is>
      </c>
      <c r="L22" s="392" t="inlineStr">
        <is>
          <t>是</t>
        </is>
      </c>
      <c r="M22" s="392" t="inlineStr">
        <is>
          <t>与唯一手全动作固定局部关系；枪模layer 2</t>
        </is>
      </c>
    </row>
    <row r="23" ht="38" customHeight="1">
      <c r="A23" s="392" t="inlineStr">
        <is>
          <t>player_capsule01_3d</t>
        </is>
      </c>
      <c r="B23" s="392" t="inlineStr">
        <is>
          <t>reload_progress</t>
        </is>
      </c>
      <c r="C23" s="392" t="inlineStr">
        <is>
          <t>ReloadProgress3D</t>
        </is>
      </c>
      <c r="D23" s="392" t="inlineStr">
        <is>
          <t>player_root</t>
        </is>
      </c>
      <c r="E23" s="392" t="inlineStr">
        <is>
          <t>assets/art/characters/player/chr_player_capsule01_3d/chr_player_capsule01_root_top3d_v001.tscn</t>
        </is>
      </c>
      <c r="F23" s="392" t="inlineStr">
        <is>
          <t>QuadMesh×2</t>
        </is>
      </c>
      <c r="G23" s="392" t="inlineStr">
        <is>
          <t>(0,2.92,0.06)</t>
        </is>
      </c>
      <c r="H23" s="392" t="inlineStr">
        <is>
          <t>朝向相机；不随VisualRoot旋转</t>
        </is>
      </c>
      <c r="I23" s="392" t="n">
        <v>6</v>
      </c>
      <c r="J23" s="392" t="inlineStr">
        <is>
          <t>读取真实换弹进度</t>
        </is>
      </c>
      <c r="K23" s="392" t="inlineStr">
        <is>
          <t>状态UI子组件</t>
        </is>
      </c>
      <c r="L23" s="392" t="inlineStr">
        <is>
          <t>是</t>
        </is>
      </c>
      <c r="M23" s="392" t="inlineStr">
        <is>
          <t>高于猫耳；无独立计时器/SubViewport</t>
        </is>
      </c>
    </row>
    <row r="24" ht="38" customHeight="1">
      <c r="A24" s="392" t="inlineStr">
        <is>
          <t>player_capsule01_3d</t>
        </is>
      </c>
      <c r="B24" s="392" t="inlineStr">
        <is>
          <t>body_diy</t>
        </is>
      </c>
      <c r="C24" s="392" t="inlineStr">
        <is>
          <t>VisualRoot/Body</t>
        </is>
      </c>
      <c r="D24" s="392" t="inlineStr">
        <is>
          <t>root</t>
        </is>
      </c>
      <c r="E24" s="392" t="inlineStr">
        <is>
          <t>无独立纹理/程序材质</t>
        </is>
      </c>
      <c r="F24" s="392" t="inlineStr">
        <is>
          <t>4种配色</t>
        </is>
      </c>
      <c r="G24" s="392" t="inlineStr">
        <is>
          <t>沿Body</t>
        </is>
      </c>
      <c r="H24" s="392" t="inlineStr">
        <is>
          <t>随root</t>
        </is>
      </c>
      <c r="I24" s="392" t="n">
        <v>1</v>
      </c>
      <c r="J24" s="392" t="inlineStr">
        <is>
          <t>继承身体动态</t>
        </is>
      </c>
      <c r="K24" s="392" t="inlineStr">
        <is>
          <t>身体外观</t>
        </is>
      </c>
      <c r="L24" s="392" t="inlineStr">
        <is>
          <t>是</t>
        </is>
      </c>
      <c r="M24" s="392" t="inlineStr">
        <is>
          <t>cat_orange + 旧三色兼容</t>
        </is>
      </c>
    </row>
    <row r="25" ht="38" customHeight="1">
      <c r="A25" s="392" t="inlineStr">
        <is>
          <t>player_capsule01_3d</t>
        </is>
      </c>
      <c r="B25" s="392" t="inlineStr">
        <is>
          <t>head_diy</t>
        </is>
      </c>
      <c r="C25" s="392" t="inlineStr">
        <is>
          <t>VisualRoot/Head</t>
        </is>
      </c>
      <c r="D25" s="392" t="inlineStr">
        <is>
          <t>root</t>
        </is>
      </c>
      <c r="E25" s="392" t="inlineStr">
        <is>
          <t>无独立纹理/程序材质</t>
        </is>
      </c>
      <c r="F25" s="392" t="inlineStr">
        <is>
          <t>4种配色</t>
        </is>
      </c>
      <c r="G25" s="392" t="inlineStr">
        <is>
          <t>沿Head</t>
        </is>
      </c>
      <c r="H25" s="392" t="inlineStr">
        <is>
          <t>随root</t>
        </is>
      </c>
      <c r="I25" s="392" t="n">
        <v>3</v>
      </c>
      <c r="J25" s="392" t="inlineStr">
        <is>
          <t>继承头部动态</t>
        </is>
      </c>
      <c r="K25" s="392" t="inlineStr">
        <is>
          <t>头部外观</t>
        </is>
      </c>
      <c r="L25" s="392" t="inlineStr">
        <is>
          <t>是</t>
        </is>
      </c>
      <c r="M25" s="392" t="inlineStr">
        <is>
          <t>cat_orange + 旧三色兼容；双眼/双耳节点不变</t>
        </is>
      </c>
    </row>
    <row r="26" ht="38" customHeight="1">
      <c r="A26" s="392" t="inlineStr">
        <is>
          <t>player_capsule01_3d</t>
        </is>
      </c>
      <c r="B26" s="392" t="inlineStr">
        <is>
          <t>hand_diy</t>
        </is>
      </c>
      <c r="C26" s="392" t="inlineStr">
        <is>
          <t>VisualRoot/Hand</t>
        </is>
      </c>
      <c r="D26" s="392" t="inlineStr">
        <is>
          <t>root</t>
        </is>
      </c>
      <c r="E26" s="392" t="inlineStr">
        <is>
          <t>无独立纹理/程序材质</t>
        </is>
      </c>
      <c r="F26" s="392" t="inlineStr">
        <is>
          <t>4种配色</t>
        </is>
      </c>
      <c r="G26" s="392" t="inlineStr">
        <is>
          <t>(0.60,1.10,-0.30)</t>
        </is>
      </c>
      <c r="H26" s="392" t="inlineStr">
        <is>
          <t>随root+同相动作</t>
        </is>
      </c>
      <c r="I26" s="392" t="n">
        <v>4</v>
      </c>
      <c r="J26" s="392" t="inlineStr">
        <is>
          <t>抓握压缩；与socket同相</t>
        </is>
      </c>
      <c r="K26" s="392" t="inlineStr">
        <is>
          <t>唯一手外观</t>
        </is>
      </c>
      <c r="L26" s="392" t="inlineStr">
        <is>
          <t>是</t>
        </is>
      </c>
      <c r="M26" s="392" t="inlineStr">
        <is>
          <t>cat_orange + 旧三色兼容</t>
        </is>
      </c>
    </row>
    <row r="27" ht="38" customHeight="1">
      <c r="A27" s="392" t="inlineStr">
        <is>
          <t>player_capsule01_3d</t>
        </is>
      </c>
      <c r="B27" s="392" t="inlineStr">
        <is>
          <t>feet_diy</t>
        </is>
      </c>
      <c r="C27" s="392" t="inlineStr">
        <is>
          <t>VisualRoot/Feet</t>
        </is>
      </c>
      <c r="D27" s="392" t="inlineStr">
        <is>
          <t>root</t>
        </is>
      </c>
      <c r="E27" s="392" t="inlineStr">
        <is>
          <t>无独立纹理/程序材质</t>
        </is>
      </c>
      <c r="F27" s="392" t="inlineStr">
        <is>
          <t>4种配色</t>
        </is>
      </c>
      <c r="G27" s="392" t="inlineStr">
        <is>
          <t>沿Feet</t>
        </is>
      </c>
      <c r="H27" s="392" t="inlineStr">
        <is>
          <t>随root+交替步态</t>
        </is>
      </c>
      <c r="I27" s="392" t="n">
        <v>1</v>
      </c>
      <c r="J27" s="392" t="inlineStr">
        <is>
          <t>FootL/R交替抬起</t>
        </is>
      </c>
      <c r="K27" s="392" t="inlineStr">
        <is>
          <t>脚部外观</t>
        </is>
      </c>
      <c r="L27" s="392" t="inlineStr">
        <is>
          <t>是</t>
        </is>
      </c>
      <c r="M27" s="392" t="inlineStr">
        <is>
          <t>cat_orange / boot_sand / boot_cobalt / boot_teal</t>
        </is>
      </c>
    </row>
    <row r="28" ht="38" customHeight="1">
      <c r="A28" s="392" t="inlineStr">
        <is>
          <t>player_capsule01_3d</t>
        </is>
      </c>
      <c r="B28" s="392" t="inlineStr">
        <is>
          <t>hat</t>
        </is>
      </c>
      <c r="C28" s="392" t="inlineStr">
        <is>
          <t>VisualRoot/Head/Wearables/Hat*</t>
        </is>
      </c>
      <c r="D28" s="392" t="inlineStr">
        <is>
          <t>head</t>
        </is>
      </c>
      <c r="E28" s="392" t="inlineStr">
        <is>
          <t>无独立纹理/程序网格</t>
        </is>
      </c>
      <c r="F28" s="392" t="inlineStr">
        <is>
          <t>3种帽型</t>
        </is>
      </c>
      <c r="G28" s="392" t="inlineStr">
        <is>
          <t>沿Head</t>
        </is>
      </c>
      <c r="H28" s="392" t="inlineStr">
        <is>
          <t>继承Head</t>
        </is>
      </c>
      <c r="I28" s="392" t="n">
        <v>5</v>
      </c>
      <c r="J28" s="392" t="inlineStr">
        <is>
          <t>头部滞后/受击/死亡</t>
        </is>
      </c>
      <c r="K28" s="392" t="inlineStr">
        <is>
          <t>头部外戴件</t>
        </is>
      </c>
      <c r="L28" s="392" t="inlineStr">
        <is>
          <t>否</t>
        </is>
      </c>
      <c r="M28" s="392" t="inlineStr">
        <is>
          <t>可选；layer2，禁投影/GI；不得替代猫耳节点</t>
        </is>
      </c>
    </row>
    <row r="29" ht="38" customHeight="1">
      <c r="A29" s="392" t="inlineStr">
        <is>
          <t>player_capsule01_3d</t>
        </is>
      </c>
      <c r="B29" s="392" t="inlineStr">
        <is>
          <t>glasses</t>
        </is>
      </c>
      <c r="C29" s="392" t="inlineStr">
        <is>
          <t>VisualRoot/Head/Wearables/Glasses*</t>
        </is>
      </c>
      <c r="D29" s="392" t="inlineStr">
        <is>
          <t>head</t>
        </is>
      </c>
      <c r="E29" s="392" t="inlineStr">
        <is>
          <t>无独立纹理/程序网格</t>
        </is>
      </c>
      <c r="F29" s="392" t="inlineStr">
        <is>
          <t>3种护目件</t>
        </is>
      </c>
      <c r="G29" s="392" t="inlineStr">
        <is>
          <t>沿Head前侧</t>
        </is>
      </c>
      <c r="H29" s="392" t="inlineStr">
        <is>
          <t>继承Head</t>
        </is>
      </c>
      <c r="I29" s="392" t="n">
        <v>5</v>
      </c>
      <c r="J29" s="392" t="inlineStr">
        <is>
          <t>头部滞后/受击/死亡</t>
        </is>
      </c>
      <c r="K29" s="392" t="inlineStr">
        <is>
          <t>护目件</t>
        </is>
      </c>
      <c r="L29" s="392" t="inlineStr">
        <is>
          <t>否</t>
        </is>
      </c>
      <c r="M29" s="392" t="inlineStr">
        <is>
          <t>可选；layer2；允许太阳/室内灯外部投影；玩家三灯不产生自身投影；GI禁用。</t>
        </is>
      </c>
    </row>
    <row r="30" ht="38" customHeight="1">
      <c r="A30" s="392" t="inlineStr">
        <is>
          <t>player_capsule01_3d</t>
        </is>
      </c>
      <c r="B30" s="392" t="inlineStr">
        <is>
          <t>scarf_legacy</t>
        </is>
      </c>
      <c r="C30" s="392" t="inlineStr">
        <is>
          <t>VisualRoot/Scarf</t>
        </is>
      </c>
      <c r="D30" s="392" t="inlineStr">
        <is>
          <t>root</t>
        </is>
      </c>
      <c r="E30" s="392" t="inlineStr">
        <is>
          <t>assets/art/characters/player/chr_player_capsule01_3d/chr_player_capsule01_root_top3d_v001.tscn</t>
        </is>
      </c>
      <c r="F30" s="392" t="inlineStr">
        <is>
          <t>隐藏兼容节点</t>
        </is>
      </c>
      <c r="G30" s="392" t="inlineStr">
        <is>
          <t>(0,1.32,0)</t>
        </is>
      </c>
      <c r="H30" s="392" t="inlineStr">
        <is>
          <t>随root</t>
        </is>
      </c>
      <c r="I30" s="392" t="n">
        <v>2</v>
      </c>
      <c r="J30" s="392" t="inlineStr">
        <is>
          <t>不参与当前轮廓</t>
        </is>
      </c>
      <c r="K30" s="392" t="inlineStr">
        <is>
          <t>旧场景兼容</t>
        </is>
      </c>
      <c r="L30" s="392" t="inlineStr">
        <is>
          <t>否</t>
        </is>
      </c>
      <c r="M30" s="392" t="inlineStr">
        <is>
          <t>可选；layer2；允许太阳/室内灯外部投影；玩家三灯不产生自身投影；GI禁用。</t>
        </is>
      </c>
    </row>
    <row r="31" ht="104" customHeight="1">
      <c r="A31" s="364" t="inlineStr">
        <is>
          <t>player_capsule01_bunny01_3d</t>
        </is>
      </c>
      <c r="B31" s="364" t="inlineStr">
        <is>
          <t>root</t>
        </is>
      </c>
      <c r="C31" s="364" t="inlineStr">
        <is>
          <t>Avatar3D/VisualRoot/BunnyRig</t>
        </is>
      </c>
      <c r="D31" s="364" t="inlineStr">
        <is>
          <t>player_root</t>
        </is>
      </c>
      <c r="E31" s="364" t="inlineStr">
        <is>
          <t>assets/art/characters/player/chr_player_capsule01_3d/variants/bunny01/production/v021/runtime/chr_bunny01_root_v021.tscn</t>
        </is>
      </c>
      <c r="F31" s="364" t="inlineStr">
        <is>
          <t>刚性分件骨动作适配；创作高1.5m，运行可见高1.05m；玩法碰撞独立。</t>
        </is>
      </c>
      <c r="G31" s="364" t="inlineStr">
        <is>
          <t>(0,0,0)</t>
        </is>
      </c>
      <c r="H31" s="364" t="inlineStr">
        <is>
          <t>整体随准星绕Y轴</t>
        </is>
      </c>
      <c r="I31" s="364" t="n">
        <v>0</v>
      </c>
      <c r="J31" s="364" t="inlineStr">
        <is>
          <t>八态整体 + falling收束/landing压缩回弹 + 动作覆盖</t>
        </is>
      </c>
      <c r="K31" s="364" t="inlineStr">
        <is>
          <t>Godot骨架根</t>
        </is>
      </c>
      <c r="L31" s="364" t="inlineStr">
        <is>
          <t>是</t>
        </is>
      </c>
      <c r="M31" s="364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4" customHeight="1">
      <c r="A32" s="364" t="inlineStr">
        <is>
          <t>player_capsule01_bunny01_3d</t>
        </is>
      </c>
      <c r="B32" s="364" t="inlineStr">
        <is>
          <t>body</t>
        </is>
      </c>
      <c r="C32" s="364" t="inlineStr">
        <is>
          <t>VisualRoot/BunnyRig/BodyJoint/Model</t>
        </is>
      </c>
      <c r="D32" s="364" t="inlineStr">
        <is>
          <t>BunnyRig</t>
        </is>
      </c>
      <c r="E32" s="364" t="inlineStr">
        <is>
          <t>assets/art/characters/player/chr_player_capsule01_3d/variants/bunny01/production/v021/exports/chr_bunny01_body_v021.glb</t>
        </is>
      </c>
      <c r="F32" s="364" t="inlineStr">
        <is>
          <t>pivot-local GLB / 1.5m比例</t>
        </is>
      </c>
      <c r="G32" s="364" t="inlineStr">
        <is>
          <t>(-0.000030,0.155022,-0.000635)</t>
        </is>
      </c>
      <c r="H32" s="364" t="inlineStr">
        <is>
          <t>BodyJoint</t>
        </is>
      </c>
      <c r="I32" s="364" t="n">
        <v>1</v>
      </c>
      <c r="J32" s="364" t="inlineStr">
        <is>
          <t>呼吸/移动挤压/突进翻滚/受击</t>
        </is>
      </c>
      <c r="K32" s="364" t="inlineStr">
        <is>
          <t>身体组件</t>
        </is>
      </c>
      <c r="L32" s="364" t="inlineStr">
        <is>
          <t>是</t>
        </is>
      </c>
      <c r="M32" s="364" t="inlineStr">
        <is>
          <t>v021：body 兼容部件原点导出；共享模型/动作骨架；状态 active。</t>
        </is>
      </c>
    </row>
    <row r="33" ht="104" customHeight="1">
      <c r="A33" s="364" t="inlineStr">
        <is>
          <t>player_capsule01_bunny01_3d</t>
        </is>
      </c>
      <c r="B33" s="364" t="inlineStr">
        <is>
          <t>head</t>
        </is>
      </c>
      <c r="C33" s="364" t="inlineStr">
        <is>
          <t>VisualRoot/BunnyRig/HeadJoint/Model</t>
        </is>
      </c>
      <c r="D33" s="364" t="inlineStr">
        <is>
          <t>BunnyRig</t>
        </is>
      </c>
      <c r="E33" s="364" t="inlineStr">
        <is>
          <t>assets/art/characters/player/chr_player_capsule01_3d/variants/bunny01/production/v021/exports/chr_bunny01_head_v021.glb</t>
        </is>
      </c>
      <c r="F33" s="364" t="inlineStr">
        <is>
          <t>pivot-local GLB / 1.5m比例</t>
        </is>
      </c>
      <c r="G33" s="364" t="inlineStr">
        <is>
          <t>(-0.000028,0.477110,0.026431)</t>
        </is>
      </c>
      <c r="H33" s="364" t="inlineStr">
        <is>
          <t>HeadJoint</t>
        </is>
      </c>
      <c r="I33" s="364" t="n">
        <v>3</v>
      </c>
      <c r="J33" s="364" t="inlineStr">
        <is>
          <t>移动反相滞后/后坐/受击甩头</t>
        </is>
      </c>
      <c r="K33" s="364" t="inlineStr">
        <is>
          <t>头部组件</t>
        </is>
      </c>
      <c r="L33" s="364" t="inlineStr">
        <is>
          <t>是</t>
        </is>
      </c>
      <c r="M33" s="364" t="inlineStr">
        <is>
          <t>v021：head 兼容部件原点导出；共享模型/动作骨架；状态 active。</t>
        </is>
      </c>
    </row>
    <row r="34" ht="104" customHeight="1">
      <c r="A34" s="364" t="inlineStr">
        <is>
          <t>player_capsule01_bunny01_3d</t>
        </is>
      </c>
      <c r="B34" s="364" t="inlineStr">
        <is>
          <t>ear_l</t>
        </is>
      </c>
      <c r="C34" s="364" t="inlineStr">
        <is>
          <t>VisualRoot/BunnyRig/HeadJoint/Ears/EarSocketL/EarAccessory</t>
        </is>
      </c>
      <c r="D34" s="364" t="inlineStr">
        <is>
          <t>head</t>
        </is>
      </c>
      <c r="E34" s="364" t="inlineStr">
        <is>
          <t>assets/art/characters/player/chr_player_capsule01_3d/variants/bunny01/production/v021/exports/chr_bunny01_ear_l_v021.glb</t>
        </is>
      </c>
      <c r="F34" s="364" t="inlineStr">
        <is>
          <t>骨局部 GLB / 左耳独立网格</t>
        </is>
      </c>
      <c r="G34" s="364" t="inlineStr">
        <is>
          <t>Head local (-0.245056,0.499653,-0.001671)</t>
        </is>
      </c>
      <c r="H34" s="364" t="inlineStr">
        <is>
          <t>继承HeadJoint</t>
        </is>
      </c>
      <c r="I34" s="364" t="n">
        <v>4</v>
      </c>
      <c r="J34" s="364" t="inlineStr">
        <is>
          <t>移动跟随/冲刺后压/受击收耳</t>
        </is>
      </c>
      <c r="K34" s="364" t="inlineStr">
        <is>
          <t>头部配件</t>
        </is>
      </c>
      <c r="L34" s="364" t="inlineStr">
        <is>
          <t>是</t>
        </is>
      </c>
      <c r="M34" s="364" t="inlineStr">
        <is>
          <t>v021：ear_l 兼容部件原点导出；共享模型/动作骨架；状态 active。</t>
        </is>
      </c>
    </row>
    <row r="35" ht="104" customHeight="1">
      <c r="A35" s="364" t="inlineStr">
        <is>
          <t>player_capsule01_bunny01_3d</t>
        </is>
      </c>
      <c r="B35" s="364" t="inlineStr">
        <is>
          <t>ear_r</t>
        </is>
      </c>
      <c r="C35" s="364" t="inlineStr">
        <is>
          <t>VisualRoot/BunnyRig/HeadJoint/Ears/EarSocketR/EarAccessory</t>
        </is>
      </c>
      <c r="D35" s="364" t="inlineStr">
        <is>
          <t>head</t>
        </is>
      </c>
      <c r="E35" s="364" t="inlineStr">
        <is>
          <t>assets/art/characters/player/chr_player_capsule01_3d/variants/bunny01/production/v021/exports/chr_bunny01_ear_r_v021.glb</t>
        </is>
      </c>
      <c r="F35" s="364" t="inlineStr">
        <is>
          <t>骨局部 GLB / 右耳独立网格</t>
        </is>
      </c>
      <c r="G35" s="364" t="inlineStr">
        <is>
          <t>Head local (0.245112,0.499653,-0.001671)</t>
        </is>
      </c>
      <c r="H35" s="364" t="inlineStr">
        <is>
          <t>继承HeadJoint</t>
        </is>
      </c>
      <c r="I35" s="364" t="n">
        <v>4</v>
      </c>
      <c r="J35" s="364" t="inlineStr">
        <is>
          <t>移动跟随/冲刺后压/受击收耳</t>
        </is>
      </c>
      <c r="K35" s="364" t="inlineStr">
        <is>
          <t>头部配件</t>
        </is>
      </c>
      <c r="L35" s="364" t="inlineStr">
        <is>
          <t>是</t>
        </is>
      </c>
      <c r="M35" s="364" t="inlineStr">
        <is>
          <t>v021：ear_r 兼容部件原点导出；共享模型/动作骨架；状态 active。</t>
        </is>
      </c>
    </row>
    <row r="36" ht="104" customHeight="1">
      <c r="A36" s="364" t="inlineStr">
        <is>
          <t>player_capsule01_bunny01_3d</t>
        </is>
      </c>
      <c r="B36" s="364" t="inlineStr">
        <is>
          <t>hand_l</t>
        </is>
      </c>
      <c r="C36" s="364" t="inlineStr">
        <is>
          <t>VisualRoot/BunnyRig/HandRoot/HandJointL/Model</t>
        </is>
      </c>
      <c r="D36" s="364" t="inlineStr">
        <is>
          <t>BunnyRig</t>
        </is>
      </c>
      <c r="E36" s="364" t="inlineStr">
        <is>
          <t>assets/art/characters/player/chr_player_capsule01_3d/variants/bunny01/production/v021/exports/chr_bunny01_hand_l_v021.glb</t>
        </is>
      </c>
      <c r="F36" s="364" t="inlineStr">
        <is>
          <t>pivot-local GLB / 1.5m比例</t>
        </is>
      </c>
      <c r="G36" s="364" t="inlineStr">
        <is>
          <t>Authored (-0.285833,0.321773,-0.014435); sidearm ready (-0.145455,0.333333,-0.351515); longgun support (0.121212,0.315152,-0.387879)</t>
        </is>
      </c>
      <c r="H36" s="364" t="inlineStr">
        <is>
          <t>HandRoot 独立左腕</t>
        </is>
      </c>
      <c r="I36" s="364" t="n">
        <v>4</v>
      </c>
      <c r="J36" s="364" t="inlineStr">
        <is>
          <t>手枪待机前伸警戒/移动自由摆臂；长枪托举；换弹服务；双手枪后坐</t>
        </is>
      </c>
      <c r="K36" s="364" t="inlineStr">
        <is>
          <t>左手组件</t>
        </is>
      </c>
      <c r="L36" s="364" t="inlineStr">
        <is>
          <t>是</t>
        </is>
      </c>
      <c r="M36" s="364" t="inlineStr">
        <is>
          <t>v021：hand_l 兼容部件原点导出；共享模型/动作骨架；状态 active。</t>
        </is>
      </c>
    </row>
    <row r="37" ht="104" customHeight="1">
      <c r="A37" s="364" t="inlineStr">
        <is>
          <t>player_capsule01_bunny01_3d</t>
        </is>
      </c>
      <c r="B37" s="364" t="inlineStr">
        <is>
          <t>hand_r</t>
        </is>
      </c>
      <c r="C37" s="364" t="inlineStr">
        <is>
          <t>VisualRoot/BunnyRig/HandRoot/HandJointR/Model</t>
        </is>
      </c>
      <c r="D37" s="364" t="inlineStr">
        <is>
          <t>BunnyRig</t>
        </is>
      </c>
      <c r="E37" s="364" t="inlineStr">
        <is>
          <t>assets/art/characters/player/chr_player_capsule01_3d/variants/bunny01/production/v021/exports/chr_bunny01_hand_r_v021.glb</t>
        </is>
      </c>
      <c r="F37" s="364" t="inlineStr">
        <is>
          <t>pivot-local GLB / 1.5m比例</t>
        </is>
      </c>
      <c r="G37" s="364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364" t="inlineStr">
        <is>
          <t>HandRoot 独立右腕 / WeaponSocket 跟随</t>
        </is>
      </c>
      <c r="I37" s="364" t="n">
        <v>4</v>
      </c>
      <c r="J37" s="364" t="inlineStr">
        <is>
          <t>手枪/长枪主握把；掌球中心锁定握把；待机低位警戒；独立跑步；武器差异射击后坐</t>
        </is>
      </c>
      <c r="K37" s="364" t="inlineStr">
        <is>
          <t>右手组件</t>
        </is>
      </c>
      <c r="L37" s="364" t="inlineStr">
        <is>
          <t>是</t>
        </is>
      </c>
      <c r="M37" s="364" t="inlineStr">
        <is>
          <t>v021：hand_r 兼容部件原点导出；共享模型/动作骨架；状态 active。</t>
        </is>
      </c>
    </row>
    <row r="38" ht="104" customHeight="1">
      <c r="A38" s="364" t="inlineStr">
        <is>
          <t>player_capsule01_bunny01_3d</t>
        </is>
      </c>
      <c r="B38" s="364" t="inlineStr">
        <is>
          <t>foot_l</t>
        </is>
      </c>
      <c r="C38" s="364" t="inlineStr">
        <is>
          <t>VisualRoot/BunnyRig/FeetRoot/FootJointL/Model</t>
        </is>
      </c>
      <c r="D38" s="364" t="inlineStr">
        <is>
          <t>FeetRoot</t>
        </is>
      </c>
      <c r="E38" s="364" t="inlineStr">
        <is>
          <t>assets/art/characters/player/chr_player_capsule01_3d/variants/bunny01/production/v021/exports/chr_bunny01_foot_l_v021.glb</t>
        </is>
      </c>
      <c r="F38" s="364" t="inlineStr">
        <is>
          <t>pivot-local GLB / 1.5m比例</t>
        </is>
      </c>
      <c r="G38" s="364" t="inlineStr">
        <is>
          <t>(-0.129002,0,-0.010887)</t>
        </is>
      </c>
      <c r="H38" s="364" t="inlineStr">
        <is>
          <t>独立FootJointL</t>
        </is>
      </c>
      <c r="I38" s="364" t="n">
        <v>1</v>
      </c>
      <c r="J38" s="364" t="inlineStr">
        <is>
          <t>moving左脚/翻滚收腿/受击甩脚/falling收腿/landing压缩</t>
        </is>
      </c>
      <c r="K38" s="364" t="inlineStr">
        <is>
          <t>左脚组件</t>
        </is>
      </c>
      <c r="L38" s="364" t="inlineStr">
        <is>
          <t>是</t>
        </is>
      </c>
      <c r="M38" s="364" t="inlineStr">
        <is>
          <t>v021：foot_l 兼容部件原点导出；共享模型/动作骨架；状态 active。</t>
        </is>
      </c>
    </row>
    <row r="39" ht="104" customHeight="1">
      <c r="A39" s="364" t="inlineStr">
        <is>
          <t>player_capsule01_bunny01_3d</t>
        </is>
      </c>
      <c r="B39" s="364" t="inlineStr">
        <is>
          <t>foot_r</t>
        </is>
      </c>
      <c r="C39" s="364" t="inlineStr">
        <is>
          <t>VisualRoot/BunnyRig/FeetRoot/FootJointR/Model</t>
        </is>
      </c>
      <c r="D39" s="364" t="inlineStr">
        <is>
          <t>FeetRoot</t>
        </is>
      </c>
      <c r="E39" s="364" t="inlineStr">
        <is>
          <t>assets/art/characters/player/chr_player_capsule01_3d/variants/bunny01/production/v021/exports/chr_bunny01_foot_r_v021.glb</t>
        </is>
      </c>
      <c r="F39" s="364" t="inlineStr">
        <is>
          <t>pivot-local GLB / 1.5m比例</t>
        </is>
      </c>
      <c r="G39" s="364" t="inlineStr">
        <is>
          <t>(0.129002,0,-0.010887)</t>
        </is>
      </c>
      <c r="H39" s="364" t="inlineStr">
        <is>
          <t>独立FootJointR</t>
        </is>
      </c>
      <c r="I39" s="364" t="n">
        <v>1</v>
      </c>
      <c r="J39" s="364" t="inlineStr">
        <is>
          <t>moving右脚/翻滚收腿/受击甩脚/falling收腿/landing压缩</t>
        </is>
      </c>
      <c r="K39" s="364" t="inlineStr">
        <is>
          <t>右脚组件</t>
        </is>
      </c>
      <c r="L39" s="364" t="inlineStr">
        <is>
          <t>是</t>
        </is>
      </c>
      <c r="M39" s="364" t="inlineStr">
        <is>
          <t>v021：foot_r 兼容部件原点导出；共享模型/动作骨架；状态 active。</t>
        </is>
      </c>
    </row>
    <row r="40">
      <c r="A40" t="inlineStr">
        <is>
          <t>player_capsule01_3d</t>
        </is>
      </c>
      <c r="B40" t="inlineStr">
        <is>
          <t>weapon_stow_primary</t>
        </is>
      </c>
      <c r="C40" t="inlineStr">
        <is>
          <t>VisualRoot/BunnyRig/StowedWeaponSocketPrimary</t>
        </is>
      </c>
      <c r="D40" t="inlineStr">
        <is>
          <t>root</t>
        </is>
      </c>
      <c r="E40" t="inlineStr">
        <is>
          <t>无纹理</t>
        </is>
      </c>
      <c r="F40" t="inlineStr">
        <is>
          <t>Marker3D</t>
        </is>
      </c>
      <c r="G40" t="inlineStr">
        <is>
          <t>(-0.42,1.12,0.25)</t>
        </is>
      </c>
      <c r="H40" t="inlineStr">
        <is>
          <t>随root；local -Z枪口轴转向世界下方</t>
        </is>
      </c>
      <c r="I40" t="inlineStr">
        <is>
          <t>5</t>
        </is>
      </c>
      <c r="J40" t="inlineStr">
        <is>
          <t>主武器未激活时背部左侧收纳</t>
        </is>
      </c>
      <c r="K40" t="inlineStr">
        <is>
          <t>武器系统</t>
        </is>
      </c>
      <c r="L40" t="inlineStr">
        <is>
          <t>是</t>
        </is>
      </c>
      <c r="M40" t="inlineStr">
        <is>
          <t>主武器槽0专属；枪口朝下；回退节点VisualRoot/StowedWeaponSocketPrimary</t>
        </is>
      </c>
    </row>
    <row r="41">
      <c r="A41" t="inlineStr">
        <is>
          <t>player_capsule01_3d</t>
        </is>
      </c>
      <c r="B41" t="inlineStr">
        <is>
          <t>weapon_stow_secondary</t>
        </is>
      </c>
      <c r="C41" t="inlineStr">
        <is>
          <t>VisualRoot/BunnyRig/StowedWeaponSocketSecondary</t>
        </is>
      </c>
      <c r="D41" t="inlineStr">
        <is>
          <t>root</t>
        </is>
      </c>
      <c r="E41" t="inlineStr">
        <is>
          <t>无纹理</t>
        </is>
      </c>
      <c r="F41" t="inlineStr">
        <is>
          <t>Marker3D</t>
        </is>
      </c>
      <c r="G41" t="inlineStr">
        <is>
          <t>(0.42,1.12,0.25)</t>
        </is>
      </c>
      <c r="H41" t="inlineStr">
        <is>
          <t>随root；local -Z枪口轴转向世界下方</t>
        </is>
      </c>
      <c r="I41" t="inlineStr">
        <is>
          <t>5</t>
        </is>
      </c>
      <c r="J41" t="inlineStr">
        <is>
          <t>副武器未激活时背部右侧收纳</t>
        </is>
      </c>
      <c r="K41" t="inlineStr">
        <is>
          <t>武器系统</t>
        </is>
      </c>
      <c r="L41" t="inlineStr">
        <is>
          <t>是</t>
        </is>
      </c>
      <c r="M41" t="inlineStr">
        <is>
          <t>副武器槽1专属；枪口朝下；回退节点VisualRoot/StowedWeaponSocketSecondary</t>
        </is>
      </c>
    </row>
    <row r="42">
      <c r="A42" t="inlineStr">
        <is>
          <t>player_capsule01_3d</t>
        </is>
      </c>
      <c r="B42" t="inlineStr">
        <is>
          <t>backpack_socket</t>
        </is>
      </c>
      <c r="C42" t="inlineStr">
        <is>
          <t>VisualRoot/BunnyRig/BackpackSocket（fallback: VisualRoot/BackpackSocket）</t>
        </is>
      </c>
      <c r="D42" t="inlineStr">
        <is>
          <t>root</t>
        </is>
      </c>
      <c r="E42" t="inlineStr">
        <is>
          <t>无纹理；子模型来自ItemModelFactory3D</t>
        </is>
      </c>
      <c r="F42" t="inlineStr">
        <is>
          <t>Marker3D + 程序Mesh</t>
        </is>
      </c>
      <c r="G42" t="inlineStr">
        <is>
          <t>bunny (0,0.74,0.30)；fallback (0,1.25,0.48)</t>
        </is>
      </c>
      <c r="H42" t="inlineStr">
        <is>
          <t>继承VisualRoot朝向</t>
        </is>
      </c>
      <c r="I42" t="n">
        <v>3</v>
      </c>
      <c r="J42" t="inlineStr">
        <is>
          <t>装备时生成背包占位Mesh；卸下时移除</t>
        </is>
      </c>
      <c r="K42" t="inlineStr">
        <is>
          <t>背包装备系统</t>
        </is>
      </c>
      <c r="L42" t="inlineStr">
        <is>
          <t>是</t>
        </is>
      </c>
      <c r="M42" t="inlineStr">
        <is>
          <t>与StowedWeaponSocketPrimary/Secondary分离；2/4/8格共用模型工厂；无碰撞；verify_backpack_equipment_flow与Metal/OpenGL实机渲染通过。</t>
        </is>
      </c>
    </row>
    <row r="43">
      <c r="A43" t="inlineStr">
        <is>
          <t>player_capsule01_bunny01_3d</t>
        </is>
      </c>
      <c r="B43" t="inlineStr">
        <is>
          <t>lower_body_socket</t>
        </is>
      </c>
      <c r="C43" t="inlineStr">
        <is>
          <t>VisualRoot/BunnyRig/BodyJoint/LowerBodySocket（fallback: VisualRoot/Body/LowerBodySocket）</t>
        </is>
      </c>
      <c r="D43" t="inlineStr">
        <is>
          <t>body</t>
        </is>
      </c>
      <c r="E43" t="inlineStr">
        <is>
          <t>无纹理</t>
        </is>
      </c>
      <c r="F43" t="inlineStr">
        <is>
          <t>Marker3D</t>
        </is>
      </c>
      <c r="G43" t="inlineStr">
        <is>
          <t>bunny Body local (0,0.14,0)；fallback Body local (0,-0.36,0)</t>
        </is>
      </c>
      <c r="H43" t="inlineStr">
        <is>
          <t>继承BodyJoint位置/旋转/缩放</t>
        </is>
      </c>
      <c r="I43" t="n">
        <v>2</v>
      </c>
      <c r="J43" t="inlineStr">
        <is>
          <t>裙摆/腰甲/下摆继承全部身体状态与动作覆盖</t>
        </is>
      </c>
      <c r="K43" t="inlineStr">
        <is>
          <t>下身配件挂点</t>
        </is>
      </c>
      <c r="L43" t="inlineStr">
        <is>
          <t>是</t>
        </is>
      </c>
      <c r="M43" t="inlineStr">
        <is>
          <t>presentation_only；无碰撞；不改变玩法；专项验证 verify_player3d_lower_body_socket_flow.tscn。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24" customWidth="1" min="4" max="4"/>
    <col width="30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42" customWidth="1" min="12" max="12"/>
  </cols>
  <sheetData>
    <row r="1" ht="25" customHeight="1">
      <c r="A1" s="3" t="inlineStr">
        <is>
          <t>玩家状态机 × 美术组件映射</t>
        </is>
      </c>
    </row>
    <row r="2" ht="12" customHeight="1"/>
    <row r="3" ht="74" customHeight="1">
      <c r="A3" s="297" t="inlineStr">
        <is>
          <t>Player3D 八态状态机 × 组件表现（falling/landing为真实垂直物理顶层状态）</t>
        </is>
      </c>
    </row>
    <row r="4">
      <c r="A4" s="364" t="n"/>
      <c r="B4" s="364" t="n"/>
      <c r="C4" s="364" t="n"/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32" customHeight="1">
      <c r="A5" s="298" t="inlineStr">
        <is>
          <t>层级</t>
        </is>
      </c>
      <c r="B5" s="299" t="inlineStr">
        <is>
          <t>状态ID</t>
        </is>
      </c>
      <c r="C5" s="299" t="inlineStr">
        <is>
          <t>中文名</t>
        </is>
      </c>
      <c r="D5" s="299" t="inlineStr">
        <is>
          <t>允许来源</t>
        </is>
      </c>
      <c r="E5" s="299" t="inlineStr">
        <is>
          <t>允许去向</t>
        </is>
      </c>
      <c r="F5" s="299" t="inlineStr">
        <is>
          <t>Body</t>
        </is>
      </c>
      <c r="G5" s="299" t="inlineStr">
        <is>
          <t>Head</t>
        </is>
      </c>
      <c r="H5" s="299" t="inlineStr">
        <is>
          <t>Hand L</t>
        </is>
      </c>
      <c r="I5" s="299" t="inlineStr">
        <is>
          <t>Hand R / WeaponSocket</t>
        </is>
      </c>
      <c r="J5" s="299" t="inlineStr">
        <is>
          <t>Scarf</t>
        </is>
      </c>
      <c r="K5" s="299" t="inlineStr">
        <is>
          <t>VFX/UI</t>
        </is>
      </c>
      <c r="L5" s="300" t="inlineStr">
        <is>
          <t>首版实现</t>
        </is>
      </c>
    </row>
    <row r="6" ht="58" customHeight="1">
      <c r="A6" s="347" t="inlineStr">
        <is>
          <t>顶层</t>
        </is>
      </c>
      <c r="B6" s="347" t="inlineStr">
        <is>
          <t>idle</t>
        </is>
      </c>
      <c r="C6" s="347" t="inlineStr">
        <is>
          <t>待命</t>
        </is>
      </c>
      <c r="D6" s="347" t="inlineStr">
        <is>
          <t>start/moving/hurt/locked/landing</t>
        </is>
      </c>
      <c r="E6" s="347" t="inlineStr">
        <is>
          <t>moving,dashing,hurt,locked,falling,dead</t>
        </is>
      </c>
      <c r="F6" s="347" t="inlineStr">
        <is>
          <t>v021：纯Blender 3.2秒循环待机；持枪使用armed_idle，禁用玩家程序姿势。</t>
        </is>
      </c>
      <c r="G6" s="347" t="inlineStr">
        <is>
          <t>刚性头部，不缩放；低幅反向滞后保持重量感。</t>
        </is>
      </c>
      <c r="H6" s="347" t="inlineStr">
        <is>
          <t>手枪自由左手前伸胸前警戒；长枪左手保持托举</t>
        </is>
      </c>
      <c r="I6" s="347" t="inlineStr">
        <is>
          <t>手枪/长枪右手掌球中心、HandJointR与GripSocket三点重合；手枪WeaponSocket待机右前下移，枪管local -Z保持瞄准同向</t>
        </is>
      </c>
      <c r="J6" s="347" t="inlineStr">
        <is>
          <t>低频错相轻摆</t>
        </is>
      </c>
      <c r="K6" s="347" t="inlineStr">
        <is>
          <t>HUD 待命；无新增VFX</t>
        </is>
      </c>
      <c r="L6" s="34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>
      <c r="A7" s="304" t="inlineStr">
        <is>
          <t>顶层</t>
        </is>
      </c>
      <c r="B7" s="304" t="inlineStr">
        <is>
          <t>moving</t>
        </is>
      </c>
      <c r="C7" s="304" t="inlineStr">
        <is>
          <t>机动</t>
        </is>
      </c>
      <c r="D7" s="304" t="inlineStr">
        <is>
          <t>idle/dashing/hurt/locked/landing</t>
        </is>
      </c>
      <c r="E7" s="304" t="inlineStr">
        <is>
          <t>idle,dashing,hurt,locked,falling,dead</t>
        </is>
      </c>
      <c r="F7" s="304" t="inlineStr">
        <is>
          <t>v021：正常速度0.8秒小跑，慢速1秒慢走；按速度选择moving/walking及对应armed变体。</t>
        </is>
      </c>
      <c r="G7" s="304" t="inlineStr">
        <is>
          <t>较小反相滞后</t>
        </is>
      </c>
      <c r="H7" s="304" t="inlineStr">
        <is>
          <t>手枪自由左手大幅反摆；长枪左手锁定托举</t>
        </is>
      </c>
      <c r="I7" s="304" t="inlineStr">
        <is>
          <t>手枪右手与右侧挂点紧凑起伏；长枪双手/挂点收胸跑</t>
        </is>
      </c>
      <c r="J7" s="304" t="inlineStr">
        <is>
          <t>周期滞后</t>
        </is>
      </c>
      <c r="K7" s="304" t="inlineStr">
        <is>
          <t>地面划痕</t>
        </is>
      </c>
      <c r="L7" s="304" t="inlineStr">
        <is>
          <t>位移驱动独立循环；WeaponPoseFSM 进入 sidearm_run 或 longgun_run；双脚交替，单手/双手剪影分离</t>
        </is>
      </c>
    </row>
    <row r="8" ht="56" customHeight="1">
      <c r="A8" s="304" t="inlineStr">
        <is>
          <t>顶层</t>
        </is>
      </c>
      <c r="B8" s="304" t="inlineStr">
        <is>
          <t>dashing</t>
        </is>
      </c>
      <c r="C8" s="304" t="inlineStr">
        <is>
          <t>突进</t>
        </is>
      </c>
      <c r="D8" s="304" t="inlineStr">
        <is>
          <t>idle/moving</t>
        </is>
      </c>
      <c r="E8" s="304" t="inlineStr">
        <is>
          <t>idle,moving,hurt,locked,falling,dead</t>
        </is>
      </c>
      <c r="F8" s="304" t="inlineStr">
        <is>
          <t>v021：0.4秒收身前翻一周后展开；root不驱动玩法位移。</t>
        </is>
      </c>
      <c r="G8" s="304" t="inlineStr">
        <is>
          <t>随翻滚形成清晰弧线，耳朵延迟跟随。</t>
        </is>
      </c>
      <c r="H8" s="304" t="inlineStr">
        <is>
          <t>按当前武器握持数收束；自由左手随整体抱团</t>
        </is>
      </c>
      <c r="I8" s="304" t="inlineStr">
        <is>
          <t>右手握把与 WeaponSocket 同轴完整翻滚</t>
        </is>
      </c>
      <c r="J8" s="304" t="inlineStr">
        <is>
          <t>随整体收束</t>
        </is>
      </c>
      <c r="K8" s="304" t="inlineStr">
        <is>
          <t>青色尾迹</t>
        </is>
      </c>
      <c r="L8" s="304" t="inlineStr">
        <is>
          <t>0.17s 内完成 360° 本地X前滚；用半高轴心补偿避免钻地；夸张压缩与抛物线位移</t>
        </is>
      </c>
    </row>
    <row r="9" ht="56" customHeight="1">
      <c r="A9" s="304" t="inlineStr">
        <is>
          <t>顶层</t>
        </is>
      </c>
      <c r="B9" s="304" t="inlineStr">
        <is>
          <t>hurt</t>
        </is>
      </c>
      <c r="C9" s="304" t="inlineStr">
        <is>
          <t>受创</t>
        </is>
      </c>
      <c r="D9" s="304" t="inlineStr">
        <is>
          <t>任意存活态</t>
        </is>
      </c>
      <c r="E9" s="304" t="inlineStr">
        <is>
          <t>idle,moving,locked,falling,dead</t>
        </is>
      </c>
      <c r="F9" s="304" t="inlineStr">
        <is>
          <t>v021：0.55秒后仰失衡、反向回弹并收稳。</t>
        </is>
      </c>
      <c r="G9" s="304" t="inlineStr">
        <is>
          <t>头部甩动与耳朵拖曳形成受击重点。</t>
        </is>
      </c>
      <c r="H9" s="304" t="inlineStr">
        <is>
          <t>手枪左手自由外甩；长枪左手回护木</t>
        </is>
      </c>
      <c r="I9" s="304" t="inlineStr">
        <is>
          <t>右手/WeaponSocket 同相后退，握把不脱离</t>
        </is>
      </c>
      <c r="J9" s="304" t="inlineStr">
        <is>
          <t>冲击滞后</t>
        </is>
      </c>
      <c r="K9" s="304" t="inlineStr">
        <is>
          <t>红闪/击退轨迹</t>
        </is>
      </c>
      <c r="L9" s="304" t="inlineStr">
        <is>
          <t>真实命中方向 + 受击进度关键姿势；头、双脚、双耳使用独立夸张回弹</t>
        </is>
      </c>
    </row>
    <row r="10">
      <c r="A10" s="304" t="inlineStr">
        <is>
          <t>顶层</t>
        </is>
      </c>
      <c r="B10" s="304" t="inlineStr">
        <is>
          <t>locked</t>
        </is>
      </c>
      <c r="C10" s="304" t="inlineStr">
        <is>
          <t>交互锁定</t>
        </is>
      </c>
      <c r="D10" s="304" t="inlineStr">
        <is>
          <t>任意存活态/landing</t>
        </is>
      </c>
      <c r="E10" s="304" t="inlineStr">
        <is>
          <t>idle,moving,hurt,falling,dead</t>
        </is>
      </c>
      <c r="F10" s="304" t="inlineStr">
        <is>
          <t>v021：1.8秒循环警觉重心交换。</t>
        </is>
      </c>
      <c r="G10" s="304" t="inlineStr">
        <is>
          <t>小幅警觉转头，保持瞄准可读性。</t>
        </is>
      </c>
      <c r="H10" s="304" t="inlineStr">
        <is>
          <t>稳定</t>
        </is>
      </c>
      <c r="I10" s="304" t="inlineStr">
        <is>
          <t>保持握持</t>
        </is>
      </c>
      <c r="J10" s="304" t="inlineStr">
        <is>
          <t>低摆</t>
        </is>
      </c>
      <c r="K10" s="304" t="inlineStr">
        <is>
          <t>琥珀锁定环</t>
        </is>
      </c>
      <c r="L10" s="304" t="inlineStr">
        <is>
          <t>降亮 + 锁定环；保持刚性层级</t>
        </is>
      </c>
    </row>
    <row r="11" ht="92" customHeight="1">
      <c r="A11" s="304" t="inlineStr">
        <is>
          <t>顶层</t>
        </is>
      </c>
      <c r="B11" s="304" t="inlineStr">
        <is>
          <t>falling</t>
        </is>
      </c>
      <c r="C11" s="304" t="inlineStr">
        <is>
          <t>下落</t>
        </is>
      </c>
      <c r="D11" s="304" t="inlineStr">
        <is>
          <t>idle/moving/dashing/hurt/locked</t>
        </is>
      </c>
      <c r="E11" s="304" t="inlineStr">
        <is>
          <t>landing,hurt,dead</t>
        </is>
      </c>
      <c r="F11" s="304" t="inlineStr">
        <is>
          <t>v021：0.65秒张臂失衡，下落末帧保持。</t>
        </is>
      </c>
      <c r="G11" s="304" t="inlineStr">
        <is>
          <t>头部及耳朵表现向上拖曳。</t>
        </is>
      </c>
      <c r="H11" s="304" t="inlineStr">
        <is>
          <t>手枪自由手收束；长枪托举手不脱离</t>
        </is>
      </c>
      <c r="I11" s="304" t="inlineStr">
        <is>
          <t>握持手与WeaponSocket保持同相</t>
        </is>
      </c>
      <c r="J11" s="304" t="inlineStr">
        <is>
          <t>向上滞后</t>
        </is>
      </c>
      <c r="K11" s="304" t="inlineStr">
        <is>
          <t>无新增VFX</t>
        </is>
      </c>
      <c r="L11" s="304" t="inlineStr">
        <is>
          <t>真实重力+0.10s离地容错；双脚收起、双耳后压；楼梯接缝不误触发</t>
        </is>
      </c>
    </row>
    <row r="12" ht="92" customHeight="1">
      <c r="A12" s="304" t="inlineStr">
        <is>
          <t>顶层</t>
        </is>
      </c>
      <c r="B12" s="304" t="inlineStr">
        <is>
          <t>landing</t>
        </is>
      </c>
      <c r="C12" s="304" t="inlineStr">
        <is>
          <t>落地</t>
        </is>
      </c>
      <c r="D12" s="304" t="inlineStr">
        <is>
          <t>falling</t>
        </is>
      </c>
      <c r="E12" s="304" t="inlineStr">
        <is>
          <t>idle,moving,locked,falling,hurt,dead</t>
        </is>
      </c>
      <c r="F12" s="304" t="inlineStr">
        <is>
          <t>v021：0.45秒下沉缓冲、回弹并稳定。</t>
        </is>
      </c>
      <c r="G12" s="304" t="inlineStr">
        <is>
          <t>承接下落末姿后抬头恢复。</t>
        </is>
      </c>
      <c r="H12" s="304" t="inlineStr">
        <is>
          <t>随整体吸收冲击</t>
        </is>
      </c>
      <c r="I12" s="304" t="inlineStr">
        <is>
          <t>握持手与WeaponSocket同相稳定</t>
        </is>
      </c>
      <c r="J12" s="304" t="inlineStr">
        <is>
          <t>短促回摆</t>
        </is>
      </c>
      <c r="K12" s="304" t="inlineStr">
        <is>
          <t>落地停顿</t>
        </is>
      </c>
      <c r="L12" s="304" t="inlineStr">
        <is>
          <t>冲击速度映射0.12—0.30s硬直；状态计时结束后恢复地面移动</t>
        </is>
      </c>
    </row>
    <row r="13">
      <c r="A13" s="304" t="inlineStr">
        <is>
          <t>顶层</t>
        </is>
      </c>
      <c r="B13" s="304" t="inlineStr">
        <is>
          <t>dead</t>
        </is>
      </c>
      <c r="C13" s="304" t="inlineStr">
        <is>
          <t>生命终止</t>
        </is>
      </c>
      <c r="D13" s="304" t="inlineStr">
        <is>
          <t>任意存活态</t>
        </is>
      </c>
      <c r="E13" s="304" t="inlineStr">
        <is>
          <t>无（终态）</t>
        </is>
      </c>
      <c r="F13" s="304" t="inlineStr">
        <is>
          <t>v021：1.6秒空中前翻一周，正面朝下趴地，弹一次后保持。</t>
        </is>
      </c>
      <c r="G13" s="304" t="inlineStr">
        <is>
          <t>头部随整身落地；双臂向头顶两侧伸出。</t>
        </is>
      </c>
      <c r="H13" s="304" t="inlineStr">
        <is>
          <t>随击飞惯性展开，回弹时收束</t>
        </is>
      </c>
      <c r="I13" s="304" t="inlineStr">
        <is>
          <t>武器握持层随整体击飞/回弹/侧倒</t>
        </is>
      </c>
      <c r="J13" s="304" t="inlineStr">
        <is>
          <t>惯性拖尾后停止</t>
        </is>
      </c>
      <c r="K13" s="304" t="inlineStr">
        <is>
          <t>1.35秒后显示点击返99F确认框</t>
        </is>
      </c>
      <c r="L13" s="304" t="inlineStr">
        <is>
          <t>真实CharacterBody3D速度+重力；death_animation_finished仅通知表现完成，点击后结算</t>
        </is>
      </c>
    </row>
    <row r="14">
      <c r="A14" s="304" t="inlineStr">
        <is>
          <t>叠加</t>
        </is>
      </c>
      <c r="B14" s="304" t="inlineStr">
        <is>
          <t>low_health</t>
        </is>
      </c>
      <c r="C14" s="304" t="inlineStr">
        <is>
          <t>低血</t>
        </is>
      </c>
      <c r="D14" s="304" t="inlineStr">
        <is>
          <t>任意存活态</t>
        </is>
      </c>
      <c r="E14" s="304" t="inlineStr">
        <is>
          <t>不改变顶层</t>
        </is>
      </c>
      <c r="F14" s="304" t="inlineStr">
        <is>
          <t>不变</t>
        </is>
      </c>
      <c r="G14" s="304" t="inlineStr">
        <is>
          <t>不变</t>
        </is>
      </c>
      <c r="H14" s="304" t="inlineStr">
        <is>
          <t>保持当前动作</t>
        </is>
      </c>
      <c r="I14" s="304" t="inlineStr">
        <is>
          <t>保持当前动作</t>
        </is>
      </c>
      <c r="J14" s="304" t="inlineStr">
        <is>
          <t>不变</t>
        </is>
      </c>
      <c r="K14" s="304" t="inlineStr">
        <is>
          <t>红色呼吸环</t>
        </is>
      </c>
      <c r="L14" s="304" t="inlineStr">
        <is>
          <t>HP≤30%</t>
        </is>
      </c>
    </row>
    <row r="15" ht="56" customHeight="1">
      <c r="A15" s="364" t="inlineStr">
        <is>
          <t>叠加</t>
        </is>
      </c>
      <c r="B15" s="364" t="inlineStr">
        <is>
          <t>silenced</t>
        </is>
      </c>
      <c r="C15" s="364" t="inlineStr">
        <is>
          <t>沉默</t>
        </is>
      </c>
      <c r="D15" s="364" t="inlineStr">
        <is>
          <t>任意存活态</t>
        </is>
      </c>
      <c r="E15" s="364" t="inlineStr">
        <is>
          <t>不改变顶层</t>
        </is>
      </c>
      <c r="F15" s="364" t="inlineStr">
        <is>
          <t>降饱和可选</t>
        </is>
      </c>
      <c r="G15" s="364" t="inlineStr">
        <is>
          <t>传感器干扰</t>
        </is>
      </c>
      <c r="H15" s="364" t="inlineStr">
        <is>
          <t>保持当前动作</t>
        </is>
      </c>
      <c r="I15" s="364" t="inlineStr">
        <is>
          <t>保持当前动作</t>
        </is>
      </c>
      <c r="J15" s="364" t="inlineStr">
        <is>
          <t>不变</t>
        </is>
      </c>
      <c r="K15" s="364" t="inlineStr">
        <is>
          <t>紫色干扰环</t>
        </is>
      </c>
      <c r="L15" s="364" t="inlineStr">
        <is>
          <t>计时标志</t>
        </is>
      </c>
    </row>
    <row r="16" ht="28" customHeight="1">
      <c r="A16" s="97" t="inlineStr">
        <is>
          <t>叠加</t>
        </is>
      </c>
      <c r="B16" s="97" t="inlineStr">
        <is>
          <t>invincible</t>
        </is>
      </c>
      <c r="C16" s="97" t="inlineStr">
        <is>
          <t>无敌</t>
        </is>
      </c>
      <c r="D16" s="97" t="inlineStr">
        <is>
          <t>dash/hurt</t>
        </is>
      </c>
      <c r="E16" s="97" t="inlineStr">
        <is>
          <t>不改变顶层</t>
        </is>
      </c>
      <c r="F16" s="97" t="inlineStr">
        <is>
          <t>闪烁</t>
        </is>
      </c>
      <c r="G16" s="97" t="inlineStr">
        <is>
          <t>闪烁</t>
        </is>
      </c>
      <c r="H16" s="97" t="inlineStr">
        <is>
          <t>保持当前动作</t>
        </is>
      </c>
      <c r="I16" s="97" t="inlineStr">
        <is>
          <t>保持当前动作</t>
        </is>
      </c>
      <c r="J16" s="97" t="inlineStr">
        <is>
          <t>闪烁</t>
        </is>
      </c>
      <c r="K16" s="97" t="inlineStr">
        <is>
          <t>透明闪烁</t>
        </is>
      </c>
      <c r="L16" s="97" t="inlineStr">
        <is>
          <t>InvincibleTimer 唯一解除</t>
        </is>
      </c>
    </row>
    <row r="17" ht="92" customHeight="1">
      <c r="A17" s="364" t="inlineStr">
        <is>
          <t>叠加</t>
        </is>
      </c>
      <c r="B17" s="364" t="inlineStr">
        <is>
          <t>reloading</t>
        </is>
      </c>
      <c r="C17" s="364" t="inlineStr">
        <is>
          <t>换弹</t>
        </is>
      </c>
      <c r="D17" s="364" t="inlineStr">
        <is>
          <t>任意持枪存活态</t>
        </is>
      </c>
      <c r="E17" s="364" t="inlineStr">
        <is>
          <t>不改变顶层；完成/取消退出</t>
        </is>
      </c>
      <c r="F17" s="364" t="inlineStr">
        <is>
          <t>单手持枪以手枪动作为母版，手枪/长枪可共用。待制作：single_hand fire、reload、charge；长枪双手idle/walking/moving。</t>
        </is>
      </c>
      <c r="G17" s="364" t="inlineStr">
        <is>
          <t>待制作：heavy_melee windup/active/recovery。完成前长枪复用手枪单手armed动作；怪物程序动画暂留，后续分批替换。</t>
        </is>
      </c>
      <c r="H17" s="364" t="inlineStr">
        <is>
          <t>手枪左手近身取弹但不计握持；长枪左手离开护木服务</t>
        </is>
      </c>
      <c r="I17" s="364" t="inlineStr">
        <is>
          <t>右手持续握把并跟随 WeaponSocket 下压/回位</t>
        </is>
      </c>
      <c r="J17" s="364" t="inlineStr">
        <is>
          <t>保持当前顶层</t>
        </is>
      </c>
      <c r="K17" s="364" t="inlineStr">
        <is>
          <t>3D头顶billboard进度条；HUD弹药栏</t>
        </is>
      </c>
      <c r="L17" s="364" t="inlineStr">
        <is>
          <t>WeaponModel3D 唯一计时源；WeaponPoseFSM 进入 sidearm_reload/longgun_reload；右手保持握把，左手按武器类型服务</t>
        </is>
      </c>
    </row>
    <row r="18" ht="72" customHeight="1">
      <c r="A18" s="368" t="n"/>
    </row>
    <row r="19" ht="42" customHeight="1">
      <c r="A19" s="364" t="inlineStr">
        <is>
          <t>层级</t>
        </is>
      </c>
      <c r="B19" s="364" t="inlineStr">
        <is>
          <t>状态ID</t>
        </is>
      </c>
      <c r="C19" s="364" t="inlineStr">
        <is>
          <t>中文名</t>
        </is>
      </c>
      <c r="D19" s="364" t="inlineStr">
        <is>
          <t>允许来源</t>
        </is>
      </c>
      <c r="E19" s="364" t="inlineStr">
        <is>
          <t>允许去向</t>
        </is>
      </c>
      <c r="F19" s="364" t="inlineStr">
        <is>
          <t>Core</t>
        </is>
      </c>
      <c r="G19" s="364" t="inlineStr">
        <is>
          <t>Shell</t>
        </is>
      </c>
      <c r="H19" s="364" t="inlineStr">
        <is>
          <t>Appendages</t>
        </is>
      </c>
      <c r="I19" s="364" t="inlineStr">
        <is>
          <t>StateVFX</t>
        </is>
      </c>
      <c r="J19" s="364" t="inlineStr">
        <is>
          <t>行为职责</t>
        </is>
      </c>
      <c r="K19" s="364" t="inlineStr">
        <is>
          <t>验收</t>
        </is>
      </c>
      <c r="L19" s="364" t="inlineStr">
        <is>
          <t>首版实现</t>
        </is>
      </c>
    </row>
    <row r="20" ht="42" customHeight="1">
      <c r="A20" s="364" t="inlineStr">
        <is>
          <t>顶层</t>
        </is>
      </c>
      <c r="B20" s="364" t="inlineStr">
        <is>
          <t>idle</t>
        </is>
      </c>
      <c r="C20" s="364" t="inlineStr">
        <is>
          <t>待机</t>
        </is>
      </c>
      <c r="D20" s="364" t="inlineStr">
        <is>
          <t>start/patrol/stagger</t>
        </is>
      </c>
      <c r="E20" s="364" t="inlineStr">
        <is>
          <t>patrol/alert/dead</t>
        </is>
      </c>
      <c r="F20" s="364" t="inlineStr">
        <is>
          <t>低频脉冲</t>
        </is>
      </c>
      <c r="G20" s="364" t="inlineStr">
        <is>
          <t>轻浮动</t>
        </is>
      </c>
      <c r="H20" s="364" t="inlineStr">
        <is>
          <t>低速</t>
        </is>
      </c>
      <c r="I20" s="364" t="inlineStr">
        <is>
          <t>关闭</t>
        </is>
      </c>
      <c r="J20" s="364" t="inlineStr">
        <is>
          <t>等待目标</t>
        </is>
      </c>
      <c r="K20" s="364" t="inlineStr">
        <is>
          <t>静态轮廓可读</t>
        </is>
      </c>
      <c r="L20" s="364" t="inlineStr">
        <is>
          <t>模块变换</t>
        </is>
      </c>
    </row>
    <row r="21" ht="42" customHeight="1">
      <c r="A21" s="364" t="inlineStr">
        <is>
          <t>顶层</t>
        </is>
      </c>
      <c r="B21" s="364" t="inlineStr">
        <is>
          <t>patrol</t>
        </is>
      </c>
      <c r="C21" s="364" t="inlineStr">
        <is>
          <t>巡逻</t>
        </is>
      </c>
      <c r="D21" s="364" t="inlineStr">
        <is>
          <t>idle/search</t>
        </is>
      </c>
      <c r="E21" s="364" t="inlineStr">
        <is>
          <t>idle/alert/stagger/dead</t>
        </is>
      </c>
      <c r="F21" s="364" t="inlineStr">
        <is>
          <t>低频脉冲</t>
        </is>
      </c>
      <c r="G21" s="364" t="inlineStr">
        <is>
          <t>朝巡逻点</t>
        </is>
      </c>
      <c r="H21" s="364" t="inlineStr">
        <is>
          <t>慢速步态</t>
        </is>
      </c>
      <c r="I21" s="364" t="inlineStr">
        <is>
          <t>关闭</t>
        </is>
      </c>
      <c r="J21" s="364" t="inlineStr">
        <is>
          <t>出生点附近巡逻</t>
        </is>
      </c>
      <c r="K21" s="364" t="inlineStr">
        <is>
          <t>无目标不原地僵住</t>
        </is>
      </c>
      <c r="L21" s="364" t="inlineStr">
        <is>
          <t>CharacterBody3D</t>
        </is>
      </c>
    </row>
    <row r="22" ht="42" customHeight="1">
      <c r="A22" s="364" t="inlineStr">
        <is>
          <t>顶层</t>
        </is>
      </c>
      <c r="B22" s="364" t="inlineStr">
        <is>
          <t>alert</t>
        </is>
      </c>
      <c r="C22" s="364" t="inlineStr">
        <is>
          <t>警觉</t>
        </is>
      </c>
      <c r="D22" s="364" t="inlineStr">
        <is>
          <t>idle/patrol/search</t>
        </is>
      </c>
      <c r="E22" s="364" t="inlineStr">
        <is>
          <t>chase/stagger/dead</t>
        </is>
      </c>
      <c r="F22" s="364" t="inlineStr">
        <is>
          <t>加速</t>
        </is>
      </c>
      <c r="G22" s="364" t="inlineStr">
        <is>
          <t>抬升</t>
        </is>
      </c>
      <c r="H22" s="364" t="inlineStr">
        <is>
          <t>展开</t>
        </is>
      </c>
      <c r="I22" s="364" t="inlineStr">
        <is>
          <t>关闭</t>
        </is>
      </c>
      <c r="J22" s="364" t="inlineStr">
        <is>
          <t>发现玩家</t>
        </is>
      </c>
      <c r="K22" s="364" t="inlineStr">
        <is>
          <t>0.28s响应</t>
        </is>
      </c>
      <c r="L22" s="364" t="inlineStr">
        <is>
          <t>模块变换</t>
        </is>
      </c>
    </row>
    <row r="23" ht="42" customHeight="1">
      <c r="A23" s="364" t="inlineStr">
        <is>
          <t>顶层</t>
        </is>
      </c>
      <c r="B23" s="364" t="inlineStr">
        <is>
          <t>chase</t>
        </is>
      </c>
      <c r="C23" s="364" t="inlineStr">
        <is>
          <t>追击</t>
        </is>
      </c>
      <c r="D23" s="364" t="inlineStr">
        <is>
          <t>alert/attack/stagger</t>
        </is>
      </c>
      <c r="E23" s="364" t="inlineStr">
        <is>
          <t>search/telegraph/stagger/dead</t>
        </is>
      </c>
      <c r="F23" s="364" t="inlineStr">
        <is>
          <t>稳定</t>
        </is>
      </c>
      <c r="G23" s="364" t="inlineStr">
        <is>
          <t>朝目标</t>
        </is>
      </c>
      <c r="H23" s="364" t="inlineStr">
        <is>
          <t>步态</t>
        </is>
      </c>
      <c r="I23" s="364" t="inlineStr">
        <is>
          <t>关闭</t>
        </is>
      </c>
      <c r="J23" s="364" t="inlineStr">
        <is>
          <t>距离控制</t>
        </is>
      </c>
      <c r="K23" s="364" t="inlineStr">
        <is>
          <t>七类速度差</t>
        </is>
      </c>
      <c r="L23" s="364" t="inlineStr">
        <is>
          <t>CharacterBody3D</t>
        </is>
      </c>
    </row>
    <row r="24" ht="42" customHeight="1">
      <c r="A24" s="364" t="inlineStr">
        <is>
          <t>顶层</t>
        </is>
      </c>
      <c r="B24" s="364" t="inlineStr">
        <is>
          <t>search</t>
        </is>
      </c>
      <c r="C24" s="364" t="inlineStr">
        <is>
          <t>搜索</t>
        </is>
      </c>
      <c r="D24" s="364" t="inlineStr">
        <is>
          <t>chase</t>
        </is>
      </c>
      <c r="E24" s="364" t="inlineStr">
        <is>
          <t>patrol/alert/stagger/dead</t>
        </is>
      </c>
      <c r="F24" s="364" t="inlineStr">
        <is>
          <t>渐缓</t>
        </is>
      </c>
      <c r="G24" s="364" t="inlineStr">
        <is>
          <t>朝最后位置</t>
        </is>
      </c>
      <c r="H24" s="364" t="inlineStr">
        <is>
          <t>搜索步态</t>
        </is>
      </c>
      <c r="I24" s="364" t="inlineStr">
        <is>
          <t>搜索提示</t>
        </is>
      </c>
      <c r="J24" s="364" t="inlineStr">
        <is>
          <t>失去视线后搜索</t>
        </is>
      </c>
      <c r="K24" s="364" t="inlineStr">
        <is>
          <t>2.4s后回巡逻</t>
        </is>
      </c>
      <c r="L24" s="364" t="inlineStr">
        <is>
          <t>射线+最后位置</t>
        </is>
      </c>
    </row>
    <row r="25">
      <c r="A25" s="364" t="inlineStr">
        <is>
          <t>顶层</t>
        </is>
      </c>
      <c r="B25" s="364" t="inlineStr">
        <is>
          <t>telegraph</t>
        </is>
      </c>
      <c r="C25" s="364" t="inlineStr">
        <is>
          <t>预警</t>
        </is>
      </c>
      <c r="D25" s="364" t="inlineStr">
        <is>
          <t>chase</t>
        </is>
      </c>
      <c r="E25" s="364" t="inlineStr">
        <is>
          <t>attack/stagger/dead</t>
        </is>
      </c>
      <c r="F25" s="364" t="inlineStr">
        <is>
          <t>高频脉冲</t>
        </is>
      </c>
      <c r="G25" s="364" t="inlineStr">
        <is>
          <t>稳定</t>
        </is>
      </c>
      <c r="H25" s="364" t="inlineStr">
        <is>
          <t>蓄势</t>
        </is>
      </c>
      <c r="I25" s="364" t="inlineStr">
        <is>
          <t>红色预警环</t>
        </is>
      </c>
      <c r="J25" s="364" t="inlineStr">
        <is>
          <t>攻击前摇</t>
        </is>
      </c>
      <c r="K25" s="364" t="inlineStr">
        <is>
          <t>不可省略</t>
        </is>
      </c>
      <c r="L25" s="364" t="inlineStr">
        <is>
          <t>计时状态</t>
        </is>
      </c>
    </row>
    <row r="26">
      <c r="A26" s="364" t="inlineStr">
        <is>
          <t>顶层</t>
        </is>
      </c>
      <c r="B26" s="364" t="inlineStr">
        <is>
          <t>attack</t>
        </is>
      </c>
      <c r="C26" s="364" t="inlineStr">
        <is>
          <t>攻击</t>
        </is>
      </c>
      <c r="D26" s="364" t="inlineStr">
        <is>
          <t>telegraph</t>
        </is>
      </c>
      <c r="E26" s="364" t="inlineStr">
        <is>
          <t>chase/stagger/dead</t>
        </is>
      </c>
      <c r="F26" s="364" t="inlineStr">
        <is>
          <t>峰值</t>
        </is>
      </c>
      <c r="G26" s="364" t="inlineStr">
        <is>
          <t>反冲</t>
        </is>
      </c>
      <c r="H26" s="364" t="inlineStr">
        <is>
          <t>执行</t>
        </is>
      </c>
      <c r="I26" s="364" t="inlineStr">
        <is>
          <t>按攻击类型</t>
        </is>
      </c>
      <c r="J26" s="364" t="inlineStr">
        <is>
          <t>近战/远程/召唤/爆炸</t>
        </is>
      </c>
      <c r="K26" s="364" t="inlineStr">
        <is>
          <t>七类差异</t>
        </is>
      </c>
      <c r="L26" s="364" t="inlineStr">
        <is>
          <t>profile策略</t>
        </is>
      </c>
    </row>
    <row r="27">
      <c r="A27" s="364" t="inlineStr">
        <is>
          <t>顶层</t>
        </is>
      </c>
      <c r="B27" s="364" t="inlineStr">
        <is>
          <t>stagger</t>
        </is>
      </c>
      <c r="C27" s="364" t="inlineStr">
        <is>
          <t>硬直</t>
        </is>
      </c>
      <c r="D27" s="364" t="inlineStr">
        <is>
          <t>任意存活态</t>
        </is>
      </c>
      <c r="E27" s="364" t="inlineStr">
        <is>
          <t>chase/dead</t>
        </is>
      </c>
      <c r="F27" s="364" t="inlineStr">
        <is>
          <t>闪色</t>
        </is>
      </c>
      <c r="G27" s="364" t="inlineStr">
        <is>
          <t>冲击</t>
        </is>
      </c>
      <c r="H27" s="364" t="inlineStr">
        <is>
          <t>暂停</t>
        </is>
      </c>
      <c r="I27" s="364" t="inlineStr">
        <is>
          <t>伤害反馈</t>
        </is>
      </c>
      <c r="J27" s="364" t="inlineStr">
        <is>
          <t>受击窗口</t>
        </is>
      </c>
      <c r="K27" s="364" t="inlineStr">
        <is>
          <t>方向可读</t>
        </is>
      </c>
      <c r="L27" s="364" t="inlineStr">
        <is>
          <t>统一伤害入口</t>
        </is>
      </c>
    </row>
    <row r="28" ht="38" customHeight="1">
      <c r="A28" s="102" t="inlineStr">
        <is>
          <t>顶层</t>
        </is>
      </c>
      <c r="B28" s="102" t="inlineStr">
        <is>
          <t>dead</t>
        </is>
      </c>
      <c r="C28" s="102" t="inlineStr">
        <is>
          <t>死亡</t>
        </is>
      </c>
      <c r="D28" s="102" t="inlineStr">
        <is>
          <t>任意存活态</t>
        </is>
      </c>
      <c r="E28" s="102" t="inlineStr">
        <is>
          <t>无（终态）</t>
        </is>
      </c>
      <c r="F28" s="102" t="inlineStr">
        <is>
          <t>熄灭</t>
        </is>
      </c>
      <c r="G28" s="102" t="inlineStr">
        <is>
          <t>压扁</t>
        </is>
      </c>
      <c r="H28" s="102" t="inlineStr">
        <is>
          <t>停止</t>
        </is>
      </c>
      <c r="I28" s="102" t="inlineStr">
        <is>
          <t>爆散/淡出</t>
        </is>
      </c>
      <c r="J28" s="102" t="inlineStr">
        <is>
          <t>掉落与计数</t>
        </is>
      </c>
      <c r="K28" s="102" t="inlineStr">
        <is>
          <t>不可回存活态</t>
        </is>
      </c>
      <c r="L28" s="102" t="inlineStr">
        <is>
          <t>终态 + Tween</t>
        </is>
      </c>
    </row>
    <row r="29" ht="38" customHeight="1">
      <c r="A29" s="103" t="n"/>
      <c r="B29" s="103" t="n"/>
      <c r="C29" s="103" t="n"/>
      <c r="D29" s="103" t="n"/>
      <c r="E29" s="103" t="n"/>
      <c r="F29" s="103" t="n"/>
      <c r="G29" s="103" t="n"/>
      <c r="H29" s="103" t="n"/>
      <c r="I29" s="103" t="n"/>
      <c r="J29" s="103" t="n"/>
      <c r="K29" s="103" t="n"/>
      <c r="L29" s="103" t="n"/>
    </row>
    <row r="30" ht="56" customHeight="1">
      <c r="A30" s="364" t="inlineStr">
        <is>
          <t>Player3D 动作覆盖层 × 组件表现（不新增顶层状态）</t>
        </is>
      </c>
    </row>
    <row r="31" ht="56" customHeight="1">
      <c r="A31" s="364" t="inlineStr">
        <is>
          <t>层级｜状态ID｜中文名｜唯一来源｜退出｜Body｜Head｜Hand L（停用）｜Hand（握持）｜Scarf｜VFX/UI｜首版实现</t>
        </is>
      </c>
    </row>
    <row r="32" ht="56" customHeight="1">
      <c r="A32" s="364" t="inlineStr">
        <is>
          <t>叠加</t>
        </is>
      </c>
      <c r="B32" s="364" t="inlineStr">
        <is>
          <t>firing</t>
        </is>
      </c>
      <c r="C32" s="364" t="inlineStr">
        <is>
          <t>射击</t>
        </is>
      </c>
      <c r="D32" s="364" t="inlineStr">
        <is>
          <t>WeaponModel3D.shot_fired</t>
        </is>
      </c>
      <c r="E32" s="364" t="inlineStr">
        <is>
          <t>短时回弹后退出</t>
        </is>
      </c>
      <c r="F32" s="364" t="inlineStr">
        <is>
          <t>前探/压缩/弹性回弹</t>
        </is>
      </c>
      <c r="G32" s="364" t="inlineStr">
        <is>
          <t>小幅前探</t>
        </is>
      </c>
      <c r="H32" s="364" t="inlineStr">
        <is>
          <t>手枪左手不继承后坐；长枪左手托举并小幅刚性回弹</t>
        </is>
      </c>
      <c r="I32" s="364" t="inlineStr">
        <is>
          <t>右手握把跟随WeaponSocket；枪身只沿枪轴平移后坐，local -Z不离开真实弹道；腕部/躯干继续承担枪型差异回弹</t>
        </is>
      </c>
      <c r="J32" s="364" t="inlineStr">
        <is>
          <t>受冲量轻摆</t>
        </is>
      </c>
      <c r="K32" s="364" t="inlineStr">
        <is>
          <t>枪口闪光/后坐</t>
        </is>
      </c>
      <c r="L32" s="364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>
      <c r="A33" s="364" t="inlineStr">
        <is>
          <t>叠加</t>
        </is>
      </c>
      <c r="B33" s="364" t="inlineStr">
        <is>
          <t>charging</t>
        </is>
      </c>
      <c r="C33" s="364" t="inlineStr">
        <is>
          <t>蓄力</t>
        </is>
      </c>
      <c r="D33" s="364" t="inlineStr">
        <is>
          <t>WeaponModel3D.charge_active / charge_ratio</t>
        </is>
      </c>
      <c r="E33" s="364" t="inlineStr">
        <is>
          <t>释放/取消/换枪/死亡</t>
        </is>
      </c>
      <c r="F33" s="364" t="inlineStr">
        <is>
          <t>下压蓄势</t>
        </is>
      </c>
      <c r="G33" s="364" t="inlineStr">
        <is>
          <t>轻微压低</t>
        </is>
      </c>
      <c r="H33" s="364" t="inlineStr">
        <is>
          <t>长枪左手向内压入形成张力；手枪保持自由手</t>
        </is>
      </c>
      <c r="I33" s="364" t="inlineStr">
        <is>
          <t>右手握把与 WeaponSocket 同相蓄势</t>
        </is>
      </c>
      <c r="J33" s="364" t="inlineStr">
        <is>
          <t>低频张力摆动</t>
        </is>
      </c>
      <c r="K33" s="364" t="inlineStr">
        <is>
          <t>紫色能量提示（可选）</t>
        </is>
      </c>
      <c r="L33" s="364" t="inlineStr">
        <is>
          <t>读取真实蓄力进度；WeaponPoseFSM 进入对应 charge 状态；释放后按枪体 profile 回弹</t>
        </is>
      </c>
    </row>
    <row r="34" ht="34" customHeight="1">
      <c r="A34" s="102" t="inlineStr">
        <is>
          <t>叠加</t>
        </is>
      </c>
      <c r="B34" s="102" t="inlineStr">
        <is>
          <t>knockback</t>
        </is>
      </c>
      <c r="C34" s="102" t="inlineStr">
        <is>
          <t>受击击飞</t>
        </is>
      </c>
      <c r="D34" s="102" t="inlineStr">
        <is>
          <t>Player3D 命中方向/强度/时长</t>
        </is>
      </c>
      <c r="E34" s="102" t="inlineStr">
        <is>
          <t>冲量归零或死亡</t>
        </is>
      </c>
      <c r="F34" s="102" t="inlineStr">
        <is>
          <t>反向位移/压缩/弹回</t>
        </is>
      </c>
      <c r="G34" s="102" t="inlineStr">
        <is>
          <t>夸张后仰甩头/回正</t>
        </is>
      </c>
      <c r="H34" s="102" t="inlineStr">
        <is>
          <t>手枪自由左手外甩；长枪左手回护木</t>
        </is>
      </c>
      <c r="I34" s="102" t="inlineStr">
        <is>
          <t>右手与 WeaponSocket 同相后退/回正</t>
        </is>
      </c>
      <c r="J34" s="102" t="inlineStr">
        <is>
          <t>滞后甩动</t>
        </is>
      </c>
      <c r="K34" s="102" t="inlineStr">
        <is>
          <t>红闪/短轨迹</t>
        </is>
      </c>
      <c r="L34" s="102" t="inlineStr">
        <is>
          <t>hurt 消费递减XZ冲量；双耳/双脚/双手分层过冲，不新增顶层状态</t>
        </is>
      </c>
    </row>
    <row r="35" ht="34" customHeight="1">
      <c r="A35" s="103" t="n"/>
      <c r="B35" s="103" t="n"/>
      <c r="C35" s="103" t="n"/>
      <c r="D35" s="103" t="n"/>
      <c r="E35" s="103" t="n"/>
      <c r="F35" s="103" t="n"/>
      <c r="G35" s="103" t="n"/>
      <c r="H35" s="103" t="n"/>
      <c r="I35" s="103" t="n"/>
      <c r="J35" s="103" t="n"/>
      <c r="K35" s="103" t="n"/>
      <c r="L35" s="103" t="n"/>
    </row>
    <row r="36" ht="34" customHeight="1">
      <c r="A36" s="364" t="inlineStr">
        <is>
          <t>Player3D DIY 外观槽 × 动态继承（不影响八态/玩法）</t>
        </is>
      </c>
    </row>
    <row r="37">
      <c r="A37" s="364" t="inlineStr">
        <is>
          <t>槽位｜候选变体｜父组件｜移动｜射击/蓄力｜受击/击飞｜换弹｜死亡｜挂点契约｜验收｜复用范围｜首版实现</t>
        </is>
      </c>
    </row>
    <row r="38" ht="38" customHeight="1">
      <c r="A38" s="364" t="inlineStr">
        <is>
          <t>body/head/hand/feet/hat/glasses</t>
        </is>
      </c>
      <c r="B38" s="364" t="inlineStr">
        <is>
          <t>5+5+5+5+4+4</t>
        </is>
      </c>
      <c r="C38" s="364" t="inlineStr">
        <is>
          <t>BunnyRig Body/Head/Hands/Feet/Wearables</t>
        </is>
      </c>
      <c r="D38" s="364" t="inlineStr">
        <is>
          <t>身体弹性+双脚交替+双耳摆动</t>
        </is>
      </c>
      <c r="E38" s="364" t="inlineStr">
        <is>
          <t>按武器类型单/双手后坐；头前探</t>
        </is>
      </c>
      <c r="F38" s="364" t="inlineStr">
        <is>
          <t>整体后仰/脚随根回正</t>
        </is>
      </c>
      <c r="G38" s="364" t="inlineStr">
        <is>
          <t>主握手+WeaponSocket同相；长枪左手托举</t>
        </is>
      </c>
      <c r="H38" s="364" t="inlineStr">
        <is>
          <t>全部模块随根倾倒</t>
        </is>
      </c>
      <c r="I38" s="364" t="inlineStr">
        <is>
          <t>LowerBodySocket随BodyJoint；武器握持按枪型</t>
        </is>
      </c>
      <c r="J38" s="364" t="inlineStr">
        <is>
          <t>可见GLB材质+双耳+双手+双脚+八态覆盖</t>
        </is>
      </c>
      <c r="K38" s="364" t="inlineStr">
        <is>
          <t>3D玩家/预览场</t>
        </is>
      </c>
      <c r="L38" s="364" t="inlineStr">
        <is>
          <t>Bunny GLB材质/程序挂点；Player3D.set_avatar_customization</t>
        </is>
      </c>
    </row>
    <row r="39" ht="38" customHeight="1">
      <c r="A39" s="364" t="n"/>
      <c r="B39" s="364" t="n"/>
      <c r="C39" s="364" t="n"/>
      <c r="D39" s="364" t="n"/>
      <c r="E39" s="364" t="n"/>
      <c r="F39" s="364" t="n"/>
      <c r="G39" s="364" t="n"/>
      <c r="H39" s="364" t="n"/>
      <c r="I39" s="364" t="n"/>
      <c r="J39" s="364" t="n"/>
      <c r="K39" s="364" t="n"/>
      <c r="L39" s="364" t="n"/>
    </row>
    <row r="40" ht="38" customHeight="1">
      <c r="A40" s="364" t="inlineStr">
        <is>
          <t>v0.1 兔子组件与动作归属（不新增状态）</t>
        </is>
      </c>
    </row>
    <row r="41">
      <c r="A41" s="364" t="inlineStr">
        <is>
          <t>父模块｜子组件｜节点数量｜Idle｜Moving｜Dashing｜Hurt/Knockback｜Reload/Fire｜Dead｜图形语言｜禁止事项｜验收</t>
        </is>
      </c>
    </row>
    <row r="42">
      <c r="A42" s="364" t="inlineStr">
        <is>
          <t>Head / Body / Hands / Feet</t>
        </is>
      </c>
      <c r="B42" s="364" t="inlineStr">
        <is>
          <t>Ears / LowerBodySocket / HandL / HandR / FootL / FootR</t>
        </is>
      </c>
      <c r="C42" s="364" t="inlineStr">
        <is>
          <t>2 / 1 / 1 / 1 / 1 / 1</t>
        </is>
      </c>
      <c r="D42" s="364" t="inlineStr">
        <is>
          <t>双耳错相呼吸；下身挂点随Body</t>
        </is>
      </c>
      <c r="E42" s="364" t="inlineStr">
        <is>
          <t>双脚交替；双手按武器类型；挂点随Body</t>
        </is>
      </c>
      <c r="F42" s="364" t="inlineStr">
        <is>
          <t>随VisualRoot压缩翻滚</t>
        </is>
      </c>
      <c r="G42" s="364" t="inlineStr">
        <is>
          <t>手/耳/脚分别回弹；挂点继承Body</t>
        </is>
      </c>
      <c r="H42" s="364" t="inlineStr">
        <is>
          <t>手枪右手/长枪双手；下身挂件不参与枪姿</t>
        </is>
      </c>
      <c r="I42" s="364" t="inlineStr">
        <is>
          <t>全部随VisualRoot倾倒</t>
        </is>
      </c>
      <c r="J42" s="364" t="inlineStr">
        <is>
          <t>兔子刚性节点骨架；GLB分件</t>
        </is>
      </c>
      <c r="K42" s="364" t="inlineStr">
        <is>
          <t>禁止把下身附件烘焙进Body或加入玩法碰撞</t>
        </is>
      </c>
      <c r="L42" s="364" t="inlineStr">
        <is>
          <t>节点路径+材质换色+步态+持枪+LowerBodySocket专项验证</t>
        </is>
      </c>
    </row>
    <row r="44">
      <c r="A44" t="inlineStr">
        <is>
          <t>Player3D 近战动作子状态机 × 三段上下文（不新增顶层状态）</t>
        </is>
      </c>
    </row>
    <row r="45">
      <c r="A45" t="inlineStr">
        <is>
          <t>层级｜状态ID｜中文名｜唯一来源｜退出｜Body｜Head｜Hand L｜Hand R / WeaponSocket｜Scarf｜VFX/UI｜首版实现</t>
        </is>
      </c>
    </row>
    <row r="46">
      <c r="A46" t="inlineStr">
        <is>
          <t>动作子状态</t>
        </is>
      </c>
      <c r="B46" t="inlineStr">
        <is>
          <t>ready</t>
        </is>
      </c>
      <c r="C46" t="inlineStr">
        <is>
          <t>近战就绪</t>
        </is>
      </c>
      <c r="D46" t="inlineStr">
        <is>
          <t>PlayerMeleeCombat3D</t>
        </is>
      </c>
      <c r="E46" t="inlineStr">
        <is>
          <t>主攻击→windup</t>
        </is>
      </c>
      <c r="F46" t="inlineStr">
        <is>
          <t>保持当前idle/moving</t>
        </is>
      </c>
      <c r="G46" t="inlineStr">
        <is>
          <t>保持瞄准</t>
        </is>
      </c>
      <c r="H46" t="inlineStr">
        <is>
          <t>双手重型握持</t>
        </is>
      </c>
      <c r="I46" t="inlineStr">
        <is>
          <t>WeaponSocket稳定持械</t>
        </is>
      </c>
      <c r="J46" t="inlineStr">
        <is>
          <t>低频随动</t>
        </is>
      </c>
      <c r="K46" t="inlineStr">
        <is>
          <t>HUD显示近战·三段</t>
        </is>
      </c>
      <c r="L46" t="inlineStr">
        <is>
          <t>近战动作机初态/复位态；连段=-1；无命中许可</t>
        </is>
      </c>
    </row>
    <row r="47">
      <c r="A47" t="inlineStr">
        <is>
          <t>动作子状态</t>
        </is>
      </c>
      <c r="B47" t="inlineStr">
        <is>
          <t>windup</t>
        </is>
      </c>
      <c r="C47" t="inlineStr">
        <is>
          <t>挥砍前摇</t>
        </is>
      </c>
      <c r="D47" t="inlineStr">
        <is>
          <t>ready或连段recovery</t>
        </is>
      </c>
      <c r="E47" t="inlineStr">
        <is>
          <t>计时结束→active；非法顶层→ready</t>
        </is>
      </c>
      <c r="F47" t="inlineStr">
        <is>
          <t>侧拧/下压蓄势</t>
        </is>
      </c>
      <c r="G47" t="inlineStr">
        <is>
          <t>随躯干反向预备</t>
        </is>
      </c>
      <c r="H47" t="inlineStr">
        <is>
          <t>前手锁住长柄</t>
        </is>
      </c>
      <c r="I47" t="inlineStr">
        <is>
          <t>后手带WeaponSocket蓄势</t>
        </is>
      </c>
      <c r="J47" t="inlineStr">
        <is>
          <t>滞后拉伸</t>
        </is>
      </c>
      <c r="K47" t="inlineStr">
        <is>
          <t>动作阶段/连段编号</t>
        </is>
      </c>
      <c r="L47" t="inlineStr">
        <is>
          <t>三段分别为左横斩、右回斩、过顶重劈前摇；输入可缓存下一段</t>
        </is>
      </c>
    </row>
    <row r="48">
      <c r="A48" t="inlineStr">
        <is>
          <t>动作子状态</t>
        </is>
      </c>
      <c r="B48" t="inlineStr">
        <is>
          <t>active</t>
        </is>
      </c>
      <c r="C48" t="inlineStr">
        <is>
          <t>命中窗口</t>
        </is>
      </c>
      <c r="D48" t="inlineStr">
        <is>
          <t>windup计时完成</t>
        </is>
      </c>
      <c r="E48" t="inlineStr">
        <is>
          <t>计时结束→recovery；非法顶层→ready</t>
        </is>
      </c>
      <c r="F48" t="inlineStr">
        <is>
          <t>跨侧扭转/第三段前压</t>
        </is>
      </c>
      <c r="G48" t="inlineStr">
        <is>
          <t>跟随挥砍方向</t>
        </is>
      </c>
      <c r="H48" t="inlineStr">
        <is>
          <t>双手沿长柄同步扫过</t>
        </is>
      </c>
      <c r="I48" t="inlineStr">
        <is>
          <t>WeaponSocket执行横扫或过顶弧</t>
        </is>
      </c>
      <c r="J48" t="inlineStr">
        <is>
          <t>受冲量甩动</t>
        </is>
      </c>
      <c r="K48" t="inlineStr">
        <is>
          <t>池化slash弧光/逐目标melee_impact/伤害飘字/挥砍与冲击音频</t>
        </is>
      </c>
      <c r="L48" t="inlineStr">
        <is>
          <t>进入时唯一一次扇区查询；每段一弧光一挥砍音；逐目标爆点，多目标冲击主音去重；距离+夹角+墙体+目标去重</t>
        </is>
      </c>
    </row>
    <row r="49">
      <c r="A49" t="inlineStr">
        <is>
          <t>动作子状态</t>
        </is>
      </c>
      <c r="B49" t="inlineStr">
        <is>
          <t>recovery</t>
        </is>
      </c>
      <c r="C49" t="inlineStr">
        <is>
          <t>挥砍后摇</t>
        </is>
      </c>
      <c r="D49" t="inlineStr">
        <is>
          <t>active计时完成</t>
        </is>
      </c>
      <c r="E49" t="inlineStr">
        <is>
          <t>有缓存→下一段windup；否则→ready</t>
        </is>
      </c>
      <c r="F49" t="inlineStr">
        <is>
          <t>重心回收</t>
        </is>
      </c>
      <c r="G49" t="inlineStr">
        <is>
          <t>回正</t>
        </is>
      </c>
      <c r="H49" t="inlineStr">
        <is>
          <t>双手恢复握持间距</t>
        </is>
      </c>
      <c r="I49" t="inlineStr">
        <is>
          <t>WeaponSocket回到持械位</t>
        </is>
      </c>
      <c r="J49" t="inlineStr">
        <is>
          <t>余振衰减</t>
        </is>
      </c>
      <c r="K49" t="inlineStr">
        <is>
          <t>连段缓存提示</t>
        </is>
      </c>
      <c r="L49" t="inlineStr">
        <is>
          <t>第三段结束强制复位；受伤/冲刺/坠落/锁定/死亡/换武器全部取消</t>
        </is>
      </c>
    </row>
  </sheetData>
  <mergeCells count="11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18:L18"/>
    <mergeCell ref="A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1" customWidth="1" min="3" max="3"/>
    <col width="24" customWidth="1" min="4" max="4"/>
    <col width="58" customWidth="1" min="5" max="5"/>
    <col width="18" customWidth="1" min="6" max="6"/>
    <col width="24" customWidth="1" min="7" max="7"/>
    <col width="12" customWidth="1" min="8" max="8"/>
  </cols>
  <sheetData>
    <row r="1" ht="25" customHeight="1">
      <c r="A1" s="3" t="inlineStr">
        <is>
          <t>当前角色原型 · 兔子组件角色</t>
        </is>
      </c>
    </row>
    <row r="2" ht="12" customHeight="1"/>
    <row r="3" ht="23" customHeight="1">
      <c r="A3" s="6" t="inlineStr">
        <is>
          <t>1.5m 俯视3D角色；逻辑根、虚拟碰撞胶囊、视觉组件和 WeaponSocket 相互独立</t>
        </is>
      </c>
    </row>
    <row r="5" ht="32" customHeight="1">
      <c r="A5" s="298" t="inlineStr">
        <is>
          <t>组件</t>
        </is>
      </c>
      <c r="B5" s="299" t="inlineStr">
        <is>
          <t>AssetID</t>
        </is>
      </c>
      <c r="C5" s="299" t="inlineStr">
        <is>
          <t>尺寸</t>
        </is>
      </c>
      <c r="D5" s="299" t="inlineStr">
        <is>
          <t>用途</t>
        </is>
      </c>
      <c r="E5" s="299" t="inlineStr">
        <is>
          <t>文件</t>
        </is>
      </c>
      <c r="F5" s="299" t="inlineStr">
        <is>
          <t>哈希前12位</t>
        </is>
      </c>
      <c r="G5" s="299" t="inlineStr">
        <is>
          <t>动作方式</t>
        </is>
      </c>
      <c r="H5" s="300" t="inlineStr">
        <is>
          <t>验收</t>
        </is>
      </c>
    </row>
    <row r="6" ht="42" customHeight="1">
      <c r="A6" s="301" t="inlineStr">
        <is>
          <t>root</t>
        </is>
      </c>
      <c r="B6" s="301" t="inlineStr">
        <is>
          <t>CHR-PLY-CAPSULE01-3D-BUNNY01</t>
        </is>
      </c>
      <c r="C6" s="301" t="inlineStr">
        <is>
          <t>1.034×1.500×0.645m</t>
        </is>
      </c>
      <c r="D6" s="301" t="inlineStr">
        <is>
          <t>视觉组件根</t>
        </is>
      </c>
      <c r="E6" s="301" t="inlineStr">
        <is>
          <t>assets/art/characters/player/chr_player_capsule01_3d/variants/bunny01/chr_player_capsule01_bunny01_root_top3d_v006.tscn</t>
        </is>
      </c>
      <c r="F6" s="301" t="inlineStr">
        <is>
          <t>b894e9fe05f8</t>
        </is>
      </c>
      <c r="G6" s="301" t="inlineStr">
        <is>
          <t>八态 + 动作覆盖层</t>
        </is>
      </c>
      <c r="H6" s="301" t="inlineStr">
        <is>
          <t>通过</t>
        </is>
      </c>
    </row>
    <row r="7" ht="42" customHeight="1">
      <c r="A7" s="138" t="inlineStr">
        <is>
          <t>body</t>
        </is>
      </c>
      <c r="B7" s="138" t="inlineStr">
        <is>
          <t>CHR-PLY-CAPSULE01-3D-BUNNY01-BODY</t>
        </is>
      </c>
      <c r="C7" s="138" t="inlineStr">
        <is>
          <t>1.5m角色比例</t>
        </is>
      </c>
      <c r="D7" s="138" t="inlineStr">
        <is>
          <t>身体组件</t>
        </is>
      </c>
      <c r="E7" s="138" t="inlineStr">
        <is>
          <t>assets/art/characters/player/chr_player_capsule01_3d/variants/bunny01/components/chr_player_capsule01_bunny01_body_top3d_v006.glb</t>
        </is>
      </c>
      <c r="F7" s="138" t="inlineStr">
        <is>
          <t>c574d76e0f19</t>
        </is>
      </c>
      <c r="G7" s="138" t="inlineStr">
        <is>
          <t>呼吸/移动/受击</t>
        </is>
      </c>
      <c r="H7" s="138" t="inlineStr">
        <is>
          <t>通过</t>
        </is>
      </c>
    </row>
    <row r="8" ht="42" customHeight="1">
      <c r="A8" s="138" t="inlineStr">
        <is>
          <t>head</t>
        </is>
      </c>
      <c r="B8" s="138" t="inlineStr">
        <is>
          <t>CHR-PLY-CAPSULE01-3D-BUNNY01-HEAD</t>
        </is>
      </c>
      <c r="C8" s="138" t="inlineStr">
        <is>
          <t>头顶1.103390m</t>
        </is>
      </c>
      <c r="D8" s="138" t="inlineStr">
        <is>
          <t>头部组件</t>
        </is>
      </c>
      <c r="E8" s="138" t="inlineStr">
        <is>
          <t>assets/art/characters/player/chr_player_capsule01_3d/variants/bunny01/components/chr_player_capsule01_bunny01_head_top3d_v006.glb</t>
        </is>
      </c>
      <c r="F8" s="138" t="inlineStr">
        <is>
          <t>b8db86c722bb</t>
        </is>
      </c>
      <c r="G8" s="138" t="inlineStr">
        <is>
          <t>延迟跟随/受击</t>
        </is>
      </c>
      <c r="H8" s="138" t="inlineStr">
        <is>
          <t>通过</t>
        </is>
      </c>
    </row>
    <row r="9" ht="42" customHeight="1">
      <c r="A9" s="138" t="inlineStr">
        <is>
          <t>ears</t>
        </is>
      </c>
      <c r="B9" s="138" t="inlineStr">
        <is>
          <t>CHR-PLY-CAPSULE01-3D-BUNNY01-EARS</t>
        </is>
      </c>
      <c r="C9" s="138" t="inlineStr">
        <is>
          <t>单GLB双实例</t>
        </is>
      </c>
      <c r="D9" s="138" t="inlineStr">
        <is>
          <t>双耳配件</t>
        </is>
      </c>
      <c r="E9" s="138" t="inlineStr">
        <is>
          <t>assets/art/characters/player/chr_player_capsule01_3d/variants/bunny01/components/chr_player_capsule01_bunny01_ear_top3d_v006.glb</t>
        </is>
      </c>
      <c r="F9" s="138" t="inlineStr">
        <is>
          <t>ed3c7abe2831</t>
        </is>
      </c>
      <c r="G9" s="138" t="inlineStr">
        <is>
          <t>跟随/摆动</t>
        </is>
      </c>
      <c r="H9" s="138" t="inlineStr">
        <is>
          <t>通过</t>
        </is>
      </c>
    </row>
    <row r="10" ht="42" customHeight="1">
      <c r="A10" s="138" t="inlineStr">
        <is>
          <t>hands</t>
        </is>
      </c>
      <c r="B10" s="138" t="inlineStr">
        <is>
          <t>CHR-PLY-CAPSULE01-3D-BUNNY01-HAND</t>
        </is>
      </c>
      <c r="C10" s="138" t="inlineStr">
        <is>
          <t>左右独立GLB</t>
        </is>
      </c>
      <c r="D10" s="138" t="inlineStr">
        <is>
          <t>握持与支撑手</t>
        </is>
      </c>
      <c r="E10" s="138" t="inlineStr">
        <is>
          <t>assets/art/characters/player/chr_player_capsule01_3d/variants/bunny01/components/chr_player_capsule01_bunny01_hand_l_top3d_v006.glb; ...hand_r...v006.glb</t>
        </is>
      </c>
      <c r="F10" s="138" t="inlineStr">
        <is>
          <t>2c6647c0e4f2</t>
        </is>
      </c>
      <c r="G10" s="138" t="inlineStr">
        <is>
          <t>单手/双手握持</t>
        </is>
      </c>
      <c r="H10" s="138" t="inlineStr">
        <is>
          <t>通过</t>
        </is>
      </c>
    </row>
    <row r="11" ht="42" customHeight="1">
      <c r="A11" t="inlineStr">
        <is>
          <t>foot_l</t>
        </is>
      </c>
      <c r="B11" s="392" t="inlineStr">
        <is>
          <t>CHR-PLY-CAPSULE01-3D-BUNNY01-FOOT-L</t>
        </is>
      </c>
      <c r="C11" t="inlineStr">
        <is>
          <t>1.5m角色比例</t>
        </is>
      </c>
      <c r="D11" t="inlineStr">
        <is>
          <t>左脚组件</t>
        </is>
      </c>
      <c r="E11" s="392" t="inlineStr">
        <is>
          <t>assets/art/characters/player/chr_player_capsule01_3d/variants/bunny01/components/chr_player_capsule01_bunny01_foot_l_top3d_v006.glb</t>
        </is>
      </c>
      <c r="F11" t="inlineStr">
        <is>
          <t>52051cba0db7</t>
        </is>
      </c>
      <c r="G11" t="inlineStr">
        <is>
          <t>步态/下落/落地</t>
        </is>
      </c>
      <c r="H11" t="inlineStr">
        <is>
          <t>通过</t>
        </is>
      </c>
    </row>
    <row r="12" ht="42" customHeight="1">
      <c r="A12" t="inlineStr">
        <is>
          <t>foot_r</t>
        </is>
      </c>
      <c r="B12" s="392" t="inlineStr">
        <is>
          <t>CHR-PLY-CAPSULE01-3D-BUNNY01-FOOT-R</t>
        </is>
      </c>
      <c r="C12" t="inlineStr">
        <is>
          <t>1.5m角色比例</t>
        </is>
      </c>
      <c r="D12" t="inlineStr">
        <is>
          <t>右脚组件</t>
        </is>
      </c>
      <c r="E12" s="392" t="inlineStr">
        <is>
          <t>assets/art/characters/player/chr_player_capsule01_3d/variants/bunny01/components/chr_player_capsule01_bunny01_foot_r_top3d_v006.glb</t>
        </is>
      </c>
      <c r="F12" t="inlineStr">
        <is>
          <t>d81e840f5c08</t>
        </is>
      </c>
      <c r="G12" t="inlineStr">
        <is>
          <t>步态/下落/落地</t>
        </is>
      </c>
      <c r="H12" t="inlineStr">
        <is>
          <t>通过</t>
        </is>
      </c>
    </row>
    <row r="13">
      <c r="A13" s="57" t="inlineStr">
        <is>
          <t>八态游戏内验收（Idle / Moving / Dashing / Hurt / Locked / Falling / Landing / Dead）</t>
        </is>
      </c>
    </row>
    <row r="15" ht="32" customHeight="1">
      <c r="A15" s="298" t="inlineStr">
        <is>
          <t>IDLE</t>
        </is>
      </c>
      <c r="B15" s="299" t="inlineStr">
        <is>
          <t>MOVING</t>
        </is>
      </c>
      <c r="C15" s="299" t="inlineStr">
        <is>
          <t>DASHING</t>
        </is>
      </c>
      <c r="D15" s="299" t="inlineStr">
        <is>
          <t>HURT</t>
        </is>
      </c>
      <c r="E15" s="299" t="inlineStr">
        <is>
          <t>LOCKED</t>
        </is>
      </c>
      <c r="F15" s="300" t="inlineStr">
        <is>
          <t>FALLING</t>
        </is>
      </c>
      <c r="G15" s="108" t="inlineStr">
        <is>
          <t>LANDING</t>
        </is>
      </c>
      <c r="H15" s="108" t="inlineStr">
        <is>
          <t>DEAD</t>
        </is>
      </c>
    </row>
    <row r="16">
      <c r="A16" s="301" t="inlineStr">
        <is>
          <t>待命</t>
        </is>
      </c>
      <c r="B16" s="301" t="inlineStr">
        <is>
          <t>移动</t>
        </is>
      </c>
      <c r="C16" s="301" t="inlineStr">
        <is>
          <t>突进</t>
        </is>
      </c>
      <c r="D16" s="301" t="inlineStr">
        <is>
          <t>受创</t>
        </is>
      </c>
      <c r="E16" s="301" t="inlineStr">
        <is>
          <t>交互锁定</t>
        </is>
      </c>
      <c r="F16" s="301" t="inlineStr">
        <is>
          <t>下落</t>
        </is>
      </c>
      <c r="G16" t="inlineStr">
        <is>
          <t>落地</t>
        </is>
      </c>
      <c r="H16" t="inlineStr">
        <is>
          <t>生命终止</t>
        </is>
      </c>
    </row>
    <row r="17">
      <c r="A17" s="138" t="inlineStr">
        <is>
          <t>呼吸/重心</t>
        </is>
      </c>
      <c r="B17" s="138" t="inlineStr">
        <is>
          <t>双脚交替</t>
        </is>
      </c>
      <c r="C17" s="138" t="inlineStr">
        <is>
          <t>翻滚收束</t>
        </is>
      </c>
      <c r="D17" s="138" t="inlineStr">
        <is>
          <t>反向冲击</t>
        </is>
      </c>
      <c r="E17" s="138" t="inlineStr">
        <is>
          <t>姿态稳定</t>
        </is>
      </c>
      <c r="F17" s="138" t="inlineStr">
        <is>
          <t>收腿下落</t>
        </is>
      </c>
      <c r="G17" t="inlineStr">
        <is>
          <t>压缩回弹</t>
        </is>
      </c>
      <c r="H17" t="inlineStr">
        <is>
          <t>整体倒伏</t>
        </is>
      </c>
    </row>
    <row r="18">
      <c r="A18" s="138" t="inlineStr">
        <is>
          <t>可进移动/突进</t>
        </is>
      </c>
      <c r="B18" s="138" t="inlineStr">
        <is>
          <t>可进待命/突进</t>
        </is>
      </c>
      <c r="C18" s="138" t="inlineStr">
        <is>
          <t>回到待命或移动</t>
        </is>
      </c>
      <c r="D18" s="138" t="inlineStr">
        <is>
          <t>恢复原状态</t>
        </is>
      </c>
      <c r="E18" s="138" t="inlineStr">
        <is>
          <t>由交互释放</t>
        </is>
      </c>
      <c r="F18" s="138" t="inlineStr">
        <is>
          <t>只进落地或死亡</t>
        </is>
      </c>
      <c r="G18" t="inlineStr">
        <is>
          <t>回到可控态</t>
        </is>
      </c>
      <c r="H18" t="inlineStr">
        <is>
          <t>终态</t>
        </is>
      </c>
    </row>
    <row r="19">
      <c r="A19" s="138" t="inlineStr">
        <is>
          <t>允许射击覆盖</t>
        </is>
      </c>
      <c r="B19" s="138" t="inlineStr">
        <is>
          <t>允许射击覆盖</t>
        </is>
      </c>
      <c r="C19" s="138" t="inlineStr">
        <is>
          <t>无敌窗</t>
        </is>
      </c>
      <c r="D19" s="138" t="inlineStr">
        <is>
          <t>受击反馈</t>
        </is>
      </c>
      <c r="E19" s="138" t="inlineStr">
        <is>
          <t>输入锁定</t>
        </is>
      </c>
      <c r="F19" s="138" t="inlineStr">
        <is>
          <t>关闭地面步态</t>
        </is>
      </c>
      <c r="G19" t="inlineStr">
        <is>
          <t>短时落地冲击</t>
        </is>
      </c>
      <c r="H19" t="inlineStr">
        <is>
          <t>停止动作</t>
        </is>
      </c>
    </row>
    <row r="21">
      <c r="A21" s="58" t="inlineStr">
        <is>
          <t>视觉输出：outputs/verification/player3d_state_gallery.png</t>
        </is>
      </c>
    </row>
    <row r="23">
      <c r="A23" s="61" t="inlineStr">
        <is>
          <t>验证命令：./scripts/run_verification_suite.sh scene verify_player3d_state_gallery_flow</t>
        </is>
      </c>
    </row>
    <row r="24" ht="24" customHeight="1">
      <c r="A24" s="73" t="inlineStr">
        <is>
          <t>换弹覆盖层：唯一手 + WeaponSocket 同相动作；测试 tests/verification/verify_3d_reload_state_flow.tscn</t>
        </is>
      </c>
    </row>
    <row r="25" ht="30" customHeight="1">
      <c r="A25" s="392" t="inlineStr">
        <is>
          <t>独立3D验收：scenes/Player3DStateGallery.tscn；验证位于 tests/verification/</t>
        </is>
      </c>
    </row>
    <row r="26" ht="32" customHeight="1">
      <c r="A26" s="83" t="inlineStr">
        <is>
          <t>动作覆盖层：firing / charging / knockback 不新增顶层状态；测试 tests/verification/verify_player3d_state_gallery_flow.tscn</t>
        </is>
      </c>
    </row>
    <row r="28" ht="34" customHeight="1">
      <c r="A28" s="95" t="inlineStr">
        <is>
          <t>DIY：body / head / hand / feet / hat / glasses 只改表现；测试 tests/verification/verify_player3d_diy_flow.tscn</t>
        </is>
      </c>
    </row>
    <row r="29" ht="38" customHeight="1">
      <c r="A29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showGridLines="0" workbookViewId="0">
      <pane ySplit="3" topLeftCell="A4" activePane="bottomLeft" state="frozen"/>
      <selection activeCell="A1" sqref="A1"/>
    </sheetView>
  </sheetViews>
  <sheetFormatPr baseColWidth="8" defaultRowHeight="15"/>
  <cols>
    <col width="16" customWidth="1" min="1" max="1"/>
    <col width="75" customWidth="1" min="2" max="2"/>
    <col width="70" customWidth="1" min="3" max="3"/>
    <col width="12" customWidth="1" min="4" max="4"/>
  </cols>
  <sheetData>
    <row r="1">
      <c r="A1" s="351" t="inlineStr">
        <is>
          <t>角色 v021 模型与动作中转记录</t>
        </is>
      </c>
    </row>
    <row r="2">
      <c r="A2" s="351" t="inlineStr">
        <is>
          <t>状态</t>
        </is>
      </c>
      <c r="B2" s="351" t="inlineStr">
        <is>
          <t>active</t>
        </is>
      </c>
      <c r="C2" s="351" t="inlineStr">
        <is>
          <t>骨架：SKEL-BUNNY01-004</t>
        </is>
      </c>
    </row>
    <row r="3">
      <c r="A3" s="373" t="inlineStr">
        <is>
          <t>文件类型</t>
        </is>
      </c>
      <c r="B3" s="373" t="inlineStr">
        <is>
          <t>相对路径</t>
        </is>
      </c>
      <c r="C3" s="373" t="inlineStr">
        <is>
          <t>SHA-256</t>
        </is>
      </c>
      <c r="D3" s="373" t="inlineStr">
        <is>
          <t>字节数</t>
        </is>
      </c>
    </row>
    <row r="4" ht="65" customHeight="1">
      <c r="A4" s="354" t="inlineStr">
        <is>
          <t>模型母版</t>
        </is>
      </c>
      <c r="B4" s="354" t="inlineStr">
        <is>
          <t>assets/art/characters/player/chr_player_capsule01_3d/variants/bunny01/production/v021/source/model/chr_bunny01_model_v021.blend</t>
        </is>
      </c>
      <c r="C4" s="354" t="inlineStr">
        <is>
          <t>0164fa024715d7b7020094b8e1d2719fd6fde717deba5280f4e5ad4fb9f7f711</t>
        </is>
      </c>
      <c r="D4" s="354" t="n">
        <v>10282728</v>
      </c>
    </row>
    <row r="5" ht="65" customHeight="1">
      <c r="A5" s="354" t="inlineStr">
        <is>
          <t>动作母版</t>
        </is>
      </c>
      <c r="B5" s="354" t="inlineStr">
        <is>
          <t>assets/art/characters/player/chr_player_capsule01_3d/variants/bunny01/production/v021/source/animation/chr_bunny01_animation_v021.blend</t>
        </is>
      </c>
      <c r="C5" s="354" t="inlineStr">
        <is>
          <t>ca60df8d5345ea8a995edd7c65949e08df11ff8b086f645eb7c09097e1f66147</t>
        </is>
      </c>
      <c r="D5" s="354" t="n">
        <v>37574256</v>
      </c>
    </row>
    <row r="6" ht="65" customHeight="1">
      <c r="A6" s="354" t="inlineStr">
        <is>
          <t>导出文件</t>
        </is>
      </c>
      <c r="B6" s="354" t="inlineStr">
        <is>
          <t>assets/art/characters/player/chr_player_capsule01_3d/variants/bunny01/production/v021/exports/chr_bunny01_model_v021.glb</t>
        </is>
      </c>
      <c r="C6" s="354" t="inlineStr">
        <is>
          <t>ded83dc49be4790aec4f6164f9de8b82dde125700a5eea5f323512f0f181bd0f</t>
        </is>
      </c>
      <c r="D6" s="354" t="n">
        <v>8177976</v>
      </c>
    </row>
    <row r="7" ht="65" customHeight="1">
      <c r="A7" s="354" t="inlineStr">
        <is>
          <t>导出文件</t>
        </is>
      </c>
      <c r="B7" s="354" t="inlineStr">
        <is>
          <t>assets/art/characters/player/chr_player_capsule01_3d/variants/bunny01/production/v021/exports/anim_bunny01_library_v021.json</t>
        </is>
      </c>
      <c r="C7" s="354" t="inlineStr">
        <is>
          <t>5d71afb9666e7cef7ca8139ecd7cdd6e5fb0c1c7405b3c90acfb7d6787004d28</t>
        </is>
      </c>
      <c r="D7" s="354" t="n">
        <v>1668137</v>
      </c>
    </row>
    <row r="8" ht="65" customHeight="1">
      <c r="A8" s="354" t="inlineStr">
        <is>
          <t>导出文件</t>
        </is>
      </c>
      <c r="B8" s="354" t="inlineStr">
        <is>
          <t>assets/art/characters/player/chr_player_capsule01_3d/variants/bunny01/production/v021/exports/anim_bunny01_library_v021.glb</t>
        </is>
      </c>
      <c r="C8" s="354" t="inlineStr">
        <is>
          <t>02f4c83218ef563103ea4a8f4b6370fefc041bf3ff9680741546f6dee8af2c72</t>
        </is>
      </c>
      <c r="D8" s="354" t="n">
        <v>580880</v>
      </c>
    </row>
    <row r="9" ht="65" customHeight="1">
      <c r="A9" s="354" t="inlineStr">
        <is>
          <t>导出文件</t>
        </is>
      </c>
      <c r="B9" s="354" t="inlineStr">
        <is>
          <t>assets/art/characters/player/chr_player_capsule01_3d/variants/bunny01/production/v021/exports/chr_bunny01_body_v021.glb</t>
        </is>
      </c>
      <c r="C9" s="354" t="inlineStr">
        <is>
          <t>861c7d454e510d7d50c0459dc9fa5b052af56c473896333a68ab6940ae981b49</t>
        </is>
      </c>
      <c r="D9" s="354" t="n">
        <v>2437308</v>
      </c>
    </row>
    <row r="10" ht="65" customHeight="1">
      <c r="A10" s="354" t="inlineStr">
        <is>
          <t>导出文件</t>
        </is>
      </c>
      <c r="B10" s="354" t="inlineStr">
        <is>
          <t>assets/art/characters/player/chr_player_capsule01_3d/variants/bunny01/production/v021/exports/chr_bunny01_head_v021.glb</t>
        </is>
      </c>
      <c r="C10" s="354" t="inlineStr">
        <is>
          <t>f654754b8a52cbd173597bd5f1e390a900bd0c2b0ed4ba357a8060542d51fda5</t>
        </is>
      </c>
      <c r="D10" s="354" t="n">
        <v>1356048</v>
      </c>
    </row>
    <row r="11" ht="65" customHeight="1">
      <c r="A11" s="354" t="inlineStr">
        <is>
          <t>导出文件</t>
        </is>
      </c>
      <c r="B11" s="354" t="inlineStr">
        <is>
          <t>assets/art/characters/player/chr_player_capsule01_3d/variants/bunny01/production/v021/exports/chr_bunny01_chibi_anime_v021.glb</t>
        </is>
      </c>
      <c r="C11" s="354" t="inlineStr">
        <is>
          <t>d83d016304df67eeff0f1222e3f4be19baef05437e7cbdca6f60a4842b26f5ec</t>
        </is>
      </c>
      <c r="D11" s="354" t="n">
        <v>2524432</v>
      </c>
    </row>
    <row r="12" ht="65" customHeight="1">
      <c r="A12" s="354" t="inlineStr">
        <is>
          <t>导出文件</t>
        </is>
      </c>
      <c r="B12" s="354" t="inlineStr">
        <is>
          <t>assets/art/characters/player/chr_player_capsule01_3d/variants/bunny01/production/v021/exports/chr_bunny01_hand_l_v021.glb</t>
        </is>
      </c>
      <c r="C12" s="354" t="inlineStr">
        <is>
          <t>eb021c9f0858a3b6bc5012551db2424cbc44baa0f769d6365fde780df4b8058c</t>
        </is>
      </c>
      <c r="D12" s="354" t="n">
        <v>186356</v>
      </c>
    </row>
    <row r="13" ht="65" customHeight="1">
      <c r="A13" s="354" t="inlineStr">
        <is>
          <t>导出文件</t>
        </is>
      </c>
      <c r="B13" s="354" t="inlineStr">
        <is>
          <t>assets/art/characters/player/chr_player_capsule01_3d/variants/bunny01/production/v021/exports/chr_bunny01_hand_r_v021.glb</t>
        </is>
      </c>
      <c r="C13" s="354" t="inlineStr">
        <is>
          <t>ceaf3366cd4fa1887c3e897608052419120f2e4887003f48871b1fdea71f5cfb</t>
        </is>
      </c>
      <c r="D13" s="354" t="n">
        <v>186356</v>
      </c>
    </row>
    <row r="14" ht="65" customHeight="1">
      <c r="A14" s="354" t="inlineStr">
        <is>
          <t>导出文件</t>
        </is>
      </c>
      <c r="B14" s="354" t="inlineStr">
        <is>
          <t>assets/art/characters/player/chr_player_capsule01_3d/variants/bunny01/production/v021/exports/chr_bunny01_foot_l_v021.glb</t>
        </is>
      </c>
      <c r="C14" s="354" t="inlineStr">
        <is>
          <t>60617a88b9659d9c4dba5884ed68314ff1e503a80df0ff5b35d63f8578b6b60a</t>
        </is>
      </c>
      <c r="D14" s="354" t="n">
        <v>1833688</v>
      </c>
    </row>
    <row r="15" ht="65" customHeight="1">
      <c r="A15" s="354" t="inlineStr">
        <is>
          <t>导出文件</t>
        </is>
      </c>
      <c r="B15" s="354" t="inlineStr">
        <is>
          <t>assets/art/characters/player/chr_player_capsule01_3d/variants/bunny01/production/v021/exports/chr_bunny01_foot_r_v021.glb</t>
        </is>
      </c>
      <c r="C15" s="354" t="inlineStr">
        <is>
          <t>8509a8e959a7d427b4ee168d8585fb2d09ca01cbbf8c83601d8d5c46fe22e7a7</t>
        </is>
      </c>
      <c r="D15" s="354" t="n">
        <v>1833692</v>
      </c>
    </row>
    <row r="16" ht="65" customHeight="1">
      <c r="A16" s="354" t="inlineStr">
        <is>
          <t>导出文件</t>
        </is>
      </c>
      <c r="B16" s="354" t="inlineStr">
        <is>
          <t>assets/art/characters/player/chr_player_capsule01_3d/variants/bunny01/production/v021/exports/chr_bunny01_ear_l_v021.glb</t>
        </is>
      </c>
      <c r="C16" s="354" t="inlineStr">
        <is>
          <t>0936a7e3212554eddf48af62704649b6a6c98a67b56b180ed2e802bc97a1fc7c</t>
        </is>
      </c>
      <c r="D16" s="354" t="n">
        <v>979276</v>
      </c>
    </row>
    <row r="17" ht="65" customHeight="1">
      <c r="A17" s="354" t="inlineStr">
        <is>
          <t>导出文件</t>
        </is>
      </c>
      <c r="B17" s="354" t="inlineStr">
        <is>
          <t>assets/art/characters/player/chr_player_capsule01_3d/variants/bunny01/production/v021/exports/chr_bunny01_ear_r_v021.glb</t>
        </is>
      </c>
      <c r="C17" s="354" t="inlineStr">
        <is>
          <t>7719ba73dec977951da3edf997752ba5afcf4a1c9f8b2bc8dd5ad8a78381b208</t>
        </is>
      </c>
      <c r="D17" s="354" t="n">
        <v>979268</v>
      </c>
    </row>
    <row r="18" ht="65" customHeight="1">
      <c r="A18" s="354" t="n"/>
      <c r="B18" s="354" t="n"/>
      <c r="C18" s="354" t="n"/>
      <c r="D18" s="354" t="n"/>
    </row>
    <row r="19" ht="65" customHeight="1">
      <c r="A19" s="354" t="n"/>
      <c r="B19" s="354" t="n"/>
      <c r="C19" s="354" t="n"/>
      <c r="D19" s="354" t="n"/>
    </row>
    <row r="20" ht="65" customHeight="1">
      <c r="A20" s="354" t="n"/>
      <c r="B20" s="354" t="n"/>
      <c r="C20" s="354" t="n"/>
      <c r="D20" s="354" t="n"/>
    </row>
    <row r="21" ht="65" customHeight="1">
      <c r="A21" s="354" t="n"/>
      <c r="B21" s="354" t="n"/>
      <c r="C21" s="354" t="n"/>
      <c r="D21" s="354" t="n"/>
    </row>
    <row r="22" ht="65" customHeight="1">
      <c r="A22" s="354" t="n"/>
      <c r="B22" s="354" t="n"/>
      <c r="C22" s="354" t="n"/>
      <c r="D22" s="354" t="n"/>
    </row>
    <row r="23" ht="65" customHeight="1">
      <c r="A23" s="354" t="n"/>
      <c r="B23" s="354" t="n"/>
      <c r="C23" s="354" t="n"/>
      <c r="D23" s="354" t="n"/>
    </row>
    <row r="24" ht="65" customHeight="1">
      <c r="A24" s="354" t="n"/>
      <c r="B24" s="354" t="n"/>
      <c r="C24" s="354" t="n"/>
      <c r="D24" s="354" t="n"/>
    </row>
    <row r="25" ht="65" customHeight="1">
      <c r="A25" s="354" t="n"/>
      <c r="B25" s="354" t="n"/>
      <c r="C25" s="354" t="n"/>
      <c r="D25" s="354" t="n"/>
    </row>
    <row r="26" ht="65" customHeight="1">
      <c r="A26" s="354" t="n"/>
      <c r="B26" s="354" t="n"/>
      <c r="C26" s="354" t="n"/>
      <c r="D26" s="354" t="n"/>
    </row>
    <row r="27" ht="65" customHeight="1">
      <c r="A27" s="354" t="n"/>
      <c r="B27" s="354" t="n"/>
      <c r="C27" s="354" t="n"/>
      <c r="D27" s="354" t="n"/>
    </row>
    <row r="28" ht="65" customHeight="1">
      <c r="A28" s="354" t="n"/>
      <c r="B28" s="354" t="n"/>
      <c r="C28" s="354" t="n"/>
      <c r="D28" s="354" t="n"/>
    </row>
    <row r="29" ht="65" customHeight="1">
      <c r="A29" s="354" t="n"/>
      <c r="B29" s="354" t="n"/>
      <c r="C29" s="354" t="n"/>
      <c r="D29" s="354" t="n"/>
    </row>
    <row r="30" ht="65" customHeight="1">
      <c r="A30" s="354" t="n"/>
      <c r="B30" s="354" t="n"/>
      <c r="C30" s="354" t="n"/>
      <c r="D30" s="354" t="n"/>
    </row>
  </sheetData>
  <mergeCells count="2">
    <mergeCell ref="A1:D1"/>
    <mergeCell ref="C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角色 3D Prefab</t>
        </is>
      </c>
    </row>
    <row r="2" ht="34" customHeight="1">
      <c r="A2" s="250" t="inlineStr">
        <is>
          <t>玩家、NPC与角色表现/玩法根及制作母版；当前 4 个登记项。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CHR-PLY-CAPSULE01-3D</t>
        </is>
      </c>
      <c r="B5" s="189" t="inlineStr">
        <is>
          <t>方形猫角色3D根组件</t>
        </is>
      </c>
      <c r="C5" s="189" t="inlineStr">
        <is>
          <t>assets/art/characters/player/chr_player_capsule01_3d/chr_player_capsule01_root_top3d_v001.tscn</t>
        </is>
      </c>
      <c r="D5" s="189" t="str"/>
      <c r="E5" s="189" t="str"/>
      <c r="F5" s="189" t="inlineStr">
        <is>
          <t>角色3D表现Prefab</t>
        </is>
      </c>
      <c r="G5" s="189" t="inlineStr">
        <is>
          <t>src/player3d/PlayerAvatar3D.gd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PackedScene/程序材质</t>
        </is>
      </c>
      <c r="L5" s="189" t="inlineStr">
        <is>
          <t>未声明</t>
        </is>
      </c>
      <c r="M5" s="189" t="inlineStr">
        <is>
          <t>3D玩家场景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根节点=CapsuleAvatar3D(Node3D)</t>
        </is>
      </c>
    </row>
    <row r="6" ht="66" customHeight="1">
      <c r="A6" s="191" t="inlineStr">
        <is>
          <t>CHR-PLY-CAPSULE01</t>
        </is>
      </c>
      <c r="B6" s="192" t="inlineStr">
        <is>
          <t>胶囊防护体玩家</t>
        </is>
      </c>
      <c r="C6" s="192" t="inlineStr">
        <is>
          <t>assets/art/characters/player/chr_player_capsule01_3d/variants/bunny01/production/v021/runtime/chr_bunny01_root_v021.tscn</t>
        </is>
      </c>
      <c r="D6" s="192" t="inlineStr">
        <is>
          <t>assets/art/characters/player/chr_player_capsule01_3d/variants/bunny01/production/v021/exports/chr_bunny01_model_v021.glb；运行时分件见角色中转记录</t>
        </is>
      </c>
      <c r="E6" s="192" t="inlineStr">
        <is>
          <t>模型、动作双母版：完整路径见「角色中转记录」</t>
        </is>
      </c>
      <c r="F6" s="192" t="inlineStr">
        <is>
          <t>角色3D表现Prefab</t>
        </is>
      </c>
      <c r="G6" s="192" t="inlineStr">
        <is>
          <t>src/player3d/PlayerAvatar3D.gd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可见边界 0.724×1.050×0.452m（含耳）；玩法碰撞由 Player3D 的 1.5m CapsuleShape3D 独占</t>
        </is>
      </c>
      <c r="L6" s="192" t="inlineStr">
        <is>
          <t>未声明</t>
        </is>
      </c>
      <c r="M6" s="192" t="inlineStr">
        <is>
          <t>正式3D玩家</t>
        </is>
      </c>
      <c r="N6" s="192" t="inlineStr">
        <is>
          <t>原型已接入</t>
        </is>
      </c>
      <c r="O6" s="192" t="inlineStr">
        <is>
          <t>v021</t>
        </is>
      </c>
      <c r="P6" s="193" t="inlineStr">
        <is>
          <t>双文件共享骨架；状态 active；中转 assets/art/characters/player/chr_player_capsule01_3d/variants/bunny01/production/v021/character_transfer_ledger_v021.json</t>
        </is>
      </c>
    </row>
    <row r="7" ht="66" customHeight="1">
      <c r="A7" s="194" t="inlineStr">
        <is>
          <t>CHR-PLY-CAPSULE01</t>
        </is>
      </c>
      <c r="B7" s="195" t="inlineStr">
        <is>
          <t>胶囊防护体玩家</t>
        </is>
      </c>
      <c r="C7" s="195" t="inlineStr">
        <is>
          <t>scenes/Player3D.tscn</t>
        </is>
      </c>
      <c r="D7" s="195" t="str"/>
      <c r="E7" s="195" t="str"/>
      <c r="F7" s="195" t="inlineStr">
        <is>
          <t>玩家3D玩法根</t>
        </is>
      </c>
      <c r="G7" s="195" t="inlineStr">
        <is>
          <t>src/player3d/Player3D.gd; src/player3d/PlayerVision3D.gd</t>
        </is>
      </c>
      <c r="H7" s="195" t="inlineStr">
        <is>
          <t>开</t>
        </is>
      </c>
      <c r="I7" s="195" t="inlineStr">
        <is>
          <t>Prefab自身</t>
        </is>
      </c>
      <c r="J7" s="195" t="inlineStr">
        <is>
          <t>CapsuleShape3D</t>
        </is>
      </c>
      <c r="K7" s="195" t="inlineStr">
        <is>
          <t>可见边界 0.724×1.050×0.452m（含耳）；CapsuleShape3D 高 1.5m、半径 0.34m</t>
        </is>
      </c>
      <c r="L7" s="195" t="inlineStr">
        <is>
          <t>未声明</t>
        </is>
      </c>
      <c r="M7" s="195" t="inlineStr">
        <is>
          <t>正式3D玩家</t>
        </is>
      </c>
      <c r="N7" s="195" t="inlineStr">
        <is>
          <t>原型已接入</t>
        </is>
      </c>
      <c r="O7" s="195" t="inlineStr">
        <is>
          <t>v021</t>
        </is>
      </c>
      <c r="P7" s="196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>
      <c r="A8" s="392" t="inlineStr">
        <is>
          <t>CHR-PLAYER-AVATAR-TEMPLATE-001</t>
        </is>
      </c>
      <c r="B8" s="392" t="inlineStr">
        <is>
          <t>玩家角色1.5米Blender制作母版</t>
        </is>
      </c>
      <c r="C8" s="392" t="n"/>
      <c r="D8" s="392" t="n"/>
      <c r="E8" s="392" t="inlineStr">
        <is>
          <t>assets/art/characters/player/chr_player_avatar_template_3d/source/chr_player_avatar_template_source_v001.blend</t>
        </is>
      </c>
      <c r="F8" s="392" t="inlineStr">
        <is>
          <t>角色与配件制作尺寸/方向/挂点模板；非运行时Prefab</t>
        </is>
      </c>
      <c r="G8" s="392" t="inlineStr">
        <is>
          <t>scripts/blender/validate_player_avatar_asset_template.py</t>
        </is>
      </c>
      <c r="H8" s="392" t="inlineStr">
        <is>
          <t>无</t>
        </is>
      </c>
      <c r="I8" s="392" t="inlineStr">
        <is>
          <t>Player3D玩法根</t>
        </is>
      </c>
      <c r="J8" s="392" t="inlineStr">
        <is>
          <t>母版只提供表现包络与挂点；CapsuleShape3D不变</t>
        </is>
      </c>
      <c r="K8" s="392" t="inlineStr">
        <is>
          <t>总高1.50m；根缩放1</t>
        </is>
      </c>
      <c r="L8" s="392" t="inlineStr">
        <is>
          <t>脚底中心Z0；Blender -Y / Godot -Z</t>
        </is>
      </c>
      <c r="M8" s="392" t="inlineStr">
        <is>
          <t>玩家角色与换装资产制作</t>
        </is>
      </c>
      <c r="N8" s="392" t="inlineStr">
        <is>
          <t>正式制作母版</t>
        </is>
      </c>
      <c r="O8" s="392" t="inlineStr">
        <is>
          <t>v001</t>
        </is>
      </c>
      <c r="P8" s="392" t="inlineStr">
        <is>
          <t>7槽位/9挂点；角色玩法碰撞仍由scenes/Player3D.tscn拥有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角色账本变更日志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角色</t>
        </is>
      </c>
      <c r="E6" s="301" t="inlineStr">
        <is>
          <t>由单体账本《ShellStorm2_美术资产台账_v001.xlsx》按大类拆分而来；本账本接管大类=角色，条目内容逐格不变，仅登记位置变化。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2026-09-18T02:29:59Z</dcterms:created>
  <dcterms:modified xsi:type="dcterms:W3CDTF">2026-09-18T02:30:01Z</dcterms:modified>
</cp:coreProperties>
</file>