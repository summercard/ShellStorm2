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角色组件" sheetId="4" state="visible" r:id="rId4"/>
    <sheet name="动画与状态" sheetId="5" state="visible" r:id="rId5"/>
    <sheet name="原型角色" sheetId="6" state="visible" r:id="rId6"/>
    <sheet name="角色中转记录" sheetId="7" state="visible" r:id="rId7"/>
    <sheet name="3D-角色" sheetId="8" state="visible" r:id="rId8"/>
    <sheet name="域变更日志" sheetId="9" state="visible" r:id="rId9"/>
  </sheets>
  <definedNames>
    <definedName name="_xlnm._FilterDatabase" localSheetId="2" hidden="1">'资产主表'!$A$5:$X$36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COUNTA('资产主表'!$A$6:$A$21)</f>
        <v/>
      </c>
      <c r="B6" s="91" t="n"/>
      <c r="C6" s="93">
        <f>COUNTIF('资产主表'!$K$6:$K$21,"已完成")+COUNTIF('资产主表'!$K$6:$K$21,"原型已接入")+COUNTIF('资产主表'!$K$6:$K$21,"正式美术已接入")+COUNTIF('资产主表'!$K$6:$K$21,"已优化并正式接入")+COUNTIF('资产主表'!$K$6:$K$21,"Blender源已完成")+COUNTIF('资产主表'!$K$6:$K$21,"已导入；优化完成")+COUNTIF('资产主表'!$K$6:$K$21,"白模源已完成；QA PASS")</f>
        <v/>
      </c>
      <c r="D6" s="91" t="n"/>
      <c r="E6" s="93">
        <f>COUNTIF('资产主表'!$K$6:$K$21,"待制作")+COUNTIF('资产主表'!$K$6:$K$21,"程序占位")</f>
        <v/>
      </c>
      <c r="F6" s="91" t="n"/>
      <c r="G6" s="93">
        <f>COUNTIF('资产主表'!$S$6:$S$21,"重复")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COUNTIF('资产主表'!$C$6:$C$21,A10)</f>
        <v/>
      </c>
      <c r="C10" s="98">
        <f>SUMPRODUCT(('资产主表'!$C$6:$C$21=A10)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COUNTIF('资产主表'!$C$6:$C$21,A11)</f>
        <v/>
      </c>
      <c r="C11" s="94">
        <f>SUMPRODUCT(('资产主表'!$C$6:$C$21=A11)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IF(COUNTIF($R$6:$R$21,R6)&gt;1,"重复","唯一")</f>
        <v/>
      </c>
      <c r="T6" s="105" t="inlineStr">
        <is>
          <t>2802d5526c3eb7a8ab01a09bb9d2115c7dc531563442527460ddfd71870cbdec</t>
        </is>
      </c>
      <c r="U6" s="98" t="inlineStr">
        <is>
          <t>待分配</t>
        </is>
      </c>
      <c r="V6" s="112" t="n">
        <v>46264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IF(COUNTIF($R$6:$R$21,R7)&gt;1,"重复","唯一")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IF(COUNTIF($R$6:$R$21,R8)&gt;1,"重复","唯一")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IF(COUNTIF($R$6:$R$21,R9)&gt;1,"重复","唯一")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IF(COUNTIF($R$6:$R$21,R10)&gt;1,"重复","唯一")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IF(COUNTIF($R$6:$R$21,R11)&gt;1,"重复","唯一")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IF(COUNTIF($R$6:$R$21,R12)&gt;1,"重复","唯一")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default</t>
        </is>
      </c>
      <c r="J13" s="116" t="inlineStr">
        <is>
          <t>3D玩家场景</t>
        </is>
      </c>
      <c r="K13" s="117" t="inlineStr">
        <is>
          <t>原型已接入</t>
        </is>
      </c>
      <c r="L13" s="116" t="inlineStr">
        <is>
          <t>P0</t>
        </is>
      </c>
      <c r="M13" s="116" t="inlineStr">
        <is>
          <t>v021</t>
        </is>
      </c>
      <c r="N13" s="117" t="inlineStr">
        <is>
          <t>创作高1.5m；运行可见高1.05m；碰撞由Player3D拥有，不随美术骨架修改。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IF(COUNTIF($R$6:$R$21,R13)&gt;1,"重复","唯一")</f>
        <v/>
      </c>
      <c r="T13" s="116" t="inlineStr">
        <is>
          <t>c571c093bab22f38361fabb0317d30602035d8e5187b7bf7279aec5b14a370ea</t>
        </is>
      </c>
      <c r="U13" s="116" t="inlineStr">
        <is>
          <t>Codex</t>
        </is>
      </c>
      <c r="V13" s="118" t="n">
        <v>46264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IF(COUNTIF($R$6:$R$21,R14)&gt;1,"重复","唯一")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IF(COUNTIF($R$6:$R$21,R15)&gt;1,"重复","唯一")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IF(COUNTIF($R$6:$R$21,R16)&gt;1,"重复","唯一")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IF(COUNTIF($R$6:$R$21,R17)&gt;1,"重复","唯一")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IF(COUNTIF($R$6:$R$21,R18)&gt;1,"重复","唯一")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IF(COUNTIF($R$6:$R$21,R19)&gt;1,"重复","唯一")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IF(COUNTIF($R$6:$R$21,R20)&gt;1,"重复","唯一")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IF(COUNTIF($R$6:$R$21,R21)&gt;1,"重复","唯一")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5" customHeight="1" s="88">
      <c r="C22" s="87" t="n"/>
      <c r="K22" s="87" t="n"/>
      <c r="L22" s="122" t="n"/>
    </row>
    <row r="23" ht="15" customHeight="1" s="88">
      <c r="C23" s="87" t="n"/>
      <c r="K23" s="87" t="n"/>
      <c r="L23" s="122" t="n"/>
    </row>
    <row r="24" ht="15" customHeight="1" s="88">
      <c r="C24" s="87" t="n"/>
      <c r="K24" s="87" t="n"/>
      <c r="L24" s="122" t="n"/>
    </row>
    <row r="25" ht="15" customHeight="1" s="88">
      <c r="C25" s="87" t="n"/>
      <c r="K25" s="87" t="n"/>
      <c r="L25" s="122" t="n"/>
    </row>
    <row r="26" ht="15" customHeight="1" s="88">
      <c r="C26" s="87" t="n"/>
      <c r="K26" s="87" t="n"/>
      <c r="L26" s="122" t="n"/>
    </row>
    <row r="27" ht="15" customHeight="1" s="88">
      <c r="C27" s="87" t="n"/>
      <c r="K27" s="87" t="n"/>
      <c r="L27" s="122" t="n"/>
    </row>
    <row r="28" ht="15" customHeight="1" s="88">
      <c r="C28" s="87" t="n"/>
      <c r="K28" s="87" t="n"/>
      <c r="L28" s="122" t="n"/>
    </row>
    <row r="29" ht="15" customHeight="1" s="88">
      <c r="C29" s="87" t="n"/>
      <c r="K29" s="87" t="n"/>
      <c r="L29" s="122" t="n"/>
    </row>
    <row r="30" ht="15" customHeight="1" s="88">
      <c r="C30" s="87" t="n"/>
      <c r="K30" s="87" t="n"/>
      <c r="L30" s="122" t="n"/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X36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4"/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八态状态机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72" customHeight="1" s="88">
      <c r="A18" s="133" t="n"/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动态继承（不影响八态/玩法）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4"/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4"/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0"/>
    <row r="21" ht="15" customHeight="1" s="88">
      <c r="A21" s="141" t="inlineStr">
        <is>
          <t>视觉输出：outputs/verification/player3d_state_gallery.png</t>
        </is>
      </c>
    </row>
    <row r="22"/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7"/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n"/>
      <c r="B18" s="91" t="n"/>
      <c r="C18" s="91" t="n"/>
      <c r="D18" s="91" t="n"/>
    </row>
    <row r="19" ht="64.5" customHeight="1" s="88">
      <c r="A19" s="91" t="n"/>
      <c r="B19" s="91" t="n"/>
      <c r="C19" s="91" t="n"/>
      <c r="D19" s="91" t="n"/>
    </row>
    <row r="20" ht="64.5" customHeight="1" s="88">
      <c r="A20" s="91" t="n"/>
      <c r="B20" s="91" t="n"/>
      <c r="C20" s="91" t="n"/>
      <c r="D20" s="91" t="n"/>
    </row>
    <row r="21" ht="64.5" customHeight="1" s="88">
      <c r="A21" s="91" t="n"/>
      <c r="B21" s="91" t="n"/>
      <c r="C21" s="91" t="n"/>
      <c r="D21" s="91" t="n"/>
    </row>
    <row r="22" ht="64.5" customHeight="1" s="88">
      <c r="A22" s="91" t="n"/>
      <c r="B22" s="91" t="n"/>
      <c r="C22" s="91" t="n"/>
      <c r="D22" s="91" t="n"/>
    </row>
    <row r="23" ht="64.5" customHeight="1" s="88">
      <c r="A23" s="91" t="n"/>
      <c r="B23" s="91" t="n"/>
      <c r="C23" s="91" t="n"/>
      <c r="D23" s="91" t="n"/>
    </row>
    <row r="24" ht="64.5" customHeight="1" s="88">
      <c r="A24" s="91" t="n"/>
      <c r="B24" s="91" t="n"/>
      <c r="C24" s="91" t="n"/>
      <c r="D24" s="91" t="n"/>
    </row>
    <row r="25" ht="64.5" customHeight="1" s="88">
      <c r="A25" s="91" t="n"/>
      <c r="B25" s="91" t="n"/>
      <c r="C25" s="91" t="n"/>
      <c r="D25" s="91" t="n"/>
    </row>
    <row r="26" ht="64.5" customHeight="1" s="88">
      <c r="A26" s="91" t="n"/>
      <c r="B26" s="91" t="n"/>
      <c r="C26" s="91" t="n"/>
      <c r="D26" s="91" t="n"/>
    </row>
    <row r="27" ht="64.5" customHeight="1" s="88">
      <c r="A27" s="91" t="n"/>
      <c r="B27" s="91" t="n"/>
      <c r="C27" s="91" t="n"/>
      <c r="D27" s="91" t="n"/>
    </row>
    <row r="28" ht="64.5" customHeight="1" s="88">
      <c r="A28" s="91" t="n"/>
      <c r="B28" s="91" t="n"/>
      <c r="C28" s="91" t="n"/>
      <c r="D28" s="91" t="n"/>
    </row>
    <row r="29" ht="64.5" customHeight="1" s="88">
      <c r="A29" s="91" t="n"/>
      <c r="B29" s="91" t="n"/>
      <c r="C29" s="91" t="n"/>
      <c r="D29" s="91" t="n"/>
    </row>
    <row r="30" ht="64.5" customHeight="1" s="88">
      <c r="A30" s="91" t="n"/>
      <c r="B30" s="91" t="n"/>
      <c r="C30" s="91" t="n"/>
      <c r="D30" s="91" t="n"/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玩家、NPC与角色表现/玩法根及制作母版；当前 4 个登记项。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模型、动作双母版：完整路径见「角色中转记录」</t>
        </is>
      </c>
      <c r="F6" s="162" t="inlineStr">
        <is>
          <t>角色3D表现Prefab</t>
        </is>
      </c>
      <c r="G6" s="163" t="inlineStr">
        <is>
          <t>src/player3d/PlayerAvatar3D.gd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可见边界 0.724×1.050×0.452m（含耳）；玩法碰撞由 Player3D 的 1.5m CapsuleShape3D 独占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原型已接入</t>
        </is>
      </c>
      <c r="O6" s="163" t="inlineStr">
        <is>
          <t>v021</t>
        </is>
      </c>
      <c r="P6" s="164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2026-09-18T02:29:59Z</dcterms:created>
  <dcterms:modified xsi:type="dcterms:W3CDTF">2026-09-23T07:56:55Z</dcterms:modified>
  <cp:revision>0</cp:revision>
</cp:coreProperties>
</file>