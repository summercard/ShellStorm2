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'资产主表'!$A$5:$X$27</definedName>
    <definedName name="_xlnm._FilterDatabase" localSheetId="3" hidden="1">'3D-道具'!$A$4:$P$8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COUNTA('资产主表'!$A$6:$A$27)</f>
        <v/>
      </c>
      <c r="B6" s="54" t="n"/>
      <c r="C6" s="56">
        <f>COUNTIF('资产主表'!$K$6:$K$27,"已完成")+COUNTIF('资产主表'!$K$6:$K$27,"原型已接入")+COUNTIF('资产主表'!$K$6:$K$27,"正式美术已接入")+COUNTIF('资产主表'!$K$6:$K$27,"已优化并正式接入")+COUNTIF('资产主表'!$K$6:$K$27,"Blender源已完成")+COUNTIF('资产主表'!$K$6:$K$27,"已导入；优化完成")+COUNTIF('资产主表'!$K$6:$K$27,"白模源已完成；QA PASS")</f>
        <v/>
      </c>
      <c r="D6" s="54" t="n"/>
      <c r="E6" s="56">
        <f>COUNTIF('资产主表'!$K$6:$K$27,"待制作")+COUNTIF('资产主表'!$K$6:$K$27,"程序占位")</f>
        <v/>
      </c>
      <c r="F6" s="54" t="n"/>
      <c r="G6" s="56">
        <f>COUNTIF('资产主表'!$S$6:$S$27,"重复")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COUNTIF('资产主表'!$C$6:$C$27,A10)</f>
        <v/>
      </c>
      <c r="C10" s="61">
        <f>SUMPRODUCT(('资产主表'!$C$6:$C$27=A10)*(('资产主表'!$K$6:$K$27="已完成")+('资产主表'!$K$6:$K$27="原型已接入")+('资产主表'!$K$6:$K$27="正式美术已接入")+('资产主表'!$K$6:$K$27="已优化并正式接入")+('资产主表'!$K$6:$K$27="Blender源已完成")+('资产主表'!$K$6:$K$27="已导入；优化完成")+('资产主表'!$K$6:$K$27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COUNTIF('资产主表'!$C$6:$C$27,A11)</f>
        <v/>
      </c>
      <c r="C11" s="57">
        <f>SUMPRODUCT(('资产主表'!$C$6:$C$27=A11)*(('资产主表'!$K$6:$K$27="已完成")+('资产主表'!$K$6:$K$27="原型已接入")+('资产主表'!$K$6:$K$27="正式美术已接入")+('资产主表'!$K$6:$K$27="已优化并正式接入")+('资产主表'!$K$6:$K$27="Blender源已完成")+('资产主表'!$K$6:$K$27="已导入；优化完成")+('资产主表'!$K$6:$K$27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4"/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IF(COUNTIF($R$6:$R$27,R6)&gt;1,"重复","唯一")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IF(COUNTIF($R$6:$R$27,R7)&gt;1,"重复","唯一")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IF(COUNTIF($R$6:$R$27,R8)&gt;1,"重复","唯一")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IF(COUNTIF($R$6:$R$27,R9)&gt;1,"重复","唯一")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IF(COUNTIF($R$6:$R$27,R10)&gt;1,"重复","唯一")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IF(COUNTIF($R$6:$R$27,R11)&gt;1,"重复","唯一")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IF(COUNTIF($R$6:$R$27,R12)&gt;1,"重复","唯一")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IF(COUNTIF($R$6:$R$27,R13)&gt;1,"重复","唯一")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可装备背包3D占位模型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default</t>
        </is>
      </c>
      <c r="J14" s="54" t="inlineStr">
        <is>
          <t>地面拾取/UI图标/角色背部共用</t>
        </is>
      </c>
      <c r="K14" s="54" t="inlineStr">
        <is>
          <t>程序占位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BoxMesh组件；2/4/8格三档体积、主色与1/2/3附袋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IF(COUNTIF($R$6:$R$27,R14)&gt;1,"重复","唯一")</f>
        <v/>
      </c>
      <c r="T14" s="78" t="n"/>
      <c r="U14" s="78" t="inlineStr">
        <is>
          <t>Codex</t>
        </is>
      </c>
      <c r="V14" s="78" t="n">
        <v>46240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同一模型工厂服务equipment_backpack_2/4/8，避免世界物、UI图标和背部表现重复资产；无玩法碰撞，正式模型完成前保持程序占位状态。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IF(COUNTIF($R$6:$R$27,R15)&gt;1,"重复","唯一")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IF(COUNTIF($R$6:$R$27,R16)&gt;1,"重复","唯一")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IF(COUNTIF($R$6:$R$27,R17)&gt;1,"重复","唯一")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IF(COUNTIF($R$6:$R$27,R18)&gt;1,"重复","唯一")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IF(COUNTIF($R$6:$R$27,R19)&gt;1,"重复","唯一")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IF(COUNTIF($R$6:$R$27,R20)&gt;1,"重复","唯一")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IF(COUNTIF($R$6:$R$27,R21)&gt;1,"重复","唯一")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IF(COUNTIF($R$6:$R$27,R22)&gt;1,"重复","唯一")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IF(COUNTIF($R$6:$R$27,R23)&gt;1,"重复","唯一")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IF(COUNTIF($R$6:$R$27,R24)&gt;1,"重复","唯一")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IF(COUNTIF($R$6:$R$27,R25)&gt;1,"重复","唯一")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assets/art/props/base_world_3d/source/base99_telescopic_ladder/prp_base99_telescopic_ladder_source_v002.blend;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IF(COUNTIF($R$6:$R$27,R26)&gt;1,"重复","唯一")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v004</t>
        </is>
      </c>
      <c r="N27" s="80" t="inlineStr">
        <is>
          <t>宽0.828m × 深0.456m × 高0.822m；646面/1264三角形&lt;800面；复古铜橙喷漆主壳、深色栅格、金属护框旋钮；单根三节斜金属天线29.35度；四材质金属M0.88/R0.32，哑光M0.04/R0.66，清漆M0.16/R0.16，灯M0/R0.38/能量1.5；仅独立小圆灯发光，off红常亮、A/B同绿常亮、离楼红待机；公共色盘外链/PaletteUV/Closest，UV换格白乘色；ItemRoot/Visual/StatusLight稳定；左键/E关→A→B→关音乐逻辑与摆位不变</t>
        </is>
      </c>
      <c r="O27" s="81" t="inlineStr">
        <is>
          <t>assets/art/props/base_world_3d/runtime/base99_radio/prp_base99_radio_root_top3d.tscn</t>
        </is>
      </c>
      <c r="P27" s="81" t="inlineStr">
        <is>
          <t>assets/art/props/base_world_3d/source/base99_radio/prp_base99_radio_source_v004.blend; assets/art/props/base_world_3d/source/base99_radio/export/v004/prp_base99_radio_optimized_v004.blend; src/base3d/Base99Radio3D.gd; outputs/base99_radio_v004/asset_manifest.json; outputs/base99_radio_v004/optimization_evidence.json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IF(COUNTIF($R$6:$R$27,R27)&gt;1,"重复","唯一")</f>
        <v/>
      </c>
      <c r="T27" s="81" t="inlineStr">
        <is>
          <t>566070a03ffddbe6834d7c62d77419ccff0351ba583c262766cdc3f8c71cba26</t>
        </is>
      </c>
      <c r="U27" s="81" t="inlineStr">
        <is>
          <t>Codex</t>
        </is>
      </c>
      <c r="V27" s="82" t="n">
        <v>46302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v004材质及灯表现深化；46号BATTERY柜顶与两个layout完全不改，local=(-1.95,6.97,-13.87143)/yaw10度；旧source/optimized/公共色盘哈希不变；红格(4,8)/绿格(5,5)左下0-based，GLTF翻V后UV1_offset=(0.1,0.3)；GLB SHA-256=3538fa3c51cd0a50d47fa05165c431c9e9a16dd356d9c799cf9bb9d1f2ce33b5；source SHA-256=885ce2788a60d565eba7d53bd02e3560d01d6f5de2feda1f5e3cfdf71ed6ed03；optimized SHA-256=01499d39fb9ddc86d81895384fb57f7b634d7b2f795bf935389ad7c4a056b56b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X27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27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2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7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assets/art/props/base_world_3d/source/base99_radio/prp_base99_radio_source_v004.blend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646面/1264三角形&lt;800面；复古铜橙喷漆主壳、深色栅格、金属护框旋钮；单根三节斜金属天线29.35度；四材质金属M0.88/R0.32，哑光M0.04/R0.66，清漆M0.16/R0.16，灯M0/R0.38/能量1.5；仅独立小圆灯发光，off红常亮、A/B同绿常亮、离楼红待机；公共色盘外链/PaletteUV/Closest，UV换格白乘色；ItemRoot/Visual/StatusLight稳定；左键/E关→A→B→关音乐逻辑与摆位不变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v004</t>
        </is>
      </c>
      <c r="P8" s="97" t="inlineStr">
        <is>
          <t>ItemRoot/Visual/StatusLight接口不变；独立Antenna；仅小灯UV红绿格切换，因公共色盘无白格不使用染色叠乘；源=885ce2788a60d565eba7d53bd02e3560d01d6f5de2feda1f5e3cfdf71ed6ed03；优化=01499d39fb9ddc86d81895384fb57f7b634d7b2f795bf935389ad7c4a056b56b；GLB=3538fa3c51cd0a50d47fa05165c431c9e9a16dd356d9c799cf9bb9d1f2ce33b5；证据outputs/base99_radio_v004/；近远景off/a/b PNG与同相机v003对照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拥有独立PackedScene的拾取物、消耗品、钥匙和掉落物；本次扫描 0 个独立Prefab。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4"/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新增 PRP-BASE99-RADIO-3D；独立GLB/PackedScene、Music总线双曲目循环、左键/E交互及正式基地布局接入。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2026-10-07T06:08:21Z</dcterms:modified>
  <cp:revision>0</cp:revision>
</cp:coreProperties>
</file>