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道具" sheetId="4" state="visible" r:id="rId4"/>
    <sheet name="3D-物品" sheetId="5" state="visible" r:id="rId5"/>
    <sheet name="域变更日志" sheetId="6" state="visible" r:id="rId6"/>
  </sheets>
  <definedNames>
    <definedName name="_xlnm._FilterDatabase" localSheetId="2" hidden="1">'资产主表'!$A$5:$Y$44</definedName>
    <definedName name="_xlnm._FilterDatabase" localSheetId="3" hidden="1">'3D-道具'!$A$4:$P$8</definedName>
    <definedName name="_xlnm._FilterDatabase" localSheetId="4" hidden="1">'3D-物品'!$A$4:$P$25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COUNTA('资产主表'!$A$6:$A$44)</f>
        <v/>
      </c>
      <c r="B6" s="54" t="n"/>
      <c r="C6" s="56">
        <f>COUNTIF('资产主表'!$K$6:$K$44,"已完成")+COUNTIF('资产主表'!$K$6:$K$44,"原型已接入")+COUNTIF('资产主表'!$K$6:$K$44,"正式美术已接入")+COUNTIF('资产主表'!$K$6:$K$44,"已优化并正式接入")+COUNTIF('资产主表'!$K$6:$K$44,"Blender源已完成")+COUNTIF('资产主表'!$K$6:$K$44,"已导入；优化完成")+COUNTIF('资产主表'!$K$6:$K$44,"白模源已完成；QA PASS")</f>
        <v/>
      </c>
      <c r="D6" s="54" t="n"/>
      <c r="E6" s="56">
        <f>COUNTIF('资产主表'!$K$6:$K$44,"待制作")+COUNTIF('资产主表'!$K$6:$K$44,"程序占位")</f>
        <v/>
      </c>
      <c r="F6" s="54" t="n"/>
      <c r="G6" s="56">
        <f>COUNTIF('资产主表'!$S$6:$S$44,"重复")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COUNTIF('资产主表'!$C$6:$C$44,A10)</f>
        <v/>
      </c>
      <c r="C10" s="61">
        <f>SUMPRODUCT(('资产主表'!$C$6:$C$44=A10)*(('资产主表'!$K$6:$K$44="已完成")+('资产主表'!$K$6:$K$44="原型已接入")+('资产主表'!$K$6:$K$44="正式美术已接入")+('资产主表'!$K$6:$K$44="已优化并正式接入")+('资产主表'!$K$6:$K$44="Blender源已完成")+('资产主表'!$K$6:$K$44="已导入；优化完成")+('资产主表'!$K$6:$K$44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COUNTIF('资产主表'!$C$6:$C$44,A11)</f>
        <v/>
      </c>
      <c r="C11" s="57">
        <f>SUMPRODUCT(('资产主表'!$C$6:$C$44=A11)*(('资产主表'!$K$6:$K$44="已完成")+('资产主表'!$K$6:$K$44="原型已接入")+('资产主表'!$K$6:$K$44="正式美术已接入")+('资产主表'!$K$6:$K$44="已优化并正式接入")+('资产主表'!$K$6:$K$44="Blender源已完成")+('资产主表'!$K$6:$K$44="已导入；优化完成")+('资产主表'!$K$6:$K$44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item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top3d</t>
        </is>
      </c>
      <c r="I6" s="75" t="inlineStr">
        <is>
          <t>tier_0_static</t>
        </is>
      </c>
      <c r="J6" s="62" t="inlineStr">
        <is>
          <t>地面/图标；preview独立源；item_beacon</t>
        </is>
      </c>
      <c r="K6" s="62" t="inlineStr">
        <is>
          <t>已优化并正式接入</t>
        </is>
      </c>
      <c r="L6" s="75" t="inlineStr">
        <is>
          <t>P1</t>
        </is>
      </c>
      <c r="M6" s="75" t="inlineStr">
        <is>
          <t>v001</t>
        </is>
      </c>
      <c r="N6" s="62" t="inlineStr">
        <is>
          <t>Godot XYZ=[1.0134782791137695, 1.1100001335144043, 1.0134782791137695]m；ground 196三角；公共色盘；原点bottom_center</t>
        </is>
      </c>
      <c r="O6" s="62" t="inlineStr">
        <is>
          <t>assets/art/items_weapons/props/beacon/runtime/itm_beacon_ground_root_top3d.tscn</t>
        </is>
      </c>
      <c r="P6" s="75" t="inlineStr">
        <is>
          <t>src/world3d/ItemModelFactory3D.gd; src/combat3d/WeaponModel3D.gd; docs/v0.1/design/物品道具双模型制作规范.md</t>
        </is>
      </c>
      <c r="Q6" s="62" t="inlineStr">
        <is>
          <t>撤离信标;item_beacon</t>
        </is>
      </c>
      <c r="R6" s="62">
        <f>LOWER(TRIM(C6)&amp;"|"&amp;TRIM(D6)&amp;"|"&amp;TRIM(E6)&amp;"|"&amp;TRIM(F6)&amp;"|"&amp;TRIM(H6)&amp;"|"&amp;TRIM(I6))</f>
        <v/>
      </c>
      <c r="S6" s="62">
        <f>IF(COUNTIF($R$6:$R$44,R6)&gt;1,"重复","唯一")</f>
        <v/>
      </c>
      <c r="T6" s="62" t="inlineStr">
        <is>
          <t>9a762979bd12f38be7a1df5df67f93fd746e3d1c84621de766974f7728a922ba</t>
        </is>
      </c>
      <c r="U6" s="62" t="inlineStr">
        <is>
          <t>Codex</t>
        </is>
      </c>
      <c r="V6" s="76" t="inlineStr">
        <is>
          <t>2026-10-15</t>
        </is>
      </c>
      <c r="W6" s="62" t="inlineStr">
        <is>
          <t>用户风格延续；程序制作原创组件；项目公共色盘</t>
        </is>
      </c>
      <c r="X6" s="77" t="inlineStr">
        <is>
          <t>撤离信标_中文资产管理</t>
        </is>
      </c>
      <c r="Y6" s="62" t="inlineStr">
        <is>
          <t>高精度源=art_source/items_weapons/props/beacon/source/itm_beacon_source_v001.blend；地面源=art_source/items_weapons/props/beacon/source/itm_beacon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item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top3d</t>
        </is>
      </c>
      <c r="I7" s="75" t="inlineStr">
        <is>
          <t>tier_0_static</t>
        </is>
      </c>
      <c r="J7" s="62" t="inlineStr">
        <is>
          <t>地面/图标；preview独立源；item_room_key</t>
        </is>
      </c>
      <c r="K7" s="62" t="inlineStr">
        <is>
          <t>已优化并正式接入</t>
        </is>
      </c>
      <c r="L7" s="75" t="inlineStr">
        <is>
          <t>P1</t>
        </is>
      </c>
      <c r="M7" s="75" t="inlineStr">
        <is>
          <t>v001</t>
        </is>
      </c>
      <c r="N7" s="62" t="inlineStr">
        <is>
          <t>Godot XYZ=[0.6731603145599365, 1.0649999380111694, 0.20596696436405182]m；ground 120三角；公共色盘；原点bottom_center</t>
        </is>
      </c>
      <c r="O7" s="62" t="inlineStr">
        <is>
          <t>assets/art/items_weapons/props/room_key/runtime/itm_room_key_ground_root_top3d.tscn</t>
        </is>
      </c>
      <c r="P7" s="75" t="inlineStr">
        <is>
          <t>src/world3d/ItemModelFactory3D.gd; src/combat3d/WeaponModel3D.gd; docs/v0.1/design/物品道具双模型制作规范.md</t>
        </is>
      </c>
      <c r="Q7" s="62" t="inlineStr">
        <is>
          <t>房间钥匙;item_room_key</t>
        </is>
      </c>
      <c r="R7" s="62">
        <f>LOWER(TRIM(C7)&amp;"|"&amp;TRIM(D7)&amp;"|"&amp;TRIM(E7)&amp;"|"&amp;TRIM(F7)&amp;"|"&amp;TRIM(H7)&amp;"|"&amp;TRIM(I7))</f>
        <v/>
      </c>
      <c r="S7" s="62">
        <f>IF(COUNTIF($R$6:$R$44,R7)&gt;1,"重复","唯一")</f>
        <v/>
      </c>
      <c r="T7" s="62" t="inlineStr">
        <is>
          <t>c0d7d83015c25810d686dc520ce710ba39cff415c67bde61413660f9e8a15452</t>
        </is>
      </c>
      <c r="U7" s="62" t="inlineStr">
        <is>
          <t>Codex</t>
        </is>
      </c>
      <c r="V7" s="76" t="inlineStr">
        <is>
          <t>2026-10-15</t>
        </is>
      </c>
      <c r="W7" s="62" t="inlineStr">
        <is>
          <t>用户风格延续；程序制作原创组件；项目公共色盘</t>
        </is>
      </c>
      <c r="X7" s="77" t="inlineStr">
        <is>
          <t>房间钥匙_中文资产管理</t>
        </is>
      </c>
      <c r="Y7" s="62" t="inlineStr">
        <is>
          <t>高精度源=art_source/items_weapons/props/room_key/source/itm_room_key_source_v001.blend；地面源=art_source/items_weapons/props/room_key/source/itm_room_key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IF(COUNTIF($R$6:$R$44,R8)&gt;1,"重复","唯一")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IF(COUNTIF($R$6:$R$44,R9)&gt;1,"重复","唯一")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IF(COUNTIF($R$6:$R$44,R10)&gt;1,"重复","唯一")</f>
        <v/>
      </c>
      <c r="T10" s="75" t="inlineStr">
        <is>
          <t>09c6a30399f2c9d1d3e590e45afdc72fbf4e29964c5e9aa24955ea00c83a9385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IF(COUNTIF($R$6:$R$44,R11)&gt;1,"重复","唯一")</f>
        <v/>
      </c>
      <c r="T11" s="75" t="inlineStr">
        <is>
          <t>5428665bda1fbd0e7422aa63f2d7cf0b0de4efeb0c1198d4b38774ad5fa19865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../ShellStorm2-backup/2026-10-11_slimming/original_tree/art_source/props/base_world_3d/source/mission_operations/prp_base_mission_operations_source_v003.blend;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IF(COUNTIF($R$6:$R$44,R12)&gt;1,"重复","唯一")</f>
        <v/>
      </c>
      <c r="T12" s="75" t="inlineStr">
        <is>
          <t>76a9d3f86a09217bc8239b4f23b9fc31536b21fdddd591146ea23f5756342e31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../ShellStorm2-backup/2026-10-11_slimming/original_tree/art_source/props/base_world_3d/source/weapon_workshop/prp_base_weapon_workshop_source_v003.blend;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IF(COUNTIF($R$6:$R$44,R13)&gt;1,"重复","唯一")</f>
        <v/>
      </c>
      <c r="T13" s="75" t="inlineStr">
        <is>
          <t>14c8655ddfc72ebdb5cefae6ddba69e11a0f1257c8518e872c3da9487cc55088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IF(COUNTIF($R$6:$R$44,R14)&gt;1,"重复","唯一")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../ShellStorm2-backup/2026-10-11_slimming/original_tree/art_source/props/base_world_3d/source/vending_machine/prp_base_vending_machine_source_v001.blend;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IF(COUNTIF($R$6:$R$44,R15)&gt;1,"重复","唯一")</f>
        <v/>
      </c>
      <c r="T15" s="81" t="inlineStr">
        <is>
          <t>8342ab250af1ae90bb814e65a387dc68d2a3d80c13822de340f85937f4f8d206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art_source/props/base_world_3d/source/locker_station/prp_base_locker_station_source_v004.blend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IF(COUNTIF($R$6:$R$44,R16)&gt;1,"重复","唯一")</f>
        <v/>
      </c>
      <c r="T16" s="81" t="inlineStr">
        <is>
          <t>0d2ce48ce4b57803d3472922a18d73f081be6a3cce9ee821925ad940f5629302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art_source/props/base_world_3d/source/retro_tv_station/prp_base_retro_tv_station_source_v004.blend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IF(COUNTIF($R$6:$R$44,R17)&gt;1,"重复","唯一")</f>
        <v/>
      </c>
      <c r="T17" s="81" t="inlineStr">
        <is>
          <t>9a84d1c126ede8504368ee921ee938cdc934e5d0fed0d046957538213fd7cc34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art_source/props/base_world_3d/source/workshop_stool/prp_base_workshop_stool_source_v004.blend;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IF(COUNTIF($R$6:$R$44,R18)&gt;1,"重复","唯一")</f>
        <v/>
      </c>
      <c r="T18" s="81" t="inlineStr">
        <is>
          <t>a87d39ebd9d249352cdb6880a58506ce19053babfca3820762df39eef88f1754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art_source/props/base_world_3d/source/mission_command_chair/prp_base_mission_command_chair_source_v004.blend;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IF(COUNTIF($R$6:$R$44,R19)&gt;1,"重复","唯一")</f>
        <v/>
      </c>
      <c r="T19" s="81" t="inlineStr">
        <is>
          <t>01911c01114eb620f97d485ffeff39387b6db1fe1efd0445f789ce73149601f0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IF(COUNTIF($R$6:$R$44,R20)&gt;1,"重复","唯一")</f>
        <v/>
      </c>
      <c r="T20" s="83" t="inlineStr">
        <is>
          <t>ad28a3708d425765846879bb19ac957368c05654dc67c8c768bb0b1442d2075f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IF(COUNTIF($R$6:$R$44,R21)&gt;1,"重复","唯一")</f>
        <v/>
      </c>
      <c r="T21" s="83" t="inlineStr">
        <is>
          <t>a8a3dfd8c35cd864cee5145be9e07c1234e9eac617be08fb566ba6d8589d1d5b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IF(COUNTIF($R$6:$R$44,R22)&gt;1,"重复","唯一")</f>
        <v/>
      </c>
      <c r="T22" s="83" t="inlineStr">
        <is>
          <t>273c47338a3dcdf9ef7630a052662e5b5fc674c9b8b1d2e1190222dcb59261ca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IF(COUNTIF($R$6:$R$44,R23)&gt;1,"重复","唯一")</f>
        <v/>
      </c>
      <c r="T23" s="83" t="inlineStr">
        <is>
          <t>c734ad7d05d41ff0135862266393e9360a125ed3c8736b181441ea36a9b0e715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IF(COUNTIF($R$6:$R$44,R24)&gt;1,"重复","唯一")</f>
        <v/>
      </c>
      <c r="T24" s="83" t="inlineStr">
        <is>
          <t>3b64fcb6841718b1eb44b72b5a09e3a71b737b3eed8610573d71d8ae8167d03a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IF(COUNTIF($R$6:$R$44,R25)&gt;1,"重复","唯一")</f>
        <v/>
      </c>
      <c r="T25" s="83" t="inlineStr">
        <is>
          <t>13c728e68826704dc6c0e41345c14ed0a105763ee1486a9c779a758176086245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art_source/props/base_world_3d/source/base99_telescopic_ladder/prp_base99_telescopic_ladder_source_v002.blend;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IF(COUNTIF($R$6:$R$44,R26)&gt;1,"重复","唯一")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art_source/props/base_world_3d/source/base99_radio/prp_base99_radio_source_v005.blend; art_source/props/base_world_3d/source/base99_radio/export/v005/prp_base99_radio_optimized_v005.blend;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IF(COUNTIF($R$6:$R$44,R27)&gt;1,"重复","唯一")</f>
        <v/>
      </c>
      <c r="T27" s="81" t="inlineStr">
        <is>
          <t>857a75adbd1272605e44e571891ada187ec31048c49bd218206093304a894228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IF(COUNTIF($R$6:$R$44,R28)&gt;1,"重复","唯一")</f>
        <v/>
      </c>
      <c r="T28" s="78" t="n"/>
      <c r="U28" s="78" t="inlineStr">
        <is>
          <t>WorkBuddy</t>
        </is>
      </c>
      <c r="V28" s="102" t="inlineStr">
        <is>
          <t>2026-10-15</t>
        </is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IF(COUNTIF($R$6:$R$44,R29)&gt;1,"重复","唯一")</f>
        <v/>
      </c>
      <c r="T29" s="78" t="n"/>
      <c r="U29" s="78" t="inlineStr">
        <is>
          <t>WorkBuddy</t>
        </is>
      </c>
      <c r="V29" s="102" t="inlineStr">
        <is>
          <t>2026-10-15</t>
        </is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IF(COUNTIF($R$6:$R$44,R30)&gt;1,"重复","唯一")</f>
        <v/>
      </c>
      <c r="T30" s="78" t="n"/>
      <c r="U30" s="78" t="inlineStr">
        <is>
          <t>WorkBuddy</t>
        </is>
      </c>
      <c r="V30" s="102" t="inlineStr">
        <is>
          <t>2026-10-15</t>
        </is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1" ht="90" customHeight="1" s="51">
      <c r="A31" s="75" t="inlineStr">
        <is>
          <t>ITM-CONSUMABLE-ITEM-BATTERY-L</t>
        </is>
      </c>
      <c r="B31" s="62" t="inlineStr">
        <is>
          <t>大型电池</t>
        </is>
      </c>
      <c r="C31" s="62" t="inlineStr">
        <is>
          <t>道具</t>
        </is>
      </c>
      <c r="D31" s="75" t="inlineStr">
        <is>
          <t>consumable</t>
        </is>
      </c>
      <c r="E31" s="75" t="inlineStr">
        <is>
          <t>item_battery_l</t>
        </is>
      </c>
      <c r="F31" s="75" t="inlineStr">
        <is>
          <t>root</t>
        </is>
      </c>
      <c r="G31" s="62" t="n"/>
      <c r="H31" s="62" t="inlineStr">
        <is>
          <t>底面中心原点；Blender +Z向上，正面-Y；Godot +Y向上、正面+Z</t>
        </is>
      </c>
      <c r="I31" s="75" t="inlineStr">
        <is>
          <t>tier_0_static</t>
        </is>
      </c>
      <c r="J31" s="62" t="inlineStr">
        <is>
          <t>ground地面简模已接线；preview高模待导入；枪上装配保持原表现</t>
        </is>
      </c>
      <c r="K31" s="62" t="inlineStr">
        <is>
          <t>exported_pending_godot_validation</t>
        </is>
      </c>
      <c r="L31" s="75" t="inlineStr">
        <is>
          <t>P1</t>
        </is>
      </c>
      <c r="M31" s="75" t="inlineStr">
        <is>
          <t>v001</t>
        </is>
      </c>
      <c r="N31" s="62" t="inlineStr">
        <is>
          <t>0.4523×0.3325×0.6600m；单位米；根缩放1；场景四材质/公共色盘/PaletteUV；实测快照见asset_contract.json；preview高模；ground 168三角面（100–200预算）</t>
        </is>
      </c>
      <c r="O31" s="62" t="inlineStr">
        <is>
          <t>assets/art/items_weapons/props/battery_large/runtime/itm_battery_large_ground_root_top3d.tscn</t>
        </is>
      </c>
      <c r="P31" s="75" t="inlineStr">
        <is>
          <t>src/world3d/ItemModelFactory3D.gd; src/world3d/GroundLootPickup3D.gd; docs/v0.1/design/物品道具双模型制作规范.md</t>
        </is>
      </c>
      <c r="Q31" s="62" t="inlineStr">
        <is>
          <t>item_battery_l;大型电池</t>
        </is>
      </c>
      <c r="R31" s="62">
        <f>LOWER(TRIM(C31)&amp;"|"&amp;TRIM(D31)&amp;"|"&amp;TRIM(E31)&amp;"|"&amp;TRIM(F31)&amp;"|"&amp;TRIM(H31)&amp;"|"&amp;TRIM(I31))</f>
        <v/>
      </c>
      <c r="S31" s="62">
        <f>IF(COUNTIF($R$6:$R$44,R31)&gt;1,"重复","唯一")</f>
        <v/>
      </c>
      <c r="T31" s="62" t="inlineStr">
        <is>
          <t>9a96e40eb5695a5c312cb72cd42c2ac18eb1e23c10cd6ea9161c8559caad564c</t>
        </is>
      </c>
      <c r="U31" s="62" t="inlineStr">
        <is>
          <t>Codex</t>
        </is>
      </c>
      <c r="V31" s="76" t="inlineStr">
        <is>
          <t>2026-10-15</t>
        </is>
      </c>
      <c r="W31" s="62" t="inlineStr">
        <is>
          <t>用户提供参考图重建；项目公共色盘</t>
        </is>
      </c>
      <c r="X31" s="77" t="inlineStr">
        <is>
          <t>ITM_大型电池_中文资产管理</t>
        </is>
      </c>
      <c r="Y31" s="62" t="inlineStr">
        <is>
          <t>ground=168三角；GLB=assets/art/items_weapons/props/battery_large/components/itm_battery_large_ground_visual_top3d.glb；ground源=art_source/items_weapons/props/battery_large/source/itm_battery_large_ground_source_v001.blend SHA256=efc7b895a66cc51fb63ae7d4c6c763844763c83fac9db546487c97093c2d7318；preview源=art_source/items_weapons/props/battery_large/source/itm_battery_large_source_v001.blend SHA256=9a447c854c56256f80c17988c67aa7efdb788bda18e08d606617f0896fd0ae89；源不变；资源已导入且地面入口已接线，运行/视觉验收未执行，未签署正式可用。；2026-10-14地面显示倍率1.30（最终0.6552），图标倍率不变。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2" ht="90" customHeight="1" s="51">
      <c r="A32" s="75" t="inlineStr">
        <is>
          <t>ITM-CONSUMABLE-ITEM-BATTERY-S</t>
        </is>
      </c>
      <c r="B32" s="62" t="inlineStr">
        <is>
          <t>小型电池</t>
        </is>
      </c>
      <c r="C32" s="62" t="inlineStr">
        <is>
          <t>道具</t>
        </is>
      </c>
      <c r="D32" s="75" t="inlineStr">
        <is>
          <t>consumable</t>
        </is>
      </c>
      <c r="E32" s="75" t="inlineStr">
        <is>
          <t>item_battery_s</t>
        </is>
      </c>
      <c r="F32" s="75" t="inlineStr">
        <is>
          <t>root</t>
        </is>
      </c>
      <c r="G32" s="62" t="n"/>
      <c r="H32" s="62" t="inlineStr">
        <is>
          <t>底面中心原点；Blender +Z向上，正面-Y；Godot +Y向上、正面+Z</t>
        </is>
      </c>
      <c r="I32" s="75" t="inlineStr">
        <is>
          <t>tier_0_static</t>
        </is>
      </c>
      <c r="J32" s="62" t="inlineStr">
        <is>
          <t>ground地面简模已接线；preview高模待导入；枪上装配保持原表现</t>
        </is>
      </c>
      <c r="K32" s="62" t="inlineStr">
        <is>
          <t>exported_pending_godot_validation</t>
        </is>
      </c>
      <c r="L32" s="75" t="inlineStr">
        <is>
          <t>P1</t>
        </is>
      </c>
      <c r="M32" s="75" t="inlineStr">
        <is>
          <t>v001</t>
        </is>
      </c>
      <c r="N32" s="62" t="inlineStr">
        <is>
          <t>0.3111×0.3111×0.6600m；单位米；根缩放1；场景四材质/公共色盘/PaletteUV；实测快照见asset_contract.json；preview高模；ground 120三角面（100–200预算）</t>
        </is>
      </c>
      <c r="O32" s="62" t="inlineStr">
        <is>
          <t>assets/art/items_weapons/props/battery_small/runtime/itm_battery_small_ground_root_top3d.tscn</t>
        </is>
      </c>
      <c r="P32" s="75" t="inlineStr">
        <is>
          <t>src/world3d/ItemModelFactory3D.gd; src/world3d/GroundLootPickup3D.gd; docs/v0.1/design/物品道具双模型制作规范.md</t>
        </is>
      </c>
      <c r="Q32" s="62" t="inlineStr">
        <is>
          <t>item_battery_s;小型电池</t>
        </is>
      </c>
      <c r="R32" s="62">
        <f>LOWER(TRIM(C32)&amp;"|"&amp;TRIM(D32)&amp;"|"&amp;TRIM(E32)&amp;"|"&amp;TRIM(F32)&amp;"|"&amp;TRIM(H32)&amp;"|"&amp;TRIM(I32))</f>
        <v/>
      </c>
      <c r="S32" s="62">
        <f>IF(COUNTIF($R$6:$R$44,R32)&gt;1,"重复","唯一")</f>
        <v/>
      </c>
      <c r="T32" s="62" t="inlineStr">
        <is>
          <t>609cb7a4a4f47ef8d813a16c2b443a954f1db5bd47a49bbbdb620bc4bad34035</t>
        </is>
      </c>
      <c r="U32" s="62" t="inlineStr">
        <is>
          <t>Codex</t>
        </is>
      </c>
      <c r="V32" s="76" t="inlineStr">
        <is>
          <t>2026-10-15</t>
        </is>
      </c>
      <c r="W32" s="62" t="inlineStr">
        <is>
          <t>用户提供参考图重建；项目公共色盘</t>
        </is>
      </c>
      <c r="X32" s="77" t="inlineStr">
        <is>
          <t>ITM_小型电池_中文资产管理</t>
        </is>
      </c>
      <c r="Y32" s="62" t="inlineStr">
        <is>
          <t>ground=120三角；GLB=assets/art/items_weapons/props/battery_small/components/itm_battery_small_ground_visual_top3d.glb；ground源=art_source/items_weapons/props/battery_small/source/itm_battery_small_ground_source_v001.blend SHA256=0f150e88b141276f03dec3bb134873104abc261933b36757b6f8ffc993a819cb；preview源=art_source/items_weapons/props/battery_small/source/itm_battery_small_source_v001.blend SHA256=f1deca848220a5cc87c2e416e6554577e26f9bc4bb8610bf30a1382c375b7c57；源不变；资源已导入且地面入口已接线，运行/视觉验收未执行，未签署正式可用。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3" ht="90" customHeight="1" s="51">
      <c r="A33" s="75" t="inlineStr">
        <is>
          <t>ITM-CONSUMABLE-ITEM-HEALTH-POTION</t>
        </is>
      </c>
      <c r="B33" s="62" t="inlineStr">
        <is>
          <t>治疗药水</t>
        </is>
      </c>
      <c r="C33" s="62" t="inlineStr">
        <is>
          <t>道具</t>
        </is>
      </c>
      <c r="D33" s="75" t="inlineStr">
        <is>
          <t>consumable</t>
        </is>
      </c>
      <c r="E33" s="75" t="inlineStr">
        <is>
          <t>item_health_potion</t>
        </is>
      </c>
      <c r="F33" s="75" t="inlineStr">
        <is>
          <t>root</t>
        </is>
      </c>
      <c r="G33" s="62" t="n"/>
      <c r="H33" s="62" t="inlineStr">
        <is>
          <t>底面中心原点；Blender +Z向上，正面-Y；Godot +Y向上、正面+Z</t>
        </is>
      </c>
      <c r="I33" s="75" t="inlineStr">
        <is>
          <t>tier_0_static</t>
        </is>
      </c>
      <c r="J33" s="62" t="inlineStr">
        <is>
          <t>ground地面简模已接线；preview高模待导入；枪上装配保持原表现</t>
        </is>
      </c>
      <c r="K33" s="62" t="inlineStr">
        <is>
          <t>exported_pending_godot_validation</t>
        </is>
      </c>
      <c r="L33" s="75" t="inlineStr">
        <is>
          <t>P1</t>
        </is>
      </c>
      <c r="M33" s="75" t="inlineStr">
        <is>
          <t>v001</t>
        </is>
      </c>
      <c r="N33" s="62" t="inlineStr">
        <is>
          <t>0.6731×0.6835×0.8200m；单位米；根缩放1；场景四材质/公共色盘/PaletteUV；实测快照见asset_contract.json；preview高模；ground 178三角面（100–200预算）</t>
        </is>
      </c>
      <c r="O33" s="62" t="inlineStr">
        <is>
          <t>assets/art/items_weapons/props/health_potion/runtime/itm_health_potion_ground_root_top3d.tscn</t>
        </is>
      </c>
      <c r="P33" s="75" t="inlineStr">
        <is>
          <t>src/world3d/ItemModelFactory3D.gd; src/world3d/GroundLootPickup3D.gd; docs/v0.1/design/物品道具双模型制作规范.md</t>
        </is>
      </c>
      <c r="Q33" s="62" t="inlineStr">
        <is>
          <t>item_health_potion;治疗药水</t>
        </is>
      </c>
      <c r="R33" s="62">
        <f>LOWER(TRIM(C33)&amp;"|"&amp;TRIM(D33)&amp;"|"&amp;TRIM(E33)&amp;"|"&amp;TRIM(F33)&amp;"|"&amp;TRIM(H33)&amp;"|"&amp;TRIM(I33))</f>
        <v/>
      </c>
      <c r="S33" s="62">
        <f>IF(COUNTIF($R$6:$R$44,R33)&gt;1,"重复","唯一")</f>
        <v/>
      </c>
      <c r="T33" s="62" t="inlineStr">
        <is>
          <t>06f757f960b93bce2fd157edd102790a15d45f06819b9d922dc1545a9ceb8e7a</t>
        </is>
      </c>
      <c r="U33" s="62" t="inlineStr">
        <is>
          <t>Codex</t>
        </is>
      </c>
      <c r="V33" s="76" t="inlineStr">
        <is>
          <t>2026-10-15</t>
        </is>
      </c>
      <c r="W33" s="62" t="inlineStr">
        <is>
          <t>用户提供参考图重建；项目公共色盘</t>
        </is>
      </c>
      <c r="X33" s="77" t="inlineStr">
        <is>
          <t>ITM_治疗药水_中文资产管理</t>
        </is>
      </c>
      <c r="Y33" s="62" t="inlineStr">
        <is>
          <t>ground=178三角；GLB=assets/art/items_weapons/props/health_potion/components/itm_health_potion_ground_visual_top3d.glb；ground源=art_source/items_weapons/props/health_potion/source/itm_health_potion_ground_source_v001.blend SHA256=c3c86cb592914900b0cc438f4f51f1bd4a0a26b6ce8b43e39e002bdb8f2f10d0；preview源=art_source/items_weapons/props/health_potion/source/itm_health_potion_source_v001.blend SHA256=50a9270b073741e47e35576d2ba3425b66a7d28e151ecf232f54187222a3a26c；源不变；资源已导入且地面入口已接线，运行/视觉验收未执行，未签署正式可用。；2026-10-14地面显示倍率1.30（最终0.6552），图标倍率不变。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4">
      <c r="A34" s="75" t="inlineStr">
        <is>
          <t>ITM-CONSUMABLE-ITEM-AMMO-PACK</t>
        </is>
      </c>
      <c r="B34" s="62" t="inlineStr">
        <is>
          <t>通用弹药</t>
        </is>
      </c>
      <c r="C34" s="62" t="inlineStr">
        <is>
          <t>道具</t>
        </is>
      </c>
      <c r="D34" s="75" t="inlineStr">
        <is>
          <t>consumable</t>
        </is>
      </c>
      <c r="E34" s="75" t="inlineStr">
        <is>
          <t>item_ammo_pack</t>
        </is>
      </c>
      <c r="F34" s="75" t="inlineStr">
        <is>
          <t>root</t>
        </is>
      </c>
      <c r="G34" s="62" t="n"/>
      <c r="H34" s="62" t="inlineStr">
        <is>
          <t>底面中心原点；Blender +Z向上，正面-Y；Godot +Y向上、正面+Z</t>
        </is>
      </c>
      <c r="I34" s="75" t="inlineStr">
        <is>
          <t>tier_0_static</t>
        </is>
      </c>
      <c r="J34" s="62" t="inlineStr">
        <is>
          <t>通用弹药地面与背包图标共用；倾斜45度旋转</t>
        </is>
      </c>
      <c r="K34" s="62" t="inlineStr">
        <is>
          <t>exported_pending_godot_validation</t>
        </is>
      </c>
      <c r="L34" s="75" t="inlineStr">
        <is>
          <t>P1</t>
        </is>
      </c>
      <c r="M34" s="75" t="inlineStr">
        <is>
          <t>v001</t>
        </is>
      </c>
      <c r="N34" s="62" t="inlineStr">
        <is>
          <t>0.3760×0.3760×0.9400m；单位米；根缩放1；场景四材质/公共色盘/PaletteUV；实测快照见asset_contract.json；preview高模；ground 176三角面（100–200预算）</t>
        </is>
      </c>
      <c r="O34" s="62" t="inlineStr">
        <is>
          <t>assets/art/items_weapons/weapons/bullet_standard/runtime/wpn_bullet_standard_ground_root_top3d.tscn</t>
        </is>
      </c>
      <c r="P34" s="75" t="inlineStr">
        <is>
          <t>src/world3d/ItemModelFactory3D.gd; src/world3d/GroundLootPickup3D.gd; docs/v0.1/design/物品道具双模型制作规范.md</t>
        </is>
      </c>
      <c r="Q34" s="62" t="inlineStr">
        <is>
          <t>item_ammo_pack;通用弹药</t>
        </is>
      </c>
      <c r="R34" s="62">
        <f>LOWER(TRIM(C34)&amp;"|"&amp;TRIM(D34)&amp;"|"&amp;TRIM(E34)&amp;"|"&amp;TRIM(F34)&amp;"|"&amp;TRIM(H34)&amp;"|"&amp;TRIM(I34))</f>
        <v/>
      </c>
      <c r="S34" s="62">
        <f>IF(COUNTIF($R$6:$R$44,R34)&gt;1,"重复","唯一")</f>
        <v/>
      </c>
      <c r="T34" s="62" t="inlineStr">
        <is>
          <t>0ad392c1dec49e5fb0d4d40debc651c85a0ba7580fdd750285ff2a3ff5b186f8</t>
        </is>
      </c>
      <c r="U34" s="62" t="inlineStr">
        <is>
          <t>Codex</t>
        </is>
      </c>
      <c r="V34" s="76" t="inlineStr">
        <is>
          <t>2026-10-15</t>
        </is>
      </c>
      <c r="W34" s="62" t="inlineStr">
        <is>
          <t>用户提供参考图重建；项目公共色盘</t>
        </is>
      </c>
      <c r="X34" s="77" t="inlineStr">
        <is>
          <t>WPN_标准子弹模块_中文资产管理</t>
        </is>
      </c>
      <c r="Y34" s="62" t="inlineStr">
        <is>
          <t>通用弹药：黄色弹壳；地面/图标共用；preview源SHA256=b58b2ad7b01a17ecaf3826f49d25f485586ff169561765d228d907080d5592fa；ground源SHA256=24491f12357220830731fcb5d1b0582a4f2672912a2036548dd48b430512a6cb；原尺寸与176三角预算保持。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5">
      <c r="A35" s="75" t="inlineStr">
        <is>
          <t>ITM-CONSUMABLE-ITEM-CELL-PACK</t>
        </is>
      </c>
      <c r="B35" s="62" t="inlineStr">
        <is>
          <t>电芯包</t>
        </is>
      </c>
      <c r="C35" s="62" t="inlineStr">
        <is>
          <t>道具</t>
        </is>
      </c>
      <c r="D35" s="75" t="inlineStr">
        <is>
          <t>item</t>
        </is>
      </c>
      <c r="E35" s="75" t="inlineStr">
        <is>
          <t>item_cell_pack</t>
        </is>
      </c>
      <c r="F35" s="75" t="inlineStr">
        <is>
          <t>root</t>
        </is>
      </c>
      <c r="G35" s="62" t="n"/>
      <c r="H35" s="62" t="inlineStr">
        <is>
          <t>top3d</t>
        </is>
      </c>
      <c r="I35" s="75" t="inlineStr">
        <is>
          <t>tier_0_static</t>
        </is>
      </c>
      <c r="J35" s="62" t="inlineStr">
        <is>
          <t>地面/图标；preview独立源；item_cell_pack</t>
        </is>
      </c>
      <c r="K35" s="62" t="inlineStr">
        <is>
          <t>已优化并正式接入</t>
        </is>
      </c>
      <c r="L35" s="75" t="inlineStr">
        <is>
          <t>P1</t>
        </is>
      </c>
      <c r="M35" s="75" t="inlineStr">
        <is>
          <t>v001</t>
        </is>
      </c>
      <c r="N35" s="62" t="inlineStr">
        <is>
          <t>Godot XYZ=[0.6796196103096008, 0.7625001072883606, 0.3108016550540924]m；ground 156三角；公共色盘；原点bottom_center</t>
        </is>
      </c>
      <c r="O35" s="62" t="inlineStr">
        <is>
          <t>assets/art/items_weapons/props/cell_pack/runtime/itm_cell_pack_ground_root_top3d.tscn</t>
        </is>
      </c>
      <c r="P35" s="75" t="inlineStr">
        <is>
          <t>src/world3d/ItemModelFactory3D.gd; src/combat3d/WeaponModel3D.gd; docs/v0.1/design/物品道具双模型制作规范.md</t>
        </is>
      </c>
      <c r="Q35" s="62" t="inlineStr">
        <is>
          <t>电芯包;item_cell_pack</t>
        </is>
      </c>
      <c r="R35" s="62">
        <f>LOWER(TRIM(C35)&amp;"|"&amp;TRIM(D35)&amp;"|"&amp;TRIM(E35)&amp;"|"&amp;TRIM(F35)&amp;"|"&amp;TRIM(H35)&amp;"|"&amp;TRIM(I35))</f>
        <v/>
      </c>
      <c r="S35" s="62">
        <f>IF(COUNTIF($R$6:$R$44,R35)&gt;1,"重复","唯一")</f>
        <v/>
      </c>
      <c r="T35" s="62" t="inlineStr">
        <is>
          <t>793742bf5cce258d7679807b298fb30aefa6858e85de498dce9b45a3ba505199</t>
        </is>
      </c>
      <c r="U35" s="62" t="inlineStr">
        <is>
          <t>Codex</t>
        </is>
      </c>
      <c r="V35" s="76" t="inlineStr">
        <is>
          <t>2026-10-15</t>
        </is>
      </c>
      <c r="W35" s="62" t="inlineStr">
        <is>
          <t>用户风格延续；程序制作原创组件；项目公共色盘</t>
        </is>
      </c>
      <c r="X35" s="77" t="inlineStr">
        <is>
          <t>电芯包_中文资产管理</t>
        </is>
      </c>
      <c r="Y35" s="62" t="inlineStr">
        <is>
          <t>高精度源=art_source/items_weapons/props/cell_pack/source/itm_cell_pack_source_v001.blend；地面源=art_source/items_weapons/props/cell_pack/source/itm_cell_pack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6">
      <c r="A36" s="75" t="inlineStr">
        <is>
          <t>ITM-MODULE-FLASHLIGHT-BASIC</t>
        </is>
      </c>
      <c r="B36" s="62" t="inlineStr">
        <is>
          <t>基础模块</t>
        </is>
      </c>
      <c r="C36" s="62" t="inlineStr">
        <is>
          <t>道具</t>
        </is>
      </c>
      <c r="D36" s="75" t="inlineStr">
        <is>
          <t>item</t>
        </is>
      </c>
      <c r="E36" s="75" t="inlineStr">
        <is>
          <t>item_flashlight_basic</t>
        </is>
      </c>
      <c r="F36" s="75" t="inlineStr">
        <is>
          <t>root</t>
        </is>
      </c>
      <c r="G36" s="62" t="n"/>
      <c r="H36" s="62" t="inlineStr">
        <is>
          <t>top3d</t>
        </is>
      </c>
      <c r="I36" s="75" t="inlineStr">
        <is>
          <t>tier_0_static</t>
        </is>
      </c>
      <c r="J36" s="62" t="inlineStr">
        <is>
          <t>地面/图标；preview独立源；item_flashlight_basic</t>
        </is>
      </c>
      <c r="K36" s="62" t="inlineStr">
        <is>
          <t>已优化并正式接入</t>
        </is>
      </c>
      <c r="L36" s="75" t="inlineStr">
        <is>
          <t>P1</t>
        </is>
      </c>
      <c r="M36" s="75" t="inlineStr">
        <is>
          <t>v001</t>
        </is>
      </c>
      <c r="N36" s="62" t="inlineStr">
        <is>
          <t>Godot XYZ=[0.5909375548362732, 0.7625000476837158, 0.45988285541534424]m；ground 116三角；公共色盘；原点bottom_center</t>
        </is>
      </c>
      <c r="O36" s="62" t="inlineStr">
        <is>
          <t>assets/art/items_weapons/props/flashlight_basic/runtime/itm_flashlight_basic_ground_root_top3d.tscn</t>
        </is>
      </c>
      <c r="P36" s="75" t="inlineStr">
        <is>
          <t>src/world3d/ItemModelFactory3D.gd; src/combat3d/WeaponModel3D.gd; docs/v0.1/design/物品道具双模型制作规范.md</t>
        </is>
      </c>
      <c r="Q36" s="62" t="inlineStr">
        <is>
          <t>基础模块;item_flashlight_basic</t>
        </is>
      </c>
      <c r="R36" s="62">
        <f>LOWER(TRIM(C36)&amp;"|"&amp;TRIM(D36)&amp;"|"&amp;TRIM(E36)&amp;"|"&amp;TRIM(F36)&amp;"|"&amp;TRIM(H36)&amp;"|"&amp;TRIM(I36))</f>
        <v/>
      </c>
      <c r="S36" s="62">
        <f>IF(COUNTIF($R$6:$R$44,R36)&gt;1,"重复","唯一")</f>
        <v/>
      </c>
      <c r="T36" s="62" t="inlineStr">
        <is>
          <t>857d03929333b21c18fde2eba27a7ceb127aa40e9c117a096b9ae8187b2bd6ff</t>
        </is>
      </c>
      <c r="U36" s="62" t="inlineStr">
        <is>
          <t>Codex</t>
        </is>
      </c>
      <c r="V36" s="76" t="inlineStr">
        <is>
          <t>2026-10-15</t>
        </is>
      </c>
      <c r="W36" s="62" t="inlineStr">
        <is>
          <t>用户风格延续；程序制作原创组件；项目公共色盘</t>
        </is>
      </c>
      <c r="X36" s="77" t="inlineStr">
        <is>
          <t>基础模块_中文资产管理</t>
        </is>
      </c>
      <c r="Y36" s="62" t="inlineStr">
        <is>
          <t>高精度源=art_source/items_weapons/props/flashlight_basic/source/itm_flashlight_basic_source_v001.blend；地面源=art_source/items_weapons/props/flashlight_basic/source/itm_flashlight_basic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7">
      <c r="A37" s="75" t="inlineStr">
        <is>
          <t>ITM-MODULE-FLASHLIGHT-ADVANCED</t>
        </is>
      </c>
      <c r="B37" s="62" t="inlineStr">
        <is>
          <t>加强模块</t>
        </is>
      </c>
      <c r="C37" s="62" t="inlineStr">
        <is>
          <t>道具</t>
        </is>
      </c>
      <c r="D37" s="75" t="inlineStr">
        <is>
          <t>item</t>
        </is>
      </c>
      <c r="E37" s="75" t="inlineStr">
        <is>
          <t>item_flashlight_advanced</t>
        </is>
      </c>
      <c r="F37" s="75" t="inlineStr">
        <is>
          <t>root</t>
        </is>
      </c>
      <c r="G37" s="62" t="n"/>
      <c r="H37" s="62" t="inlineStr">
        <is>
          <t>top3d</t>
        </is>
      </c>
      <c r="I37" s="75" t="inlineStr">
        <is>
          <t>tier_0_static</t>
        </is>
      </c>
      <c r="J37" s="62" t="inlineStr">
        <is>
          <t>地面/图标；preview独立源；item_flashlight_advanced</t>
        </is>
      </c>
      <c r="K37" s="62" t="inlineStr">
        <is>
          <t>已优化并正式接入</t>
        </is>
      </c>
      <c r="L37" s="75" t="inlineStr">
        <is>
          <t>P1</t>
        </is>
      </c>
      <c r="M37" s="75" t="inlineStr">
        <is>
          <t>v001</t>
        </is>
      </c>
      <c r="N37" s="62" t="inlineStr">
        <is>
          <t>Godot XYZ=[0.5909375548362732, 0.7625000476837158, 0.45988285541534424]m；ground 128三角；公共色盘；原点bottom_center</t>
        </is>
      </c>
      <c r="O37" s="62" t="inlineStr">
        <is>
          <t>assets/art/items_weapons/props/flashlight_advanced/runtime/itm_flashlight_advanced_ground_root_top3d.tscn</t>
        </is>
      </c>
      <c r="P37" s="75" t="inlineStr">
        <is>
          <t>src/world3d/ItemModelFactory3D.gd; src/combat3d/WeaponModel3D.gd; docs/v0.1/design/物品道具双模型制作规范.md</t>
        </is>
      </c>
      <c r="Q37" s="62" t="inlineStr">
        <is>
          <t>加强模块;item_flashlight_advanced</t>
        </is>
      </c>
      <c r="R37" s="62">
        <f>LOWER(TRIM(C37)&amp;"|"&amp;TRIM(D37)&amp;"|"&amp;TRIM(E37)&amp;"|"&amp;TRIM(F37)&amp;"|"&amp;TRIM(H37)&amp;"|"&amp;TRIM(I37))</f>
        <v/>
      </c>
      <c r="S37" s="62">
        <f>IF(COUNTIF($R$6:$R$44,R37)&gt;1,"重复","唯一")</f>
        <v/>
      </c>
      <c r="T37" s="62" t="inlineStr">
        <is>
          <t>ffc807de1601abc3d9b1b673961e440a0461dce699f26e35f4c2010e2885684c</t>
        </is>
      </c>
      <c r="U37" s="62" t="inlineStr">
        <is>
          <t>Codex</t>
        </is>
      </c>
      <c r="V37" s="76" t="inlineStr">
        <is>
          <t>2026-10-15</t>
        </is>
      </c>
      <c r="W37" s="62" t="inlineStr">
        <is>
          <t>用户风格延续；程序制作原创组件；项目公共色盘</t>
        </is>
      </c>
      <c r="X37" s="77" t="inlineStr">
        <is>
          <t>加强模块_中文资产管理</t>
        </is>
      </c>
      <c r="Y37" s="62" t="inlineStr">
        <is>
          <t>高精度源=art_source/items_weapons/props/flashlight_advanced/source/itm_flashlight_advanced_source_v001.blend；地面源=art_source/items_weapons/props/flashlight_advanced/source/itm_flashlight_advanced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8">
      <c r="A38" s="75" t="inlineStr">
        <is>
          <t>ITM-MODULE-FLASHLIGHT-EFFICIENT</t>
        </is>
      </c>
      <c r="B38" s="62" t="inlineStr">
        <is>
          <t>节能模块</t>
        </is>
      </c>
      <c r="C38" s="62" t="inlineStr">
        <is>
          <t>道具</t>
        </is>
      </c>
      <c r="D38" s="75" t="inlineStr">
        <is>
          <t>item</t>
        </is>
      </c>
      <c r="E38" s="75" t="inlineStr">
        <is>
          <t>item_flashlight_efficient</t>
        </is>
      </c>
      <c r="F38" s="75" t="inlineStr">
        <is>
          <t>root</t>
        </is>
      </c>
      <c r="G38" s="62" t="n"/>
      <c r="H38" s="62" t="inlineStr">
        <is>
          <t>top3d</t>
        </is>
      </c>
      <c r="I38" s="75" t="inlineStr">
        <is>
          <t>tier_0_static</t>
        </is>
      </c>
      <c r="J38" s="62" t="inlineStr">
        <is>
          <t>地面/图标；preview独立源；item_flashlight_efficient</t>
        </is>
      </c>
      <c r="K38" s="62" t="inlineStr">
        <is>
          <t>已优化并正式接入</t>
        </is>
      </c>
      <c r="L38" s="75" t="inlineStr">
        <is>
          <t>P1</t>
        </is>
      </c>
      <c r="M38" s="75" t="inlineStr">
        <is>
          <t>v001</t>
        </is>
      </c>
      <c r="N38" s="62" t="inlineStr">
        <is>
          <t>Godot XYZ=[0.5909375548362732, 0.7625000476837158, 0.45988285541534424]m；ground 116三角；公共色盘；原点bottom_center</t>
        </is>
      </c>
      <c r="O38" s="62" t="inlineStr">
        <is>
          <t>assets/art/items_weapons/props/flashlight_efficient/runtime/itm_flashlight_efficient_ground_root_top3d.tscn</t>
        </is>
      </c>
      <c r="P38" s="75" t="inlineStr">
        <is>
          <t>src/world3d/ItemModelFactory3D.gd; src/combat3d/WeaponModel3D.gd; docs/v0.1/design/物品道具双模型制作规范.md</t>
        </is>
      </c>
      <c r="Q38" s="62" t="inlineStr">
        <is>
          <t>节能模块;item_flashlight_efficient</t>
        </is>
      </c>
      <c r="R38" s="62">
        <f>LOWER(TRIM(C38)&amp;"|"&amp;TRIM(D38)&amp;"|"&amp;TRIM(E38)&amp;"|"&amp;TRIM(F38)&amp;"|"&amp;TRIM(H38)&amp;"|"&amp;TRIM(I38))</f>
        <v/>
      </c>
      <c r="S38" s="62">
        <f>IF(COUNTIF($R$6:$R$44,R38)&gt;1,"重复","唯一")</f>
        <v/>
      </c>
      <c r="T38" s="62" t="inlineStr">
        <is>
          <t>81cd8836e23c0072578a16e4e27a80a0da14db57d076463012012542c4dba841</t>
        </is>
      </c>
      <c r="U38" s="62" t="inlineStr">
        <is>
          <t>Codex</t>
        </is>
      </c>
      <c r="V38" s="76" t="inlineStr">
        <is>
          <t>2026-10-15</t>
        </is>
      </c>
      <c r="W38" s="62" t="inlineStr">
        <is>
          <t>用户风格延续；程序制作原创组件；项目公共色盘</t>
        </is>
      </c>
      <c r="X38" s="77" t="inlineStr">
        <is>
          <t>节能模块_中文资产管理</t>
        </is>
      </c>
      <c r="Y38" s="62" t="inlineStr">
        <is>
          <t>高精度源=art_source/items_weapons/props/flashlight_efficient/source/itm_flashlight_efficient_source_v001.blend；地面源=art_source/items_weapons/props/flashlight_efficient/source/itm_flashlight_efficient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39">
      <c r="A39" s="75" t="inlineStr">
        <is>
          <t>ITM-BLUEPRINT-SHARED-SCROLL</t>
        </is>
      </c>
      <c r="B39" s="62" t="inlineStr">
        <is>
          <t>通用蓝图卷轴</t>
        </is>
      </c>
      <c r="C39" s="62" t="inlineStr">
        <is>
          <t>道具</t>
        </is>
      </c>
      <c r="D39" s="75" t="inlineStr">
        <is>
          <t>item</t>
        </is>
      </c>
      <c r="E39" s="75" t="inlineStr">
        <is>
          <t>blueprint_shared</t>
        </is>
      </c>
      <c r="F39" s="75" t="inlineStr">
        <is>
          <t>root</t>
        </is>
      </c>
      <c r="G39" s="62" t="n"/>
      <c r="H39" s="62" t="inlineStr">
        <is>
          <t>top3d</t>
        </is>
      </c>
      <c r="I39" s="75" t="inlineStr">
        <is>
          <t>tier_0_static</t>
        </is>
      </c>
      <c r="J39" s="62" t="inlineStr">
        <is>
          <t>地面/图标；preview独立源；bp_pistol,bp_shotgun,bp_sprinkler,bp_starter_rifle,bp_rifle,bp_machinegun,bp_sniper,bp_launcher,bp_charge</t>
        </is>
      </c>
      <c r="K39" s="62" t="inlineStr">
        <is>
          <t>已优化并正式接入</t>
        </is>
      </c>
      <c r="L39" s="75" t="inlineStr">
        <is>
          <t>P1</t>
        </is>
      </c>
      <c r="M39" s="75" t="inlineStr">
        <is>
          <t>v001</t>
        </is>
      </c>
      <c r="N39" s="62" t="inlineStr">
        <is>
          <t>Godot XYZ=[0.7628571391105652, 0.9000000357627869, 0.22285713255405426]m；ground 116三角；公共色盘；原点bottom_center</t>
        </is>
      </c>
      <c r="O39" s="62" t="inlineStr">
        <is>
          <t>assets/art/items_weapons/props/blueprint_scroll/runtime/itm_blueprint_scroll_ground_root_top3d.tscn</t>
        </is>
      </c>
      <c r="P39" s="75" t="inlineStr">
        <is>
          <t>src/world3d/ItemModelFactory3D.gd; src/combat3d/WeaponModel3D.gd; docs/v0.1/design/物品道具双模型制作规范.md</t>
        </is>
      </c>
      <c r="Q39" s="62" t="inlineStr">
        <is>
          <t>通用蓝图卷轴;bp_pistol,bp_shotgun,bp_sprinkler,bp_starter_rifle,bp_rifle,bp_machinegun,bp_sniper,bp_launcher,bp_charge</t>
        </is>
      </c>
      <c r="R39" s="62">
        <f>LOWER(TRIM(C39)&amp;"|"&amp;TRIM(D39)&amp;"|"&amp;TRIM(E39)&amp;"|"&amp;TRIM(F39)&amp;"|"&amp;TRIM(H39)&amp;"|"&amp;TRIM(I39))</f>
        <v/>
      </c>
      <c r="S39" s="62">
        <f>IF(COUNTIF($R$6:$R$44,R39)&gt;1,"重复","唯一")</f>
        <v/>
      </c>
      <c r="T39" s="62" t="inlineStr">
        <is>
          <t>7ce51ba228751caad09283f38cdb31fd9d142339a7e958662df321f0565f12a6</t>
        </is>
      </c>
      <c r="U39" s="62" t="inlineStr">
        <is>
          <t>Codex</t>
        </is>
      </c>
      <c r="V39" s="76" t="inlineStr">
        <is>
          <t>2026-10-15</t>
        </is>
      </c>
      <c r="W39" s="62" t="inlineStr">
        <is>
          <t>用户风格延续；程序制作原创组件；项目公共色盘</t>
        </is>
      </c>
      <c r="X39" s="77" t="inlineStr">
        <is>
          <t>通用蓝图卷轴_中文资产管理</t>
        </is>
      </c>
      <c r="Y39" s="62" t="inlineStr">
        <is>
          <t>高精度源=art_source/items_weapons/props/blueprint_scroll/source/itm_blueprint_scroll_source_v001.blend；地面源=art_source/items_weapons/props/blueprint_scroll/source/itm_blueprint_scroll_ground_source_v001.blend；清单包含两角色哈希与派生关系；Godot实际工厂/图标/28内容映射通过；拾取碰撞归GroundLootPickup3D
【2026-10-15物品色板】assets/art/shared/palette/item_high_visibility_palette_10x10_512.png；HSV S/V×1.40封顶1；高低/优化源同步；场景原色板不变；运行材质及图标验收通过。
【2026-10-15独立四材质】assets/art/shared/palette/item_high_visibility_palette_10x10_512.png；HSV S/V=原场景×1.40×1.15=1.61封顶1；四个道具专用材质；图标本色补光0.45；高低/优化源同步；场景原材质不变；运行及图标验收通过。</t>
        </is>
      </c>
    </row>
    <row r="40">
      <c r="A40" s="75" t="inlineStr">
        <is>
          <t>ITM-PALETTE-ITEM-HIGH-VISIBILITY</t>
        </is>
      </c>
      <c r="B40" s="62" t="inlineStr">
        <is>
          <t>物品专用高亮高饱和色板</t>
        </is>
      </c>
      <c r="C40" s="62" t="inlineStr">
        <is>
          <t>道具</t>
        </is>
      </c>
      <c r="D40" s="75" t="inlineStr">
        <is>
          <t>palette</t>
        </is>
      </c>
      <c r="E40" s="75" t="inlineStr">
        <is>
          <t>item_high_visibility_palette</t>
        </is>
      </c>
      <c r="F40" s="75" t="inlineStr">
        <is>
          <t>texture</t>
        </is>
      </c>
      <c r="G40" s="62" t="inlineStr"/>
      <c r="H40" s="62" t="inlineStr">
        <is>
          <t>shared</t>
        </is>
      </c>
      <c r="I40" s="75" t="inlineStr">
        <is>
          <t>static</t>
        </is>
      </c>
      <c r="J40" s="62" t="inlineStr">
        <is>
          <t>31物品资产/地面/图标/预览/背包</t>
        </is>
      </c>
      <c r="K40" s="62" t="inlineStr">
        <is>
          <t>已完成</t>
        </is>
      </c>
      <c r="L40" s="75" t="inlineStr">
        <is>
          <t>P1</t>
        </is>
      </c>
      <c r="M40" s="75" t="inlineStr">
        <is>
          <t>v001</t>
        </is>
      </c>
      <c r="N40" s="62" t="inlineStr">
        <is>
          <t>512×512 RGBA；10×10；sRGB HSV S/V各×1.61（1.40后再增15%）并封顶；H/Alpha不变</t>
        </is>
      </c>
      <c r="O40" s="62" t="inlineStr">
        <is>
          <t>assets/art/shared/palette/item_high_visibility_palette_10x10_512.png</t>
        </is>
      </c>
      <c r="P40" s="75" t="inlineStr">
        <is>
          <t>art_source/shared/palette/item_palette_recipe_v001.json; tools/asset_pipeline/item_shared_palette_post_import.gd</t>
        </is>
      </c>
      <c r="Q40" s="62" t="inlineStr">
        <is>
          <t>物品;色板;高亮;高饱和;palette</t>
        </is>
      </c>
      <c r="R40" s="62">
        <f>LOWER(TRIM(C40)&amp;"|"&amp;TRIM(D40)&amp;"|"&amp;TRIM(E40)&amp;"|"&amp;TRIM(F40)&amp;"|"&amp;TRIM(H40)&amp;"|"&amp;TRIM(I40))</f>
        <v/>
      </c>
      <c r="S40" s="62">
        <f>IF(COUNTIF($R$6:$R$44,R40)&gt;1,"重复","唯一")</f>
        <v/>
      </c>
      <c r="T40" s="62" t="inlineStr">
        <is>
          <t>8da13f6d4da6701b983aa88cfd0e839a8178ab5c51a8f169fc8a4638308cb1c7</t>
        </is>
      </c>
      <c r="U40" s="62" t="inlineStr">
        <is>
          <t>Codex</t>
        </is>
      </c>
      <c r="V40" s="76" t="inlineStr">
        <is>
          <t>2026-10-15</t>
        </is>
      </c>
      <c r="W40" s="62" t="inlineStr">
        <is>
          <t>从项目场景色板按用户要求确定性派生</t>
        </is>
      </c>
      <c r="X40" s="77" t="inlineStr"/>
      <c r="Y40" s="62" t="inlineStr">
        <is>
          <t>只登记贴图资产，不登记虚假Prefab。配方与生成器可重建，Nearest/无mipmap/无损压缩。</t>
        </is>
      </c>
    </row>
    <row r="41">
      <c r="A41" s="75" t="inlineStr">
        <is>
          <t>ITM-MATERIAL-METAL</t>
        </is>
      </c>
      <c r="B41" s="62" t="inlineStr">
        <is>
          <t>01_精工金属_道具骨架</t>
        </is>
      </c>
      <c r="C41" s="62" t="inlineStr">
        <is>
          <t>道具</t>
        </is>
      </c>
      <c r="D41" s="75" t="inlineStr">
        <is>
          <t>material</t>
        </is>
      </c>
      <c r="E41" s="75" t="inlineStr">
        <is>
          <t>item_material_1</t>
        </is>
      </c>
      <c r="F41" s="75" t="inlineStr">
        <is>
          <t>material</t>
        </is>
      </c>
      <c r="G41" s="62" t="inlineStr"/>
      <c r="H41" s="62" t="inlineStr">
        <is>
          <t>shared</t>
        </is>
      </c>
      <c r="I41" s="75" t="inlineStr">
        <is>
          <t>static</t>
        </is>
      </c>
      <c r="J41" s="62" t="inlineStr">
        <is>
          <t>31物品资产；世界与预览；图标派生实例</t>
        </is>
      </c>
      <c r="K41" s="62" t="inlineStr">
        <is>
          <t>已完成</t>
        </is>
      </c>
      <c r="L41" s="75" t="inlineStr">
        <is>
          <t>P1</t>
        </is>
      </c>
      <c r="M41" s="75" t="inlineStr">
        <is>
          <t>v001</t>
        </is>
      </c>
      <c r="N41" s="62" t="inlineStr">
        <is>
          <t>四角色独立资源；物品专用色板；图标补光能量下限0.45</t>
        </is>
      </c>
      <c r="O41" s="62" t="inlineStr">
        <is>
          <t>assets/art/items_weapons/shared/materials/itm_metal.tres</t>
        </is>
      </c>
      <c r="P41" s="75" t="inlineStr">
        <is>
          <t>tools/asset_pipeline/item_shared_palette_post_import.gd; src/ui/ItemIconMaterialPreset.gd</t>
        </is>
      </c>
      <c r="Q41" s="62" t="inlineStr">
        <is>
          <t>物品;独立材质;图标;补光</t>
        </is>
      </c>
      <c r="R41" s="62">
        <f>LOWER(TRIM(C41)&amp;"|"&amp;TRIM(D41)&amp;"|"&amp;TRIM(E41)&amp;"|"&amp;TRIM(F41)&amp;"|"&amp;TRIM(H41)&amp;"|"&amp;TRIM(I41))</f>
        <v/>
      </c>
      <c r="S41" s="62">
        <f>IF(COUNTIF($R$6:$R$44,R41)&gt;1,"重复","唯一")</f>
        <v/>
      </c>
      <c r="T41" s="62" t="inlineStr">
        <is>
          <t>39ad69667b6ad5f6c77a55e34a8e008a389d62699db65bde95ce098d942263b1</t>
        </is>
      </c>
      <c r="U41" s="62" t="inlineStr">
        <is>
          <t>Codex</t>
        </is>
      </c>
      <c r="V41" s="76" t="inlineStr">
        <is>
          <t>2026-10-15</t>
        </is>
      </c>
      <c r="W41" s="62" t="inlineStr">
        <is>
          <t>项目原创材质参数</t>
        </is>
      </c>
      <c r="X41" s="77" t="inlineStr"/>
      <c r="Y41" s="62" t="inlineStr">
        <is>
          <t>不引用场景材质；图标使用surface override副本，不修改世界材质或新增角色。</t>
        </is>
      </c>
    </row>
    <row r="42">
      <c r="A42" s="75" t="inlineStr">
        <is>
          <t>ITM-MATERIAL-MATTE</t>
        </is>
      </c>
      <c r="B42" s="62" t="inlineStr">
        <is>
          <t>02_细腻哑光_道具大面</t>
        </is>
      </c>
      <c r="C42" s="62" t="inlineStr">
        <is>
          <t>道具</t>
        </is>
      </c>
      <c r="D42" s="75" t="inlineStr">
        <is>
          <t>material</t>
        </is>
      </c>
      <c r="E42" s="75" t="inlineStr">
        <is>
          <t>item_material_2</t>
        </is>
      </c>
      <c r="F42" s="75" t="inlineStr">
        <is>
          <t>material</t>
        </is>
      </c>
      <c r="G42" s="62" t="inlineStr"/>
      <c r="H42" s="62" t="inlineStr">
        <is>
          <t>shared</t>
        </is>
      </c>
      <c r="I42" s="75" t="inlineStr">
        <is>
          <t>static</t>
        </is>
      </c>
      <c r="J42" s="62" t="inlineStr">
        <is>
          <t>31物品资产；世界与预览；图标派生实例</t>
        </is>
      </c>
      <c r="K42" s="62" t="inlineStr">
        <is>
          <t>已完成</t>
        </is>
      </c>
      <c r="L42" s="75" t="inlineStr">
        <is>
          <t>P1</t>
        </is>
      </c>
      <c r="M42" s="75" t="inlineStr">
        <is>
          <t>v001</t>
        </is>
      </c>
      <c r="N42" s="62" t="inlineStr">
        <is>
          <t>四角色独立资源；物品专用色板；图标补光能量下限0.45</t>
        </is>
      </c>
      <c r="O42" s="62" t="inlineStr">
        <is>
          <t>assets/art/items_weapons/shared/materials/itm_matte.tres</t>
        </is>
      </c>
      <c r="P42" s="75" t="inlineStr">
        <is>
          <t>tools/asset_pipeline/item_shared_palette_post_import.gd; src/ui/ItemIconMaterialPreset.gd</t>
        </is>
      </c>
      <c r="Q42" s="62" t="inlineStr">
        <is>
          <t>物品;独立材质;图标;补光</t>
        </is>
      </c>
      <c r="R42" s="62">
        <f>LOWER(TRIM(C42)&amp;"|"&amp;TRIM(D42)&amp;"|"&amp;TRIM(E42)&amp;"|"&amp;TRIM(F42)&amp;"|"&amp;TRIM(H42)&amp;"|"&amp;TRIM(I42))</f>
        <v/>
      </c>
      <c r="S42" s="62">
        <f>IF(COUNTIF($R$6:$R$44,R42)&gt;1,"重复","唯一")</f>
        <v/>
      </c>
      <c r="T42" s="62" t="inlineStr">
        <is>
          <t>983267f78b26e7d588be7d1c0ce5472e2b133c4f4d8456547db759610bff2ae0</t>
        </is>
      </c>
      <c r="U42" s="62" t="inlineStr">
        <is>
          <t>Codex</t>
        </is>
      </c>
      <c r="V42" s="76" t="inlineStr">
        <is>
          <t>2026-10-15</t>
        </is>
      </c>
      <c r="W42" s="62" t="inlineStr">
        <is>
          <t>项目原创材质参数</t>
        </is>
      </c>
      <c r="X42" s="77" t="inlineStr"/>
      <c r="Y42" s="62" t="inlineStr">
        <is>
          <t>不引用场景材质；图标使用surface override副本，不修改世界材质或新增角色。</t>
        </is>
      </c>
    </row>
    <row r="43">
      <c r="A43" s="75" t="inlineStr">
        <is>
          <t>ITM-MATERIAL-CLEARCOAT</t>
        </is>
      </c>
      <c r="B43" s="62" t="inlineStr">
        <is>
          <t>03_清漆反光_道具点缀</t>
        </is>
      </c>
      <c r="C43" s="62" t="inlineStr">
        <is>
          <t>道具</t>
        </is>
      </c>
      <c r="D43" s="75" t="inlineStr">
        <is>
          <t>material</t>
        </is>
      </c>
      <c r="E43" s="75" t="inlineStr">
        <is>
          <t>item_material_3</t>
        </is>
      </c>
      <c r="F43" s="75" t="inlineStr">
        <is>
          <t>material</t>
        </is>
      </c>
      <c r="G43" s="62" t="inlineStr"/>
      <c r="H43" s="62" t="inlineStr">
        <is>
          <t>shared</t>
        </is>
      </c>
      <c r="I43" s="75" t="inlineStr">
        <is>
          <t>static</t>
        </is>
      </c>
      <c r="J43" s="62" t="inlineStr">
        <is>
          <t>31物品资产；世界与预览；图标派生实例</t>
        </is>
      </c>
      <c r="K43" s="62" t="inlineStr">
        <is>
          <t>已完成</t>
        </is>
      </c>
      <c r="L43" s="75" t="inlineStr">
        <is>
          <t>P1</t>
        </is>
      </c>
      <c r="M43" s="75" t="inlineStr">
        <is>
          <t>v001</t>
        </is>
      </c>
      <c r="N43" s="62" t="inlineStr">
        <is>
          <t>四角色独立资源；物品专用色板；图标补光能量下限0.45</t>
        </is>
      </c>
      <c r="O43" s="62" t="inlineStr">
        <is>
          <t>assets/art/items_weapons/shared/materials/itm_clearcoat.tres</t>
        </is>
      </c>
      <c r="P43" s="75" t="inlineStr">
        <is>
          <t>tools/asset_pipeline/item_shared_palette_post_import.gd; src/ui/ItemIconMaterialPreset.gd</t>
        </is>
      </c>
      <c r="Q43" s="62" t="inlineStr">
        <is>
          <t>物品;独立材质;图标;补光</t>
        </is>
      </c>
      <c r="R43" s="62">
        <f>LOWER(TRIM(C43)&amp;"|"&amp;TRIM(D43)&amp;"|"&amp;TRIM(E43)&amp;"|"&amp;TRIM(F43)&amp;"|"&amp;TRIM(H43)&amp;"|"&amp;TRIM(I43))</f>
        <v/>
      </c>
      <c r="S43" s="62">
        <f>IF(COUNTIF($R$6:$R$44,R43)&gt;1,"重复","唯一")</f>
        <v/>
      </c>
      <c r="T43" s="62" t="inlineStr">
        <is>
          <t>66f20bd26768ccf5be5a3ad6789437be64030c3a97541f9a5533e0c1fdc64257</t>
        </is>
      </c>
      <c r="U43" s="62" t="inlineStr">
        <is>
          <t>Codex</t>
        </is>
      </c>
      <c r="V43" s="76" t="inlineStr">
        <is>
          <t>2026-10-15</t>
        </is>
      </c>
      <c r="W43" s="62" t="inlineStr">
        <is>
          <t>项目原创材质参数</t>
        </is>
      </c>
      <c r="X43" s="77" t="inlineStr"/>
      <c r="Y43" s="62" t="inlineStr">
        <is>
          <t>不引用场景材质；图标使用surface override副本，不修改世界材质或新增角色。</t>
        </is>
      </c>
    </row>
    <row r="44">
      <c r="A44" s="75" t="inlineStr">
        <is>
          <t>ITM-MATERIAL-EMISSIVE</t>
        </is>
      </c>
      <c r="B44" s="62" t="inlineStr">
        <is>
          <t>04_柔和自发光_道具UI</t>
        </is>
      </c>
      <c r="C44" s="62" t="inlineStr">
        <is>
          <t>道具</t>
        </is>
      </c>
      <c r="D44" s="75" t="inlineStr">
        <is>
          <t>material</t>
        </is>
      </c>
      <c r="E44" s="75" t="inlineStr">
        <is>
          <t>item_material_4</t>
        </is>
      </c>
      <c r="F44" s="75" t="inlineStr">
        <is>
          <t>material</t>
        </is>
      </c>
      <c r="G44" s="62" t="inlineStr"/>
      <c r="H44" s="62" t="inlineStr">
        <is>
          <t>shared</t>
        </is>
      </c>
      <c r="I44" s="75" t="inlineStr">
        <is>
          <t>static</t>
        </is>
      </c>
      <c r="J44" s="62" t="inlineStr">
        <is>
          <t>31物品资产；世界与预览；图标派生实例</t>
        </is>
      </c>
      <c r="K44" s="62" t="inlineStr">
        <is>
          <t>已完成</t>
        </is>
      </c>
      <c r="L44" s="75" t="inlineStr">
        <is>
          <t>P1</t>
        </is>
      </c>
      <c r="M44" s="75" t="inlineStr">
        <is>
          <t>v001</t>
        </is>
      </c>
      <c r="N44" s="62" t="inlineStr">
        <is>
          <t>四角色独立资源；物品专用色板；图标补光能量下限0.45</t>
        </is>
      </c>
      <c r="O44" s="62" t="inlineStr">
        <is>
          <t>assets/art/items_weapons/shared/materials/itm_emissive.tres</t>
        </is>
      </c>
      <c r="P44" s="75" t="inlineStr">
        <is>
          <t>tools/asset_pipeline/item_shared_palette_post_import.gd; src/ui/ItemIconMaterialPreset.gd</t>
        </is>
      </c>
      <c r="Q44" s="62" t="inlineStr">
        <is>
          <t>物品;独立材质;图标;补光</t>
        </is>
      </c>
      <c r="R44" s="62">
        <f>LOWER(TRIM(C44)&amp;"|"&amp;TRIM(D44)&amp;"|"&amp;TRIM(E44)&amp;"|"&amp;TRIM(F44)&amp;"|"&amp;TRIM(H44)&amp;"|"&amp;TRIM(I44))</f>
        <v/>
      </c>
      <c r="S44" s="62">
        <f>IF(COUNTIF($R$6:$R$44,R44)&gt;1,"重复","唯一")</f>
        <v/>
      </c>
      <c r="T44" s="62" t="inlineStr">
        <is>
          <t>a443ac309186802e83b2554a4247a13ae75961c78259423a44c0aaaef52ab53b</t>
        </is>
      </c>
      <c r="U44" s="62" t="inlineStr">
        <is>
          <t>Codex</t>
        </is>
      </c>
      <c r="V44" s="76" t="inlineStr">
        <is>
          <t>2026-10-15</t>
        </is>
      </c>
      <c r="W44" s="62" t="inlineStr">
        <is>
          <t>项目原创材质参数</t>
        </is>
      </c>
      <c r="X44" s="77" t="inlineStr"/>
      <c r="Y44" s="62" t="inlineStr">
        <is>
          <t>不引用场景材质；图标使用surface override副本，不修改世界材质或新增角色。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44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44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4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4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../ShellStorm2-backup/2026-10-11_slimming/original_tree/art_source/props/base_world_3d/source/mission_command_chair/prp_base_mission_command_chair_source_v001.blend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../ShellStorm2-backup/2026-10-11_slimming/original_tree/art_source/props/base_world_3d/source/workshop_stool/prp_base_workshop_stool_source_v001.blend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art_source/props/base_world_3d/source/base99_radio/prp_base99_radio_source_v005.blend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一行一个独立PackedScene；地面模型使用ground角色，状态以各行记录为准。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art_source/items_weapons/props/backpack_small/source/prp_backpack_small_source_v001.blend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art_source/items_weapons/props/backpack_medium/source/prp_backpack_medium_source_v001.blend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art_source/items_weapons/props/backpack_large/source/prp_backpack_large_source_v001.blend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；物品专用色板S/V×1.40，assets/art/shared/palette/item_high_visibility_palette_10x10_512.png；当前物品独立四材质、S/V×1.61，assets/art/shared/palette/item_high_visibility_palette_10x10_512.png</t>
        </is>
      </c>
    </row>
    <row r="8">
      <c r="A8" s="86" t="inlineStr">
        <is>
          <t>ITM-CONSUMABLE-ITEM-BATTERY-L</t>
        </is>
      </c>
      <c r="B8" s="87" t="inlineStr">
        <is>
          <t>大型电池（地面）</t>
        </is>
      </c>
      <c r="C8" s="88" t="inlineStr">
        <is>
          <t>assets/art/items_weapons/props/battery_large/runtime/itm_battery_large_ground_root_top3d.tscn</t>
        </is>
      </c>
      <c r="D8" s="88" t="inlineStr">
        <is>
          <t>assets/art/items_weapons/props/battery_large/components/itm_battery_large_ground_visual_top3d.glb</t>
        </is>
      </c>
      <c r="E8" s="88" t="inlineStr">
        <is>
          <t>art_source/items_weapons/props/battery_large/source/itm_battery_large_ground_source_v001.blend</t>
        </is>
      </c>
      <c r="F8" s="87" t="inlineStr">
        <is>
          <t>仅ground视觉；同一物品身份，外部负责拾取/弹跳/收集</t>
        </is>
      </c>
      <c r="G8" s="87" t="inlineStr">
        <is>
          <t>src/world3d/ItemModelFactory3D.gd; src/world3d/GroundLootPickup3D.gd</t>
        </is>
      </c>
      <c r="H8" s="87" t="inlineStr">
        <is>
          <t>Prefab无；外部拾取触发</t>
        </is>
      </c>
      <c r="I8" s="87" t="inlineStr">
        <is>
          <t>GroundLootPickup3D</t>
        </is>
      </c>
      <c r="J8" s="87" t="inlineStr">
        <is>
          <t>外部SphereShape3D；无实体阻挡</t>
        </is>
      </c>
      <c r="K8" s="87" t="inlineStr">
        <is>
          <t>0.45228×0.332524×0.66m；168三角；外部倍率0.504</t>
        </is>
      </c>
      <c r="L8" s="87" t="inlineStr">
        <is>
          <t>底面中心原点；Blender +Z向上，正面-Y；Godot +Y向上、正面+Z</t>
        </is>
      </c>
      <c r="M8" s="87" t="inlineStr">
        <is>
          <t>世界地面掉落/拾取；非背包预览与枪上装配</t>
        </is>
      </c>
      <c r="N8" s="87" t="inlineStr">
        <is>
          <t>exported_pending_godot_validation</t>
        </is>
      </c>
      <c r="O8" s="87" t="inlineStr">
        <is>
          <t>v001</t>
        </is>
      </c>
      <c r="P8" s="89" t="inlineStr">
        <is>
          <t>源保持；公共场景色盘；资源导入完成，未执行运行/视觉验收；地面倍率1.30，最终0.6552；物品专用色板S/V×1.40，assets/art/shared/palette/item_high_visibility_palette_10x10_512.png；当前物品独立四材质、S/V×1.61，assets/art/shared/palette/item_high_visibility_palette_10x10_512.png</t>
        </is>
      </c>
    </row>
    <row r="9">
      <c r="A9" s="86" t="inlineStr">
        <is>
          <t>ITM-CONSUMABLE-ITEM-BATTERY-S</t>
        </is>
      </c>
      <c r="B9" s="87" t="inlineStr">
        <is>
          <t>小型电池（地面）</t>
        </is>
      </c>
      <c r="C9" s="88" t="inlineStr">
        <is>
          <t>assets/art/items_weapons/props/battery_small/runtime/itm_battery_small_ground_root_top3d.tscn</t>
        </is>
      </c>
      <c r="D9" s="88" t="inlineStr">
        <is>
          <t>assets/art/items_weapons/props/battery_small/components/itm_battery_small_ground_visual_top3d.glb</t>
        </is>
      </c>
      <c r="E9" s="88" t="inlineStr">
        <is>
          <t>art_source/items_weapons/props/battery_small/source/itm_battery_small_ground_source_v001.blend</t>
        </is>
      </c>
      <c r="F9" s="87" t="inlineStr">
        <is>
          <t>仅ground视觉；同一物品身份，外部负责拾取/弹跳/收集</t>
        </is>
      </c>
      <c r="G9" s="87" t="inlineStr">
        <is>
          <t>src/world3d/ItemModelFactory3D.gd; src/world3d/GroundLootPickup3D.gd</t>
        </is>
      </c>
      <c r="H9" s="87" t="inlineStr">
        <is>
          <t>Prefab无；外部拾取触发</t>
        </is>
      </c>
      <c r="I9" s="87" t="inlineStr">
        <is>
          <t>GroundLootPickup3D</t>
        </is>
      </c>
      <c r="J9" s="87" t="inlineStr">
        <is>
          <t>外部SphereShape3D；无实体阻挡</t>
        </is>
      </c>
      <c r="K9" s="87" t="inlineStr">
        <is>
          <t>0.311111×0.311111×0.66m；120三角；外部倍率0.504</t>
        </is>
      </c>
      <c r="L9" s="87" t="inlineStr">
        <is>
          <t>底面中心原点；Blender +Z向上，正面-Y；Godot +Y向上、正面+Z</t>
        </is>
      </c>
      <c r="M9" s="87" t="inlineStr">
        <is>
          <t>世界地面掉落/拾取；非背包预览与枪上装配</t>
        </is>
      </c>
      <c r="N9" s="87" t="inlineStr">
        <is>
          <t>exported_pending_godot_validation</t>
        </is>
      </c>
      <c r="O9" s="87" t="inlineStr">
        <is>
          <t>v001</t>
        </is>
      </c>
      <c r="P9" s="89" t="inlineStr">
        <is>
          <t>源保持；公共场景色盘；资源导入完成，未执行运行/视觉验收；物品专用色板S/V×1.40，assets/art/shared/palette/item_high_visibility_palette_10x10_512.png；当前物品独立四材质、S/V×1.61，assets/art/shared/palette/item_high_visibility_palette_10x10_512.png</t>
        </is>
      </c>
    </row>
    <row r="10">
      <c r="A10" s="86" t="inlineStr">
        <is>
          <t>ITM-CONSUMABLE-ITEM-HEALTH-POTION</t>
        </is>
      </c>
      <c r="B10" s="87" t="inlineStr">
        <is>
          <t>治疗药水（地面）</t>
        </is>
      </c>
      <c r="C10" s="88" t="inlineStr">
        <is>
          <t>assets/art/items_weapons/props/health_potion/runtime/itm_health_potion_ground_root_top3d.tscn</t>
        </is>
      </c>
      <c r="D10" s="88" t="inlineStr">
        <is>
          <t>assets/art/items_weapons/props/health_potion/components/itm_health_potion_ground_visual_top3d.glb</t>
        </is>
      </c>
      <c r="E10" s="88" t="inlineStr">
        <is>
          <t>art_source/items_weapons/props/health_potion/source/itm_health_potion_ground_source_v001.blend</t>
        </is>
      </c>
      <c r="F10" s="87" t="inlineStr">
        <is>
          <t>仅ground视觉；同一物品身份，外部负责拾取/弹跳/收集</t>
        </is>
      </c>
      <c r="G10" s="87" t="inlineStr">
        <is>
          <t>src/world3d/ItemModelFactory3D.gd; src/world3d/GroundLootPickup3D.gd</t>
        </is>
      </c>
      <c r="H10" s="87" t="inlineStr">
        <is>
          <t>Prefab无；外部拾取触发</t>
        </is>
      </c>
      <c r="I10" s="87" t="inlineStr">
        <is>
          <t>GroundLootPickup3D</t>
        </is>
      </c>
      <c r="J10" s="87" t="inlineStr">
        <is>
          <t>外部SphereShape3D；无实体阻挡</t>
        </is>
      </c>
      <c r="K10" s="87" t="inlineStr">
        <is>
          <t>0.673088×0.683507×0.82m；178三角；外部倍率0.504</t>
        </is>
      </c>
      <c r="L10" s="87" t="inlineStr">
        <is>
          <t>底面中心原点；Blender +Z向上，正面-Y；Godot +Y向上、正面+Z</t>
        </is>
      </c>
      <c r="M10" s="87" t="inlineStr">
        <is>
          <t>世界地面掉落/拾取；非背包预览与枪上装配</t>
        </is>
      </c>
      <c r="N10" s="87" t="inlineStr">
        <is>
          <t>exported_pending_godot_validation</t>
        </is>
      </c>
      <c r="O10" s="87" t="inlineStr">
        <is>
          <t>v001</t>
        </is>
      </c>
      <c r="P10" s="89" t="inlineStr">
        <is>
          <t>源保持；公共场景色盘；资源导入完成，未执行运行/视觉验收；地面倍率1.30，最终0.6552；物品专用色板S/V×1.40，assets/art/shared/palette/item_high_visibility_palette_10x10_512.png；当前物品独立四材质、S/V×1.61，assets/art/shared/palette/item_high_visibility_palette_10x10_512.png</t>
        </is>
      </c>
    </row>
    <row r="11">
      <c r="A11" s="50" t="inlineStr">
        <is>
          <t>ITM-CONSUMABLE-ITEM-AMMO-PACK</t>
        </is>
      </c>
      <c r="B11" s="50" t="inlineStr">
        <is>
          <t>通用弹药（地面/图标）</t>
        </is>
      </c>
      <c r="C11" s="50" t="inlineStr">
        <is>
          <t>assets/art/items_weapons/weapons/bullet_standard/runtime/wpn_bullet_standard_ground_root_top3d.tscn</t>
        </is>
      </c>
      <c r="D11" s="50" t="inlineStr">
        <is>
          <t>assets/art/items_weapons/weapons/bullet_standard/components/wpn_bullet_standard_ground_visual_top3d.glb</t>
        </is>
      </c>
      <c r="E11" s="50" t="inlineStr">
        <is>
          <t>art_source/items_weapons/weapons/bullet_standard/source/wpn_bullet_standard_ground_source_v001.blend</t>
        </is>
      </c>
      <c r="F11" s="50" t="inlineStr">
        <is>
          <t>仅ground视觉；同一物品身份，外部负责拾取/弹跳/收集</t>
        </is>
      </c>
      <c r="G11" s="50" t="inlineStr">
        <is>
          <t>src/world3d/ItemModelFactory3D.gd; src/world3d/GroundLootPickup3D.gd</t>
        </is>
      </c>
      <c r="H11" s="50" t="inlineStr">
        <is>
          <t>Prefab无；外部拾取触发</t>
        </is>
      </c>
      <c r="I11" s="50" t="inlineStr">
        <is>
          <t>GroundLootPickup3D</t>
        </is>
      </c>
      <c r="J11" s="50" t="inlineStr">
        <is>
          <t>外部SphereShape3D；无实体阻挡</t>
        </is>
      </c>
      <c r="K11" s="50" t="inlineStr">
        <is>
          <t>0.376×0.376×0.94m；176三角；外部倍率0.504</t>
        </is>
      </c>
      <c r="L11" s="50" t="inlineStr">
        <is>
          <t>底面中心原点；Blender +Z向上，正面-Y；Godot +Y向上、正面+Z</t>
        </is>
      </c>
      <c r="M11" s="50" t="inlineStr">
        <is>
          <t>地面与背包/商店图标</t>
        </is>
      </c>
      <c r="N11" s="50" t="inlineStr">
        <is>
          <t>exported_pending_godot_validation</t>
        </is>
      </c>
      <c r="O11" s="50" t="inlineStr">
        <is>
          <t>v001</t>
        </is>
      </c>
      <c r="P11" s="50" t="inlineStr">
        <is>
          <t>黄色弹壳；地面与图标共享；45度倾斜；物品专用色板S/V×1.40，assets/art/shared/palette/item_high_visibility_palette_10x10_512.png；当前物品独立四材质、S/V×1.61，assets/art/shared/palette/item_high_visibility_palette_10x10_512.png</t>
        </is>
      </c>
    </row>
    <row r="12">
      <c r="A12" s="86" t="inlineStr">
        <is>
          <t>ITM-CONSUMABLE-ITEM-BEACON</t>
        </is>
      </c>
      <c r="B12" s="87" t="inlineStr">
        <is>
          <t>撤离信标 / preview</t>
        </is>
      </c>
      <c r="C12" s="88" t="inlineStr">
        <is>
          <t>assets/art/items_weapons/props/beacon/runtime/itm_beacon_preview_root_top3d.tscn</t>
        </is>
      </c>
      <c r="D12" s="88" t="inlineStr">
        <is>
          <t>assets/art/items_weapons/props/beacon/components/itm_beacon_preview_visual_top3d.glb</t>
        </is>
      </c>
      <c r="E12" s="88" t="inlineStr">
        <is>
          <t>art_source/items_weapons/props/beacon/source/itm_beacon_source_v001.blend</t>
        </is>
      </c>
      <c r="F12" s="87" t="inlineStr">
        <is>
          <t>纯视觉；游戏规则由原系统持有</t>
        </is>
      </c>
      <c r="G12" s="87" t="inlineStr">
        <is>
          <t>src/world3d/ItemModelFactory3D.gd; src/combat3d/WeaponModel3D.gd</t>
        </is>
      </c>
      <c r="H12" s="87" t="inlineStr">
        <is>
          <t>无</t>
        </is>
      </c>
      <c r="I12" s="87" t="inlineStr">
        <is>
          <t>外部玩法</t>
        </is>
      </c>
      <c r="J12" s="87" t="inlineStr">
        <is>
          <t>外部拾取球/原近战扫掠</t>
        </is>
      </c>
      <c r="K12" s="87" t="inlineStr">
        <is>
          <t>[1.0134782791137695, 1.1100001335144043, 1.0134782791137695]；1520三角</t>
        </is>
      </c>
      <c r="L12" s="87" t="inlineStr">
        <is>
          <t>bottom_center；Godot Y上，近战-Z前</t>
        </is>
      </c>
      <c r="M12" s="87" t="inlineStr">
        <is>
          <t>item_beacon</t>
        </is>
      </c>
      <c r="N12" s="87" t="inlineStr">
        <is>
          <t>已优化并正式接入</t>
        </is>
      </c>
      <c r="O12" s="87" t="inlineStr">
        <is>
          <t>v001</t>
        </is>
      </c>
      <c r="P12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3">
      <c r="A13" s="86" t="inlineStr">
        <is>
          <t>ITM-CONSUMABLE-ITEM-BEACON</t>
        </is>
      </c>
      <c r="B13" s="87" t="inlineStr">
        <is>
          <t>撤离信标 / ground</t>
        </is>
      </c>
      <c r="C13" s="88" t="inlineStr">
        <is>
          <t>assets/art/items_weapons/props/beacon/runtime/itm_beacon_ground_root_top3d.tscn</t>
        </is>
      </c>
      <c r="D13" s="88" t="inlineStr">
        <is>
          <t>assets/art/items_weapons/props/beacon/components/itm_beacon_ground_visual_top3d.glb</t>
        </is>
      </c>
      <c r="E13" s="88" t="inlineStr">
        <is>
          <t>art_source/items_weapons/props/beacon/source/itm_beacon_ground_source_v001.blend</t>
        </is>
      </c>
      <c r="F13" s="87" t="inlineStr">
        <is>
          <t>纯视觉；游戏规则由原系统持有</t>
        </is>
      </c>
      <c r="G13" s="87" t="inlineStr">
        <is>
          <t>src/world3d/ItemModelFactory3D.gd; src/combat3d/WeaponModel3D.gd</t>
        </is>
      </c>
      <c r="H13" s="87" t="inlineStr">
        <is>
          <t>无</t>
        </is>
      </c>
      <c r="I13" s="87" t="inlineStr">
        <is>
          <t>外部玩法</t>
        </is>
      </c>
      <c r="J13" s="87" t="inlineStr">
        <is>
          <t>外部拾取球/原近战扫掠</t>
        </is>
      </c>
      <c r="K13" s="87" t="inlineStr">
        <is>
          <t>[1.0134782791137695, 1.1100001335144043, 1.0134782791137695]；196三角</t>
        </is>
      </c>
      <c r="L13" s="87" t="inlineStr">
        <is>
          <t>bottom_center；Godot Y上，近战-Z前</t>
        </is>
      </c>
      <c r="M13" s="87" t="inlineStr">
        <is>
          <t>item_beacon</t>
        </is>
      </c>
      <c r="N13" s="87" t="inlineStr">
        <is>
          <t>已优化并正式接入</t>
        </is>
      </c>
      <c r="O13" s="87" t="inlineStr">
        <is>
          <t>v001</t>
        </is>
      </c>
      <c r="P13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4">
      <c r="A14" s="86" t="inlineStr">
        <is>
          <t>ITM-KEY-ITEM-ROOM-KEY</t>
        </is>
      </c>
      <c r="B14" s="87" t="inlineStr">
        <is>
          <t>房间钥匙 / preview</t>
        </is>
      </c>
      <c r="C14" s="88" t="inlineStr">
        <is>
          <t>assets/art/items_weapons/props/room_key/runtime/itm_room_key_preview_root_top3d.tscn</t>
        </is>
      </c>
      <c r="D14" s="88" t="inlineStr">
        <is>
          <t>assets/art/items_weapons/props/room_key/components/itm_room_key_preview_visual_top3d.glb</t>
        </is>
      </c>
      <c r="E14" s="88" t="inlineStr">
        <is>
          <t>art_source/items_weapons/props/room_key/source/itm_room_key_source_v001.blend</t>
        </is>
      </c>
      <c r="F14" s="87" t="inlineStr">
        <is>
          <t>纯视觉；游戏规则由原系统持有</t>
        </is>
      </c>
      <c r="G14" s="87" t="inlineStr">
        <is>
          <t>src/world3d/ItemModelFactory3D.gd; src/combat3d/WeaponModel3D.gd</t>
        </is>
      </c>
      <c r="H14" s="87" t="inlineStr">
        <is>
          <t>无</t>
        </is>
      </c>
      <c r="I14" s="87" t="inlineStr">
        <is>
          <t>外部玩法</t>
        </is>
      </c>
      <c r="J14" s="87" t="inlineStr">
        <is>
          <t>外部拾取球/原近战扫掠</t>
        </is>
      </c>
      <c r="K14" s="87" t="inlineStr">
        <is>
          <t>[0.6731603145599365, 1.0649999380111694, 0.20596696436405182]；1136三角</t>
        </is>
      </c>
      <c r="L14" s="87" t="inlineStr">
        <is>
          <t>bottom_center；Godot Y上，近战-Z前</t>
        </is>
      </c>
      <c r="M14" s="87" t="inlineStr">
        <is>
          <t>item_room_key</t>
        </is>
      </c>
      <c r="N14" s="87" t="inlineStr">
        <is>
          <t>已优化并正式接入</t>
        </is>
      </c>
      <c r="O14" s="87" t="inlineStr">
        <is>
          <t>v001</t>
        </is>
      </c>
      <c r="P14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5">
      <c r="A15" s="86" t="inlineStr">
        <is>
          <t>ITM-KEY-ITEM-ROOM-KEY</t>
        </is>
      </c>
      <c r="B15" s="87" t="inlineStr">
        <is>
          <t>房间钥匙 / ground</t>
        </is>
      </c>
      <c r="C15" s="88" t="inlineStr">
        <is>
          <t>assets/art/items_weapons/props/room_key/runtime/itm_room_key_ground_root_top3d.tscn</t>
        </is>
      </c>
      <c r="D15" s="88" t="inlineStr">
        <is>
          <t>assets/art/items_weapons/props/room_key/components/itm_room_key_ground_visual_top3d.glb</t>
        </is>
      </c>
      <c r="E15" s="88" t="inlineStr">
        <is>
          <t>art_source/items_weapons/props/room_key/source/itm_room_key_ground_source_v001.blend</t>
        </is>
      </c>
      <c r="F15" s="87" t="inlineStr">
        <is>
          <t>纯视觉；游戏规则由原系统持有</t>
        </is>
      </c>
      <c r="G15" s="87" t="inlineStr">
        <is>
          <t>src/world3d/ItemModelFactory3D.gd; src/combat3d/WeaponModel3D.gd</t>
        </is>
      </c>
      <c r="H15" s="87" t="inlineStr">
        <is>
          <t>无</t>
        </is>
      </c>
      <c r="I15" s="87" t="inlineStr">
        <is>
          <t>外部玩法</t>
        </is>
      </c>
      <c r="J15" s="87" t="inlineStr">
        <is>
          <t>外部拾取球/原近战扫掠</t>
        </is>
      </c>
      <c r="K15" s="87" t="inlineStr">
        <is>
          <t>[0.6731603145599365, 1.0649999380111694, 0.20596696436405182]；120三角</t>
        </is>
      </c>
      <c r="L15" s="87" t="inlineStr">
        <is>
          <t>bottom_center；Godot Y上，近战-Z前</t>
        </is>
      </c>
      <c r="M15" s="87" t="inlineStr">
        <is>
          <t>item_room_key</t>
        </is>
      </c>
      <c r="N15" s="87" t="inlineStr">
        <is>
          <t>已优化并正式接入</t>
        </is>
      </c>
      <c r="O15" s="87" t="inlineStr">
        <is>
          <t>v001</t>
        </is>
      </c>
      <c r="P15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6">
      <c r="A16" s="86" t="inlineStr">
        <is>
          <t>ITM-CONSUMABLE-ITEM-CELL-PACK</t>
        </is>
      </c>
      <c r="B16" s="87" t="inlineStr">
        <is>
          <t>电芯包 / preview</t>
        </is>
      </c>
      <c r="C16" s="88" t="inlineStr">
        <is>
          <t>assets/art/items_weapons/props/cell_pack/runtime/itm_cell_pack_preview_root_top3d.tscn</t>
        </is>
      </c>
      <c r="D16" s="88" t="inlineStr">
        <is>
          <t>assets/art/items_weapons/props/cell_pack/components/itm_cell_pack_preview_visual_top3d.glb</t>
        </is>
      </c>
      <c r="E16" s="88" t="inlineStr">
        <is>
          <t>art_source/items_weapons/props/cell_pack/source/itm_cell_pack_source_v001.blend</t>
        </is>
      </c>
      <c r="F16" s="87" t="inlineStr">
        <is>
          <t>纯视觉；游戏规则由原系统持有</t>
        </is>
      </c>
      <c r="G16" s="87" t="inlineStr">
        <is>
          <t>src/world3d/ItemModelFactory3D.gd; src/combat3d/WeaponModel3D.gd</t>
        </is>
      </c>
      <c r="H16" s="87" t="inlineStr">
        <is>
          <t>无</t>
        </is>
      </c>
      <c r="I16" s="87" t="inlineStr">
        <is>
          <t>外部玩法</t>
        </is>
      </c>
      <c r="J16" s="87" t="inlineStr">
        <is>
          <t>外部拾取球/原近战扫掠</t>
        </is>
      </c>
      <c r="K16" s="87" t="inlineStr">
        <is>
          <t>[0.6796196103096008, 0.7625001072883606, 0.3108016550540924]；1692三角</t>
        </is>
      </c>
      <c r="L16" s="87" t="inlineStr">
        <is>
          <t>bottom_center；Godot Y上，近战-Z前</t>
        </is>
      </c>
      <c r="M16" s="87" t="inlineStr">
        <is>
          <t>item_cell_pack</t>
        </is>
      </c>
      <c r="N16" s="87" t="inlineStr">
        <is>
          <t>已优化并正式接入</t>
        </is>
      </c>
      <c r="O16" s="87" t="inlineStr">
        <is>
          <t>v001</t>
        </is>
      </c>
      <c r="P16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7">
      <c r="A17" s="86" t="inlineStr">
        <is>
          <t>ITM-CONSUMABLE-ITEM-CELL-PACK</t>
        </is>
      </c>
      <c r="B17" s="87" t="inlineStr">
        <is>
          <t>电芯包 / ground</t>
        </is>
      </c>
      <c r="C17" s="88" t="inlineStr">
        <is>
          <t>assets/art/items_weapons/props/cell_pack/runtime/itm_cell_pack_ground_root_top3d.tscn</t>
        </is>
      </c>
      <c r="D17" s="88" t="inlineStr">
        <is>
          <t>assets/art/items_weapons/props/cell_pack/components/itm_cell_pack_ground_visual_top3d.glb</t>
        </is>
      </c>
      <c r="E17" s="88" t="inlineStr">
        <is>
          <t>art_source/items_weapons/props/cell_pack/source/itm_cell_pack_ground_source_v001.blend</t>
        </is>
      </c>
      <c r="F17" s="87" t="inlineStr">
        <is>
          <t>纯视觉；游戏规则由原系统持有</t>
        </is>
      </c>
      <c r="G17" s="87" t="inlineStr">
        <is>
          <t>src/world3d/ItemModelFactory3D.gd; src/combat3d/WeaponModel3D.gd</t>
        </is>
      </c>
      <c r="H17" s="87" t="inlineStr">
        <is>
          <t>无</t>
        </is>
      </c>
      <c r="I17" s="87" t="inlineStr">
        <is>
          <t>外部玩法</t>
        </is>
      </c>
      <c r="J17" s="87" t="inlineStr">
        <is>
          <t>外部拾取球/原近战扫掠</t>
        </is>
      </c>
      <c r="K17" s="87" t="inlineStr">
        <is>
          <t>[0.6796196103096008, 0.7625001072883606, 0.3108016550540924]；156三角</t>
        </is>
      </c>
      <c r="L17" s="87" t="inlineStr">
        <is>
          <t>bottom_center；Godot Y上，近战-Z前</t>
        </is>
      </c>
      <c r="M17" s="87" t="inlineStr">
        <is>
          <t>item_cell_pack</t>
        </is>
      </c>
      <c r="N17" s="87" t="inlineStr">
        <is>
          <t>已优化并正式接入</t>
        </is>
      </c>
      <c r="O17" s="87" t="inlineStr">
        <is>
          <t>v001</t>
        </is>
      </c>
      <c r="P17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8">
      <c r="A18" s="86" t="inlineStr">
        <is>
          <t>ITM-MODULE-FLASHLIGHT-BASIC</t>
        </is>
      </c>
      <c r="B18" s="87" t="inlineStr">
        <is>
          <t>基础模块 / preview</t>
        </is>
      </c>
      <c r="C18" s="88" t="inlineStr">
        <is>
          <t>assets/art/items_weapons/props/flashlight_basic/runtime/itm_flashlight_basic_preview_root_top3d.tscn</t>
        </is>
      </c>
      <c r="D18" s="88" t="inlineStr">
        <is>
          <t>assets/art/items_weapons/props/flashlight_basic/components/itm_flashlight_basic_preview_visual_top3d.glb</t>
        </is>
      </c>
      <c r="E18" s="88" t="inlineStr">
        <is>
          <t>art_source/items_weapons/props/flashlight_basic/source/itm_flashlight_basic_source_v001.blend</t>
        </is>
      </c>
      <c r="F18" s="87" t="inlineStr">
        <is>
          <t>纯视觉；游戏规则由原系统持有</t>
        </is>
      </c>
      <c r="G18" s="87" t="inlineStr">
        <is>
          <t>src/world3d/ItemModelFactory3D.gd; src/combat3d/WeaponModel3D.gd</t>
        </is>
      </c>
      <c r="H18" s="87" t="inlineStr">
        <is>
          <t>无</t>
        </is>
      </c>
      <c r="I18" s="87" t="inlineStr">
        <is>
          <t>外部玩法</t>
        </is>
      </c>
      <c r="J18" s="87" t="inlineStr">
        <is>
          <t>外部拾取球/原近战扫掠</t>
        </is>
      </c>
      <c r="K18" s="87" t="inlineStr">
        <is>
          <t>[0.5909375548362732, 0.7625000476837158, 0.45988285541534424]；1316三角</t>
        </is>
      </c>
      <c r="L18" s="87" t="inlineStr">
        <is>
          <t>bottom_center；Godot Y上，近战-Z前</t>
        </is>
      </c>
      <c r="M18" s="87" t="inlineStr">
        <is>
          <t>item_flashlight_basic</t>
        </is>
      </c>
      <c r="N18" s="87" t="inlineStr">
        <is>
          <t>已优化并正式接入</t>
        </is>
      </c>
      <c r="O18" s="87" t="inlineStr">
        <is>
          <t>v001</t>
        </is>
      </c>
      <c r="P18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19">
      <c r="A19" s="86" t="inlineStr">
        <is>
          <t>ITM-MODULE-FLASHLIGHT-BASIC</t>
        </is>
      </c>
      <c r="B19" s="87" t="inlineStr">
        <is>
          <t>基础模块 / ground</t>
        </is>
      </c>
      <c r="C19" s="88" t="inlineStr">
        <is>
          <t>assets/art/items_weapons/props/flashlight_basic/runtime/itm_flashlight_basic_ground_root_top3d.tscn</t>
        </is>
      </c>
      <c r="D19" s="88" t="inlineStr">
        <is>
          <t>assets/art/items_weapons/props/flashlight_basic/components/itm_flashlight_basic_ground_visual_top3d.glb</t>
        </is>
      </c>
      <c r="E19" s="88" t="inlineStr">
        <is>
          <t>art_source/items_weapons/props/flashlight_basic/source/itm_flashlight_basic_ground_source_v001.blend</t>
        </is>
      </c>
      <c r="F19" s="87" t="inlineStr">
        <is>
          <t>纯视觉；游戏规则由原系统持有</t>
        </is>
      </c>
      <c r="G19" s="87" t="inlineStr">
        <is>
          <t>src/world3d/ItemModelFactory3D.gd; src/combat3d/WeaponModel3D.gd</t>
        </is>
      </c>
      <c r="H19" s="87" t="inlineStr">
        <is>
          <t>无</t>
        </is>
      </c>
      <c r="I19" s="87" t="inlineStr">
        <is>
          <t>外部玩法</t>
        </is>
      </c>
      <c r="J19" s="87" t="inlineStr">
        <is>
          <t>外部拾取球/原近战扫掠</t>
        </is>
      </c>
      <c r="K19" s="87" t="inlineStr">
        <is>
          <t>[0.5909375548362732, 0.7625000476837158, 0.45988285541534424]；116三角</t>
        </is>
      </c>
      <c r="L19" s="87" t="inlineStr">
        <is>
          <t>bottom_center；Godot Y上，近战-Z前</t>
        </is>
      </c>
      <c r="M19" s="87" t="inlineStr">
        <is>
          <t>item_flashlight_basic</t>
        </is>
      </c>
      <c r="N19" s="87" t="inlineStr">
        <is>
          <t>已优化并正式接入</t>
        </is>
      </c>
      <c r="O19" s="87" t="inlineStr">
        <is>
          <t>v001</t>
        </is>
      </c>
      <c r="P19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0">
      <c r="A20" s="86" t="inlineStr">
        <is>
          <t>ITM-MODULE-FLASHLIGHT-ADVANCED</t>
        </is>
      </c>
      <c r="B20" s="87" t="inlineStr">
        <is>
          <t>加强模块 / preview</t>
        </is>
      </c>
      <c r="C20" s="88" t="inlineStr">
        <is>
          <t>assets/art/items_weapons/props/flashlight_advanced/runtime/itm_flashlight_advanced_preview_root_top3d.tscn</t>
        </is>
      </c>
      <c r="D20" s="88" t="inlineStr">
        <is>
          <t>assets/art/items_weapons/props/flashlight_advanced/components/itm_flashlight_advanced_preview_visual_top3d.glb</t>
        </is>
      </c>
      <c r="E20" s="88" t="inlineStr">
        <is>
          <t>art_source/items_weapons/props/flashlight_advanced/source/itm_flashlight_advanced_source_v001.blend</t>
        </is>
      </c>
      <c r="F20" s="87" t="inlineStr">
        <is>
          <t>纯视觉；游戏规则由原系统持有</t>
        </is>
      </c>
      <c r="G20" s="87" t="inlineStr">
        <is>
          <t>src/world3d/ItemModelFactory3D.gd; src/combat3d/WeaponModel3D.gd</t>
        </is>
      </c>
      <c r="H20" s="87" t="inlineStr">
        <is>
          <t>无</t>
        </is>
      </c>
      <c r="I20" s="87" t="inlineStr">
        <is>
          <t>外部玩法</t>
        </is>
      </c>
      <c r="J20" s="87" t="inlineStr">
        <is>
          <t>外部拾取球/原近战扫掠</t>
        </is>
      </c>
      <c r="K20" s="87" t="inlineStr">
        <is>
          <t>[0.5909375548362732, 0.7625000476837158, 0.45988285541534424]；1504三角</t>
        </is>
      </c>
      <c r="L20" s="87" t="inlineStr">
        <is>
          <t>bottom_center；Godot Y上，近战-Z前</t>
        </is>
      </c>
      <c r="M20" s="87" t="inlineStr">
        <is>
          <t>item_flashlight_advanced</t>
        </is>
      </c>
      <c r="N20" s="87" t="inlineStr">
        <is>
          <t>已优化并正式接入</t>
        </is>
      </c>
      <c r="O20" s="87" t="inlineStr">
        <is>
          <t>v001</t>
        </is>
      </c>
      <c r="P20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1">
      <c r="A21" s="86" t="inlineStr">
        <is>
          <t>ITM-MODULE-FLASHLIGHT-ADVANCED</t>
        </is>
      </c>
      <c r="B21" s="87" t="inlineStr">
        <is>
          <t>加强模块 / ground</t>
        </is>
      </c>
      <c r="C21" s="88" t="inlineStr">
        <is>
          <t>assets/art/items_weapons/props/flashlight_advanced/runtime/itm_flashlight_advanced_ground_root_top3d.tscn</t>
        </is>
      </c>
      <c r="D21" s="88" t="inlineStr">
        <is>
          <t>assets/art/items_weapons/props/flashlight_advanced/components/itm_flashlight_advanced_ground_visual_top3d.glb</t>
        </is>
      </c>
      <c r="E21" s="88" t="inlineStr">
        <is>
          <t>art_source/items_weapons/props/flashlight_advanced/source/itm_flashlight_advanced_ground_source_v001.blend</t>
        </is>
      </c>
      <c r="F21" s="87" t="inlineStr">
        <is>
          <t>纯视觉；游戏规则由原系统持有</t>
        </is>
      </c>
      <c r="G21" s="87" t="inlineStr">
        <is>
          <t>src/world3d/ItemModelFactory3D.gd; src/combat3d/WeaponModel3D.gd</t>
        </is>
      </c>
      <c r="H21" s="87" t="inlineStr">
        <is>
          <t>无</t>
        </is>
      </c>
      <c r="I21" s="87" t="inlineStr">
        <is>
          <t>外部玩法</t>
        </is>
      </c>
      <c r="J21" s="87" t="inlineStr">
        <is>
          <t>外部拾取球/原近战扫掠</t>
        </is>
      </c>
      <c r="K21" s="87" t="inlineStr">
        <is>
          <t>[0.5909375548362732, 0.7625000476837158, 0.45988285541534424]；128三角</t>
        </is>
      </c>
      <c r="L21" s="87" t="inlineStr">
        <is>
          <t>bottom_center；Godot Y上，近战-Z前</t>
        </is>
      </c>
      <c r="M21" s="87" t="inlineStr">
        <is>
          <t>item_flashlight_advanced</t>
        </is>
      </c>
      <c r="N21" s="87" t="inlineStr">
        <is>
          <t>已优化并正式接入</t>
        </is>
      </c>
      <c r="O21" s="87" t="inlineStr">
        <is>
          <t>v001</t>
        </is>
      </c>
      <c r="P21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2">
      <c r="A22" s="86" t="inlineStr">
        <is>
          <t>ITM-MODULE-FLASHLIGHT-EFFICIENT</t>
        </is>
      </c>
      <c r="B22" s="87" t="inlineStr">
        <is>
          <t>节能模块 / preview</t>
        </is>
      </c>
      <c r="C22" s="88" t="inlineStr">
        <is>
          <t>assets/art/items_weapons/props/flashlight_efficient/runtime/itm_flashlight_efficient_preview_root_top3d.tscn</t>
        </is>
      </c>
      <c r="D22" s="88" t="inlineStr">
        <is>
          <t>assets/art/items_weapons/props/flashlight_efficient/components/itm_flashlight_efficient_preview_visual_top3d.glb</t>
        </is>
      </c>
      <c r="E22" s="88" t="inlineStr">
        <is>
          <t>art_source/items_weapons/props/flashlight_efficient/source/itm_flashlight_efficient_source_v001.blend</t>
        </is>
      </c>
      <c r="F22" s="87" t="inlineStr">
        <is>
          <t>纯视觉；游戏规则由原系统持有</t>
        </is>
      </c>
      <c r="G22" s="87" t="inlineStr">
        <is>
          <t>src/world3d/ItemModelFactory3D.gd; src/combat3d/WeaponModel3D.gd</t>
        </is>
      </c>
      <c r="H22" s="87" t="inlineStr">
        <is>
          <t>无</t>
        </is>
      </c>
      <c r="I22" s="87" t="inlineStr">
        <is>
          <t>外部玩法</t>
        </is>
      </c>
      <c r="J22" s="87" t="inlineStr">
        <is>
          <t>外部拾取球/原近战扫掠</t>
        </is>
      </c>
      <c r="K22" s="87" t="inlineStr">
        <is>
          <t>[0.5909375548362732, 0.7625000476837158, 0.45988285541534424]；1316三角</t>
        </is>
      </c>
      <c r="L22" s="87" t="inlineStr">
        <is>
          <t>bottom_center；Godot Y上，近战-Z前</t>
        </is>
      </c>
      <c r="M22" s="87" t="inlineStr">
        <is>
          <t>item_flashlight_efficient</t>
        </is>
      </c>
      <c r="N22" s="87" t="inlineStr">
        <is>
          <t>已优化并正式接入</t>
        </is>
      </c>
      <c r="O22" s="87" t="inlineStr">
        <is>
          <t>v001</t>
        </is>
      </c>
      <c r="P22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3">
      <c r="A23" s="86" t="inlineStr">
        <is>
          <t>ITM-MODULE-FLASHLIGHT-EFFICIENT</t>
        </is>
      </c>
      <c r="B23" s="87" t="inlineStr">
        <is>
          <t>节能模块 / ground</t>
        </is>
      </c>
      <c r="C23" s="88" t="inlineStr">
        <is>
          <t>assets/art/items_weapons/props/flashlight_efficient/runtime/itm_flashlight_efficient_ground_root_top3d.tscn</t>
        </is>
      </c>
      <c r="D23" s="88" t="inlineStr">
        <is>
          <t>assets/art/items_weapons/props/flashlight_efficient/components/itm_flashlight_efficient_ground_visual_top3d.glb</t>
        </is>
      </c>
      <c r="E23" s="88" t="inlineStr">
        <is>
          <t>art_source/items_weapons/props/flashlight_efficient/source/itm_flashlight_efficient_ground_source_v001.blend</t>
        </is>
      </c>
      <c r="F23" s="87" t="inlineStr">
        <is>
          <t>纯视觉；游戏规则由原系统持有</t>
        </is>
      </c>
      <c r="G23" s="87" t="inlineStr">
        <is>
          <t>src/world3d/ItemModelFactory3D.gd; src/combat3d/WeaponModel3D.gd</t>
        </is>
      </c>
      <c r="H23" s="87" t="inlineStr">
        <is>
          <t>无</t>
        </is>
      </c>
      <c r="I23" s="87" t="inlineStr">
        <is>
          <t>外部玩法</t>
        </is>
      </c>
      <c r="J23" s="87" t="inlineStr">
        <is>
          <t>外部拾取球/原近战扫掠</t>
        </is>
      </c>
      <c r="K23" s="87" t="inlineStr">
        <is>
          <t>[0.5909375548362732, 0.7625000476837158, 0.45988285541534424]；116三角</t>
        </is>
      </c>
      <c r="L23" s="87" t="inlineStr">
        <is>
          <t>bottom_center；Godot Y上，近战-Z前</t>
        </is>
      </c>
      <c r="M23" s="87" t="inlineStr">
        <is>
          <t>item_flashlight_efficient</t>
        </is>
      </c>
      <c r="N23" s="87" t="inlineStr">
        <is>
          <t>已优化并正式接入</t>
        </is>
      </c>
      <c r="O23" s="87" t="inlineStr">
        <is>
          <t>v001</t>
        </is>
      </c>
      <c r="P23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4">
      <c r="A24" s="86" t="inlineStr">
        <is>
          <t>ITM-BLUEPRINT-SHARED-SCROLL</t>
        </is>
      </c>
      <c r="B24" s="87" t="inlineStr">
        <is>
          <t>通用蓝图卷轴 / preview</t>
        </is>
      </c>
      <c r="C24" s="88" t="inlineStr">
        <is>
          <t>assets/art/items_weapons/props/blueprint_scroll/runtime/itm_blueprint_scroll_preview_root_top3d.tscn</t>
        </is>
      </c>
      <c r="D24" s="88" t="inlineStr">
        <is>
          <t>assets/art/items_weapons/props/blueprint_scroll/components/itm_blueprint_scroll_preview_visual_top3d.glb</t>
        </is>
      </c>
      <c r="E24" s="88" t="inlineStr">
        <is>
          <t>art_source/items_weapons/props/blueprint_scroll/source/itm_blueprint_scroll_source_v001.blend</t>
        </is>
      </c>
      <c r="F24" s="87" t="inlineStr">
        <is>
          <t>纯视觉；游戏规则由原系统持有</t>
        </is>
      </c>
      <c r="G24" s="87" t="inlineStr">
        <is>
          <t>src/world3d/ItemModelFactory3D.gd; src/combat3d/WeaponModel3D.gd</t>
        </is>
      </c>
      <c r="H24" s="87" t="inlineStr">
        <is>
          <t>无</t>
        </is>
      </c>
      <c r="I24" s="87" t="inlineStr">
        <is>
          <t>外部玩法</t>
        </is>
      </c>
      <c r="J24" s="87" t="inlineStr">
        <is>
          <t>外部拾取球/原近战扫掠</t>
        </is>
      </c>
      <c r="K24" s="87" t="inlineStr">
        <is>
          <t>[0.7628571391105652, 0.9000000357627869, 0.22285713255405426]；1316三角</t>
        </is>
      </c>
      <c r="L24" s="87" t="inlineStr">
        <is>
          <t>bottom_center；Godot Y上，近战-Z前</t>
        </is>
      </c>
      <c r="M24" s="87" t="inlineStr">
        <is>
          <t>bp_pistol,bp_shotgun,bp_sprinkler,bp_starter_rifle,bp_rifle,bp_machinegun,bp_sniper,bp_launcher,bp_charge</t>
        </is>
      </c>
      <c r="N24" s="87" t="inlineStr">
        <is>
          <t>已优化并正式接入</t>
        </is>
      </c>
      <c r="O24" s="87" t="inlineStr">
        <is>
          <t>v001</t>
        </is>
      </c>
      <c r="P24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  <row r="25">
      <c r="A25" s="86" t="inlineStr">
        <is>
          <t>ITM-BLUEPRINT-SHARED-SCROLL</t>
        </is>
      </c>
      <c r="B25" s="87" t="inlineStr">
        <is>
          <t>通用蓝图卷轴 / ground</t>
        </is>
      </c>
      <c r="C25" s="88" t="inlineStr">
        <is>
          <t>assets/art/items_weapons/props/blueprint_scroll/runtime/itm_blueprint_scroll_ground_root_top3d.tscn</t>
        </is>
      </c>
      <c r="D25" s="88" t="inlineStr">
        <is>
          <t>assets/art/items_weapons/props/blueprint_scroll/components/itm_blueprint_scroll_ground_visual_top3d.glb</t>
        </is>
      </c>
      <c r="E25" s="88" t="inlineStr">
        <is>
          <t>art_source/items_weapons/props/blueprint_scroll/source/itm_blueprint_scroll_ground_source_v001.blend</t>
        </is>
      </c>
      <c r="F25" s="87" t="inlineStr">
        <is>
          <t>纯视觉；游戏规则由原系统持有</t>
        </is>
      </c>
      <c r="G25" s="87" t="inlineStr">
        <is>
          <t>src/world3d/ItemModelFactory3D.gd; src/combat3d/WeaponModel3D.gd</t>
        </is>
      </c>
      <c r="H25" s="87" t="inlineStr">
        <is>
          <t>无</t>
        </is>
      </c>
      <c r="I25" s="87" t="inlineStr">
        <is>
          <t>外部玩法</t>
        </is>
      </c>
      <c r="J25" s="87" t="inlineStr">
        <is>
          <t>外部拾取球/原近战扫掠</t>
        </is>
      </c>
      <c r="K25" s="87" t="inlineStr">
        <is>
          <t>[0.7628571391105652, 0.9000000357627869, 0.22285713255405426]；116三角</t>
        </is>
      </c>
      <c r="L25" s="87" t="inlineStr">
        <is>
          <t>bottom_center；Godot Y上，近战-Z前</t>
        </is>
      </c>
      <c r="M25" s="87" t="inlineStr">
        <is>
          <t>bp_pistol,bp_shotgun,bp_sprinkler,bp_starter_rifle,bp_rifle,bp_machinegun,bp_sniper,bp_launcher,bp_charge</t>
        </is>
      </c>
      <c r="N25" s="87" t="inlineStr">
        <is>
          <t>已优化并正式接入</t>
        </is>
      </c>
      <c r="O25" s="87" t="inlineStr">
        <is>
          <t>v001</t>
        </is>
      </c>
      <c r="P25" s="89" t="inlineStr">
        <is>
          <t>公共材质/外链色盘；source_manifest记录哈希和双角色；物品专用色板S/V×1.40，assets/art/shared/palette/item_high_visibility_palette_10x10_512.png；当前物品独立四材质、S/V×1.61，assets/art/shared/palette/item_high_visibility_palette_10x10_512.png</t>
        </is>
      </c>
    </row>
  </sheetData>
  <autoFilter ref="A4:P25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  <row r="24">
      <c r="A24" s="68" t="inlineStr">
        <is>
          <t>v0.1.18</t>
        </is>
      </c>
      <c r="B24" s="103" t="inlineStr">
        <is>
          <t>2026-10-14</t>
        </is>
      </c>
      <c r="C24" s="61" t="inlineStr">
        <is>
          <t>参考图8件道具：Blender原始源</t>
        </is>
      </c>
      <c r="D24" s="61" t="inlineStr">
        <is>
          <t>道具与武器原始源</t>
        </is>
      </c>
      <c r="E24" s="61" t="inlineStr">
        <is>
          <t>ITM-CONSUMABLE-ITEM-BATTERY-L,ITM-CONSUMABLE-ITEM-BATTERY-S,ITM-CONSUMABLE-ITEM-HEALTH-POTION</t>
        </is>
      </c>
      <c r="F24" s="61" t="inlineStr">
        <is>
          <t>实测尺寸/场景四材质/源已完成；未运行时接入</t>
        </is>
      </c>
      <c r="G24" s="61" t="inlineStr">
        <is>
          <t>Codex</t>
        </is>
      </c>
    </row>
    <row r="25">
      <c r="A25" s="50" t="inlineStr">
        <is>
          <t>v0.1.100</t>
        </is>
      </c>
      <c r="B25" s="50" t="inlineStr">
        <is>
          <t>2026-10-14</t>
        </is>
      </c>
      <c r="C25" s="50" t="inlineStr">
        <is>
          <t>物品道具双模型源</t>
        </is>
      </c>
      <c r="D25" s="50" t="inlineStr">
        <is>
          <t>preview / ground</t>
        </is>
      </c>
      <c r="E25" s="50" t="inlineStr">
        <is>
          <t>现有高模保留；地面100–200三角面</t>
        </is>
      </c>
      <c r="F25" s="50" t="inlineStr">
        <is>
          <t>源已完成；运行时用途选择未接入</t>
        </is>
      </c>
      <c r="G25" s="50" t="inlineStr">
        <is>
          <t>Codex</t>
        </is>
      </c>
    </row>
    <row r="26">
      <c r="A26" s="50" t="inlineStr">
        <is>
          <t>v0.1.101</t>
        </is>
      </c>
      <c r="B26" s="50" t="inlineStr">
        <is>
          <t>2026-10-14</t>
        </is>
      </c>
      <c r="C26" s="50" t="inlineStr">
        <is>
          <t>地面简模正式路径与代码接线</t>
        </is>
      </c>
      <c r="D26" s="50" t="inlineStr">
        <is>
          <t>8件物品ground角色</t>
        </is>
      </c>
      <c r="E26" s="50" t="inlineStr">
        <is>
          <t>GLB/PackedScene/公共色盘导入；同一AssetID；预览待导入</t>
        </is>
      </c>
      <c r="F26" s="50" t="inlineStr">
        <is>
          <t>exported_pending_godot_validation</t>
        </is>
      </c>
      <c r="G26" s="50" t="inlineStr">
        <is>
          <t>Codex</t>
        </is>
      </c>
    </row>
    <row r="27">
      <c r="A27" s="50" t="inlineStr">
        <is>
          <t>v0.1.102</t>
        </is>
      </c>
      <c r="B27" s="50" t="inlineStr">
        <is>
          <t>2026-10-14</t>
        </is>
      </c>
      <c r="C27" s="50" t="inlineStr">
        <is>
          <t>用户更正通用弹药用途</t>
        </is>
      </c>
      <c r="D27" s="50" t="inlineStr">
        <is>
          <t>模型身份/图标/倾斜</t>
        </is>
      </c>
      <c r="E27" s="50" t="inlineStr">
        <is>
          <t>通用弹药复用蓝金弹头；标准模块退回程序表现</t>
        </is>
      </c>
      <c r="F27" s="50" t="inlineStr">
        <is>
          <t>已接线，待运行验收</t>
        </is>
      </c>
      <c r="G27" s="50" t="inlineStr">
        <is>
          <t>Codex</t>
        </is>
      </c>
    </row>
    <row r="28">
      <c r="A28" s="50" t="inlineStr">
        <is>
          <t>v0.1.103</t>
        </is>
      </c>
      <c r="B28" s="50" t="inlineStr">
        <is>
          <t>2026-10-14</t>
        </is>
      </c>
      <c r="C28" s="50" t="inlineStr">
        <is>
          <t>剩余程序化物品20模型/28内容ID</t>
        </is>
      </c>
      <c r="D28" s="50" t="inlineStr">
        <is>
          <t>双模型/GLB/PackedScene/调用链</t>
        </is>
      </c>
      <c r="E28" s="50" t="inlineStr">
        <is>
          <t>100–200三角；蓝图共用；真实渲染及映射通过</t>
        </is>
      </c>
      <c r="F28" s="50" t="inlineStr">
        <is>
          <t>已优化并正式接入</t>
        </is>
      </c>
      <c r="G28" s="50" t="inlineStr">
        <is>
          <t>Codex</t>
        </is>
      </c>
    </row>
    <row r="29">
      <c r="A29" s="50" t="inlineStr">
        <is>
          <t>v0.1.104</t>
        </is>
      </c>
      <c r="B29" s="50" t="inlineStr">
        <is>
          <t>2026-10-15</t>
        </is>
      </c>
      <c r="C29" s="50" t="inlineStr">
        <is>
          <t>物品专用色板与母版材质绑定</t>
        </is>
      </c>
      <c r="D29" s="50" t="inlineStr">
        <is>
          <t>HSV S/V×1.40；31资产；51GLB；64Blender</t>
        </is>
      </c>
      <c r="E29" s="50" t="inlineStr">
        <is>
          <t>运行底色/发光/图标通过，几何UV不变</t>
        </is>
      </c>
      <c r="F29" s="50" t="inlineStr">
        <is>
          <t>已完成</t>
        </is>
      </c>
      <c r="G29" s="50" t="inlineStr">
        <is>
          <t>Codex</t>
        </is>
      </c>
    </row>
    <row r="30">
      <c r="A30" s="50" t="inlineStr">
        <is>
          <t>v0.1.105</t>
        </is>
      </c>
      <c r="B30" s="50" t="inlineStr">
        <is>
          <t>2026-10-15</t>
        </is>
      </c>
      <c r="C30" s="50" t="inlineStr">
        <is>
          <t>物品独立四材质与图标补光</t>
        </is>
      </c>
      <c r="D30" s="50" t="inlineStr">
        <is>
          <t>HSV S/V×1.61；31资产；51GLB；64Blender；四个独立材质</t>
        </is>
      </c>
      <c r="E30" s="50" t="inlineStr">
        <is>
          <t>同灯光开关补光对比通过，世界材质无污染</t>
        </is>
      </c>
      <c r="F30" s="50" t="inlineStr">
        <is>
          <t>已完成</t>
        </is>
      </c>
      <c r="G30" s="5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2026-09-18T02:30:02Z</dcterms:created>
  <dcterms:modified xsi:type="dcterms:W3CDTF">2026-10-16T14:29:51Z</dcterms:modified>
  <cp:revision>0</cp:revision>
</cp:coreProperties>
</file>