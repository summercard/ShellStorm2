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'资产主表'!$A$5:$X$27</definedName>
    <definedName name="_xlnm._FilterDatabase" localSheetId="3" hidden="1">'3D-道具'!$A$4:$P$8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COUNTA('资产主表'!$A$6:$A$27)</f>
        <v/>
      </c>
      <c r="B6" s="54" t="n"/>
      <c r="C6" s="56">
        <f>COUNTIF('资产主表'!$K$6:$K$27,"已完成")+COUNTIF('资产主表'!$K$6:$K$27,"原型已接入")+COUNTIF('资产主表'!$K$6:$K$27,"正式美术已接入")+COUNTIF('资产主表'!$K$6:$K$27,"已优化并正式接入")+COUNTIF('资产主表'!$K$6:$K$27,"Blender源已完成")+COUNTIF('资产主表'!$K$6:$K$27,"已导入；优化完成")+COUNTIF('资产主表'!$K$6:$K$27,"白模源已完成；QA PASS")</f>
        <v/>
      </c>
      <c r="D6" s="54" t="n"/>
      <c r="E6" s="56">
        <f>COUNTIF('资产主表'!$K$6:$K$27,"待制作")+COUNTIF('资产主表'!$K$6:$K$27,"程序占位")</f>
        <v/>
      </c>
      <c r="F6" s="54" t="n"/>
      <c r="G6" s="56">
        <f>COUNTIF('资产主表'!$S$6:$S$27,"重复")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COUNTIF('资产主表'!$C$6:$C$27,A10)</f>
        <v/>
      </c>
      <c r="C10" s="61">
        <f>SUMPRODUCT(('资产主表'!$C$6:$C$27=A10)*(('资产主表'!$K$6:$K$27="已完成")+('资产主表'!$K$6:$K$27="原型已接入")+('资产主表'!$K$6:$K$27="正式美术已接入")+('资产主表'!$K$6:$K$27="已优化并正式接入")+('资产主表'!$K$6:$K$27="Blender源已完成")+('资产主表'!$K$6:$K$27="已导入；优化完成")+('资产主表'!$K$6:$K$27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COUNTIF('资产主表'!$C$6:$C$27,A11)</f>
        <v/>
      </c>
      <c r="C11" s="57">
        <f>SUMPRODUCT(('资产主表'!$C$6:$C$27=A11)*(('资产主表'!$K$6:$K$27="已完成")+('资产主表'!$K$6:$K$27="原型已接入")+('资产主表'!$K$6:$K$27="正式美术已接入")+('资产主表'!$K$6:$K$27="已优化并正式接入")+('资产主表'!$K$6:$K$27="Blender源已完成")+('资产主表'!$K$6:$K$27="已导入；优化完成")+('资产主表'!$K$6:$K$27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IF(COUNTIF($R$6:$R$27,R6)&gt;1,"重复","唯一")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IF(COUNTIF($R$6:$R$27,R7)&gt;1,"重复","唯一")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IF(COUNTIF($R$6:$R$27,R8)&gt;1,"重复","唯一")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IF(COUNTIF($R$6:$R$27,R9)&gt;1,"重复","唯一")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IF(COUNTIF($R$6:$R$27,R10)&gt;1,"重复","唯一")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IF(COUNTIF($R$6:$R$27,R11)&gt;1,"重复","唯一")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assets/art/props/base_world_3d/source/mission_operations/prp_base_mission_operations_source_v003.blend;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IF(COUNTIF($R$6:$R$27,R12)&gt;1,"重复","唯一")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assets/art/props/base_world_3d/source/weapon_workshop/prp_base_weapon_workshop_source_v003.blend;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IF(COUNTIF($R$6:$R$27,R13)&gt;1,"重复","唯一")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可装备背包3D占位模型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default</t>
        </is>
      </c>
      <c r="J14" s="54" t="inlineStr">
        <is>
          <t>地面拾取/UI图标/角色背部共用</t>
        </is>
      </c>
      <c r="K14" s="54" t="inlineStr">
        <is>
          <t>程序占位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BoxMesh组件；2/4/8格三档体积、主色与1/2/3附袋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IF(COUNTIF($R$6:$R$27,R14)&gt;1,"重复","唯一")</f>
        <v/>
      </c>
      <c r="T14" s="78" t="n"/>
      <c r="U14" s="78" t="inlineStr">
        <is>
          <t>Codex</t>
        </is>
      </c>
      <c r="V14" s="78" t="n">
        <v>46240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同一模型工厂服务equipment_backpack_2/4/8，避免世界物、UI图标和背部表现重复资产；无玩法碰撞，正式模型完成前保持程序占位状态。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assets/art/props/base_world_3d/source/vending_machine/prp_base_vending_machine_source_v001.blend;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IF(COUNTIF($R$6:$R$27,R15)&gt;1,"重复","唯一")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assets/art/props/base_world_3d/source/locker_station/prp_base_locker_station_source_v004.blend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IF(COUNTIF($R$6:$R$27,R16)&gt;1,"重复","唯一")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assets/art/props/base_world_3d/source/retro_tv_station/prp_base_retro_tv_station_source_v004.blend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IF(COUNTIF($R$6:$R$27,R17)&gt;1,"重复","唯一")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assets/art/props/base_world_3d/source/workshop_stool/prp_base_workshop_stool_source_v004.blend;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IF(COUNTIF($R$6:$R$27,R18)&gt;1,"重复","唯一")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assets/art/props/base_world_3d/source/mission_command_chair/prp_base_mission_command_chair_source_v004.blend;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IF(COUNTIF($R$6:$R$27,R19)&gt;1,"重复","唯一")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IF(COUNTIF($R$6:$R$27,R20)&gt;1,"重复","唯一")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IF(COUNTIF($R$6:$R$27,R21)&gt;1,"重复","唯一")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IF(COUNTIF($R$6:$R$27,R22)&gt;1,"重复","唯一")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IF(COUNTIF($R$6:$R$27,R23)&gt;1,"重复","唯一")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IF(COUNTIF($R$6:$R$27,R24)&gt;1,"重复","唯一")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IF(COUNTIF($R$6:$R$27,R25)&gt;1,"重复","唯一")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assets/art/props/base_world_3d/source/base99_telescopic_ladder/prp_base99_telescopic_ladder_source_v002.blend;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IF(COUNTIF($R$6:$R$27,R26)&gt;1,"重复","唯一")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v005.1</t>
        </is>
      </c>
      <c r="N27" s="80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 v005.1：模型/Blender/GLB保持v005；新增独立VFX音符附件，预算另计。独立radio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</t>
        </is>
      </c>
      <c r="O27" s="81" t="inlineStr">
        <is>
          <t>assets/art/props/base_world_3d/runtime/base99_radio/prp_base99_radio_root_top3d.tscn</t>
        </is>
      </c>
      <c r="P27" s="81" t="inlineStr">
        <is>
          <t>assets/art/props/base_world_3d/source/base99_radio/prp_base99_radio_source_v005.blend; assets/art/props/base_world_3d/source/base99_radio/export/v005/prp_base99_radio_optimized_v005.blend; assets/art/props/base_world_3d/components/base99_radio/prp_base99_radio_visual_top3d.glb; src/base3d/Base99Radio3D.gd; outputs/base99_radio_v005/asset_manifest.json; outputs/base99_radio_v005/final_acceptance.json; assets/art/vfx/environment_3d/radio_music_notes/vfx_radio_music_notes_root_top3d.tscn; src/vfx/VfxRadioMusicNotes3D.gd; tests/verification/verify_base99_radio_music_notes.tscn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IF(COUNTIF($R$6:$R$27,R27)&gt;1,"重复","唯一")</f>
        <v/>
      </c>
      <c r="T27" s="81" t="inlineStr">
        <is>
          <t>0f60c1333330feaaef984b64539c73d284fd13fd3b89cd3df5497394c85442ca</t>
        </is>
      </c>
      <c r="U27" s="81" t="inlineStr">
        <is>
          <t>Codex</t>
        </is>
      </c>
      <c r="V27" s="82" t="n">
        <v>46303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v005局部状态灯深化；旧v004源/优化保留；顶面偏前侧12边凸帽直径0.2m；599面/1190三角；结构/UV/公共色盘与交互结果详见当前final_acceptance；正常玩家及全阁楼红绿可辨门禁=True，像素详见pixel_metrics_runtime.json；音乐/摆位/范围外几何不变；GLB SHA-256=0b2cf2fcba9832ce8b37b62185e016f294ee834555439b71b11c543e0244851d；source SHA-256=d707298407d52dd5ce36c7f6de3fdef71dcfbfdac986cadf6d250318a3628a12；optimized SHA-256=448f30da74d0e118a032842e9eed2d49e8befcfcce24cb6f386547011b492ec1 【runtime v005.1】主体模型v005未重做；收音机持有MusicNotes持续视觉附件；验收=outputs/base99_radio_music_notes/final_acceptance.json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X27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27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2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7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assets/art/props/base_world_3d/source/mission_command_chair/prp_base_mission_command_chair_source_v001.blend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assets/art/props/base_world_3d/source/workshop_stool/prp_base_workshop_stool_source_v001.blend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assets/art/props/base_world_3d/source/base99_radio/prp_base99_radio_source_v005.blend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runtime补丁：独立radio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</t>
        </is>
      </c>
      <c r="L8" s="96" t="inlineStr">
        <is>
          <t>底面Y=0；根ItemRoot居中；local -Z正面；scale=1</t>
        </is>
      </c>
      <c r="M8" s="95" t="inlineStr">
        <is>
          <t>99F阁楼北墙/床左侧46号BATTERY柜顶；layout=(-1.95,6.97,-13.87143)，yaw=10度</t>
        </is>
      </c>
      <c r="N8" s="95" t="inlineStr">
        <is>
          <t>正式美术已接入</t>
        </is>
      </c>
      <c r="O8" s="96" t="inlineStr">
        <is>
          <t>v005.1</t>
        </is>
      </c>
      <c r="P8" s="97" t="inlineStr">
        <is>
          <t>ItemRoot/Visual/StatusLight接口不变；StatusLight顶面偏前侧12边低模凸帽；单一灯，无billboard/UI/bloom；源=d707298407d52dd5ce36c7f6de3fdef71dcfbfdac986cadf6d250318a3628a12；优化=448f30da74d0e118a032842e9eed2d49e8befcfcce24cb6f386547011b492ec1；GLB=0b2cf2fcba9832ce8b37b62185e016f294ee834555439b71b11c543e0244851d；Prefab=97b35c66bd00f9662a12f8b8359023c4cf714bd9e434cb804c20bf9ea83ee90c；证据=outputs/base99_radio_v005/；runtime v005.1，model v005；附件=VFX-RADIO-MUSIC-NOTES-3D；Prefab SHA=0f60c1333330feaaef984b64539c73d284fd13fd3b89cd3df5497394c85442ca</t>
        </is>
      </c>
      <c r="Q8" s="50" t="n"/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拥有独立PackedScene的拾取物、消耗品、钥匙和掉落物；本次扫描 0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4"/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更新 PRP-BASE99-RADIO-3D 至 v005：顶面偏前侧12边凸起状态灯、600面/1200三角、正式 GLB/源/优化/PackedScene 哈希及正常玩家镜头像素验收证据。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  <row r="13">
      <c r="A13" s="68" t="inlineStr">
        <is>
          <t>v0.1.7</t>
        </is>
      </c>
      <c r="B13" s="68" t="inlineStr">
        <is>
          <t>2026-10-06</t>
        </is>
      </c>
      <c r="C13" s="61" t="inlineStr">
        <is>
          <t>99F阁楼收音机v003尺寸与材质摆位</t>
        </is>
      </c>
      <c r="D13" s="61" t="inlineStr">
        <is>
          <t>道具 / 场景可交互道具</t>
        </is>
      </c>
      <c r="E13" s="61" t="inlineStr">
        <is>
          <t>更新radio到v003：各轴2倍，598面/1116三角形；深墨绿/铜棕；46号BATTERY柜顶10度斜摆；保留v001/v002。</t>
        </is>
      </c>
      <c r="F13" s="61" t="inlineStr">
        <is>
          <t>稳定路径、off/A/B交互不变；同步碰撞/音源/Tooltip；真实运行时承载与输入验收；更新仅radio指纹和3D-道具摘要。</t>
        </is>
      </c>
      <c r="G13" s="61" t="inlineStr">
        <is>
          <t>WorkBuddy</t>
        </is>
      </c>
    </row>
    <row r="14">
      <c r="A14" s="68" t="inlineStr">
        <is>
          <t>v0.1.8</t>
        </is>
      </c>
      <c r="B14" s="68" t="inlineStr">
        <is>
          <t>2026-10-07</t>
        </is>
      </c>
      <c r="C14" s="61" t="inlineStr">
        <is>
          <t>99F收音机v004铜橙金属与常驻红绿灯</t>
        </is>
      </c>
      <c r="D14" s="61" t="inlineStr">
        <is>
          <t>道具 / decor_prop</t>
        </is>
      </c>
      <c r="E14" s="61" t="inlineStr">
        <is>
          <t>646面/1264三角；替换单根斜伸缩天线；off红、A/B同绿，离楼停止音乐但红灯待机；旧源与摆位不改</t>
        </is>
      </c>
      <c r="F14" s="61" t="inlineStr">
        <is>
          <t>仅更新radio登记指纹、3D-道具摘要；严检UV和真实窗口交互截图通过</t>
        </is>
      </c>
      <c r="G14" s="61" t="inlineStr">
        <is>
          <t>WorkBuddy</t>
        </is>
      </c>
    </row>
    <row r="15">
      <c r="A15" s="68" t="inlineStr">
        <is>
          <t>v0.1.9</t>
        </is>
      </c>
      <c r="B15" s="68" t="inlineStr">
        <is>
          <t>2026-10-07</t>
        </is>
      </c>
      <c r="C15" s="61" t="inlineStr">
        <is>
          <t>99F收音机v005顶面偏前侧凸起状态灯</t>
        </is>
      </c>
      <c r="D15" s="61" t="inlineStr">
        <is>
          <t>道具 / decor_prop</t>
        </is>
      </c>
      <c r="E15" s="61" t="inlineStr">
        <is>
          <t>586面/1156三角；StatusLight替换为直径0.14m、12边低模顶面凸帽；off红、A/B同绿、离楼红待机；音乐与摆位规则不变</t>
        </is>
      </c>
      <c r="F15" s="61" t="inlineStr">
        <is>
          <t>源/优化/GLB/Prefab独立重导；Blender严格结构UV材质通过；Godot真实状态交互通过；正常俯视镜头量化证据已归档</t>
        </is>
      </c>
      <c r="G15" s="61" t="inlineStr">
        <is>
          <t>WorkBuddy</t>
        </is>
      </c>
    </row>
    <row r="16">
      <c r="A16" s="68" t="inlineStr">
        <is>
          <t>v0.1.10</t>
        </is>
      </c>
      <c r="B16" s="68" t="inlineStr">
        <is>
          <t>2026-10-07</t>
        </is>
      </c>
      <c r="C16" s="61" t="inlineStr">
        <is>
          <t>99F收音机v005顶面偏前侧凸起状态灯</t>
        </is>
      </c>
      <c r="D16" s="61" t="inlineStr">
        <is>
          <t>道具 / decor_prop</t>
        </is>
      </c>
      <c r="E16" s="61" t="inlineStr">
        <is>
          <t>586面/1156三角；StatusLight替换为直径0.14m、12边低模顶面凸帽；off红、A/B同绿、离楼红待机；音乐与摆位规则不变</t>
        </is>
      </c>
      <c r="F16" s="61" t="inlineStr">
        <is>
          <t>源/优化/GLB/Prefab独立重导；Blender严格结构UV材质通过；Godot真实状态交互通过；正常俯视镜头量化证据已归档</t>
        </is>
      </c>
      <c r="G16" s="61" t="inlineStr">
        <is>
          <t>WorkBuddy</t>
        </is>
      </c>
    </row>
    <row r="17">
      <c r="A17" s="68" t="inlineStr">
        <is>
          <t>v0.1.11</t>
        </is>
      </c>
      <c r="B17" s="68" t="inlineStr">
        <is>
          <t>2026-10-07</t>
        </is>
      </c>
      <c r="C17" s="61" t="inlineStr">
        <is>
          <t>99F收音机v005顶面偏前侧凸起状态灯</t>
        </is>
      </c>
      <c r="D17" s="61" t="inlineStr">
        <is>
          <t>道具 / decor_prop</t>
        </is>
      </c>
      <c r="E17" s="61" t="inlineStr">
        <is>
          <t>586面/1156三角；StatusLight替换为直径0.14m、12边低模顶面凸帽；off红、A/B同绿、离楼红待机；音乐与摆位规则不变</t>
        </is>
      </c>
      <c r="F17" s="61" t="inlineStr">
        <is>
          <t>源/优化/GLB/Prefab独立重导；Blender严格结构UV材质通过；Godot真实状态交互通过；正常俯视镜头量化证据已归档</t>
        </is>
      </c>
      <c r="G17" s="61" t="inlineStr">
        <is>
          <t>WorkBuddy</t>
        </is>
      </c>
    </row>
    <row r="18">
      <c r="A18" s="68" t="inlineStr">
        <is>
          <t>v0.1.12</t>
        </is>
      </c>
      <c r="B18" s="68" t="inlineStr">
        <is>
          <t>2026-10-07</t>
        </is>
      </c>
      <c r="C18" s="61" t="inlineStr">
        <is>
          <t>99F收音机v005顶面偏前侧凸起状态灯</t>
        </is>
      </c>
      <c r="D18" s="61" t="inlineStr">
        <is>
          <t>道具 / decor_prop</t>
        </is>
      </c>
      <c r="E18" s="61" t="inlineStr">
        <is>
          <t>600面/1200三角；StatusLight替换为直径0.16m、12边低模顶面凸帽；off红、A/B同绿、离楼红待机；近景红绿通过；正常玩家全阁楼远景可辨性未通过</t>
        </is>
      </c>
      <c r="F18" s="61" t="inlineStr">
        <is>
          <t>源/优化/GLB/Prefab独立重导；结构/UV/公共色盘导入契约通过；0.16m同镜头截图已归档；完整交互回归受范围外 CharacterMotionLibrary3D.gd:81 编译错误阻塞；full props存在13条非本次sha mismatch</t>
        </is>
      </c>
      <c r="G18" s="61" t="inlineStr">
        <is>
          <t>WorkBuddy</t>
        </is>
      </c>
    </row>
    <row r="19">
      <c r="A19" s="68" t="inlineStr">
        <is>
          <t>v0.1.13</t>
        </is>
      </c>
      <c r="B19" s="68" t="n">
        <v>46303</v>
      </c>
      <c r="C19" s="61" t="inlineStr">
        <is>
          <t>运行时补丁</t>
        </is>
      </c>
      <c r="D19" s="61" t="inlineStr">
        <is>
          <t>道具 · 资产主表</t>
        </is>
      </c>
      <c r="E19" s="61" t="inlineStr">
        <is>
          <t>PRP-BASE99-RADIO-3D runtime v005.1，模型v005不变；更新Prefab哈希与播放音符附件规格。</t>
        </is>
      </c>
      <c r="F19" s="61" t="inlineStr">
        <is>
          <t>稳定ID/路径不变；主体v005几何与灯帽不变；不改点击或玩法</t>
        </is>
      </c>
      <c r="G19" s="61" t="inlineStr">
        <is>
          <t>CodeBuddy</t>
        </is>
      </c>
    </row>
    <row r="20">
      <c r="A20" s="68" t="inlineStr">
        <is>
          <t>v0.1.14</t>
        </is>
      </c>
      <c r="B20" s="68" t="n">
        <v>46303</v>
      </c>
      <c r="C20" s="61" t="inlineStr">
        <is>
          <t>更新Prefab专表</t>
        </is>
      </c>
      <c r="D20" s="61" t="inlineStr">
        <is>
          <t>道具 · 3D-道具</t>
        </is>
      </c>
      <c r="E20" s="61" t="inlineStr">
        <is>
          <t>收音机runtime v005.1规格与Prefab哈希；源/优化/GLB/灯帽未改。专表独立事务。</t>
        </is>
      </c>
      <c r="F20" s="61" t="inlineStr">
        <is>
          <t>稳定ID/路径不变；主体v005几何与灯帽不变；不改点击或玩法</t>
        </is>
      </c>
      <c r="G20" s="61" t="inlineStr">
        <is>
          <t>CodeBuddy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2026-10-08T03:50:06Z</dcterms:modified>
  <cp:revision>0</cp:revision>
</cp:coreProperties>
</file>