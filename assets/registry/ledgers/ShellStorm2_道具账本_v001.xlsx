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道具" sheetId="4" state="visible" r:id="rId4"/>
    <sheet xmlns:r="http://schemas.openxmlformats.org/officeDocument/2006/relationships" name="3D-物品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'资产主表'!$A$5:$Y$33</definedName>
    <definedName name="_xlnm._FilterDatabase" localSheetId="3" hidden="1">'3D-道具'!$A$4:$P$8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4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166" fontId="4" fillId="0" borderId="0" applyAlignment="1" pivotButton="0" quotePrefix="0" xfId="20">
      <alignment horizontal="general" vertical="bottom" wrapText="1"/>
    </xf>
    <xf numFmtId="166" fontId="19" fillId="0" borderId="3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COUNTA('资产主表'!$A$6:$A$33)</f>
        <v/>
      </c>
      <c r="B6" s="54" t="n"/>
      <c r="C6" s="56">
        <f>COUNTIF('资产主表'!$K$6:$K$33,"已完成")+COUNTIF('资产主表'!$K$6:$K$33,"原型已接入")+COUNTIF('资产主表'!$K$6:$K$33,"正式美术已接入")+COUNTIF('资产主表'!$K$6:$K$33,"已优化并正式接入")+COUNTIF('资产主表'!$K$6:$K$33,"Blender源已完成")+COUNTIF('资产主表'!$K$6:$K$33,"已导入；优化完成")+COUNTIF('资产主表'!$K$6:$K$33,"白模源已完成；QA PASS")</f>
        <v/>
      </c>
      <c r="D6" s="54" t="n"/>
      <c r="E6" s="56">
        <f>COUNTIF('资产主表'!$K$6:$K$33,"待制作")+COUNTIF('资产主表'!$K$6:$K$33,"程序占位")</f>
        <v/>
      </c>
      <c r="F6" s="54" t="n"/>
      <c r="G6" s="56">
        <f>COUNTIF('资产主表'!$S$6:$S$33,"重复")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COUNTIF('资产主表'!$C$6:$C$33,A10)</f>
        <v/>
      </c>
      <c r="C10" s="61">
        <f>SUMPRODUCT(('资产主表'!$C$6:$C$33=A10)*(('资产主表'!$K$6:$K$33="已完成")+('资产主表'!$K$6:$K$33="原型已接入")+('资产主表'!$K$6:$K$33="正式美术已接入")+('资产主表'!$K$6:$K$33="已优化并正式接入")+('资产主表'!$K$6:$K$33="Blender源已完成")+('资产主表'!$K$6:$K$33="已导入；优化完成")+('资产主表'!$K$6:$K$33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COUNTIF('资产主表'!$C$6:$C$33,A11)</f>
        <v/>
      </c>
      <c r="C11" s="57">
        <f>SUMPRODUCT(('资产主表'!$C$6:$C$33=A11)*(('资产主表'!$K$6:$K$33="已完成")+('资产主表'!$K$6:$K$33="原型已接入")+('资产主表'!$K$6:$K$33="正式美术已接入")+('资产主表'!$K$6:$K$33="已优化并正式接入")+('资产主表'!$K$6:$K$33="Blender源已完成")+('资产主表'!$K$6:$K$33="已导入；优化完成")+('资产主表'!$K$6:$K$33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consumable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顶视/图标</t>
        </is>
      </c>
      <c r="I6" s="75" t="inlineStr">
        <is>
          <t>default</t>
        </is>
      </c>
      <c r="J6" s="62" t="inlineStr">
        <is>
          <t>世界拾取/UI 图标</t>
        </is>
      </c>
      <c r="K6" s="62" t="inlineStr">
        <is>
          <t>程序占位</t>
        </is>
      </c>
      <c r="L6" s="75" t="inlineStr">
        <is>
          <t>P0</t>
        </is>
      </c>
      <c r="M6" s="75" t="inlineStr">
        <is>
          <t>v001</t>
        </is>
      </c>
      <c r="N6" s="62" t="inlineStr">
        <is>
          <t>世界 24–40 px；UI 32 px</t>
        </is>
      </c>
      <c r="O6" s="62" t="n"/>
      <c r="P6" s="75" t="inlineStr">
        <is>
          <t>src/base/ItemRegistry.gd</t>
        </is>
      </c>
      <c r="Q6" s="62" t="n"/>
      <c r="R6" s="62">
        <f>LOWER(TRIM(C6)&amp;"|"&amp;TRIM(D6)&amp;"|"&amp;TRIM(E6)&amp;"|"&amp;TRIM(F6)&amp;"|"&amp;TRIM(H6)&amp;"|"&amp;TRIM(I6))</f>
        <v/>
      </c>
      <c r="S6" s="62">
        <f>IF(COUNTIF($R$6:$R$33,R6)&gt;1,"重复","唯一")</f>
        <v/>
      </c>
      <c r="T6" s="62" t="n"/>
      <c r="U6" s="62" t="inlineStr">
        <is>
          <t>待分配</t>
        </is>
      </c>
      <c r="V6" s="76" t="n">
        <v>46224</v>
      </c>
      <c r="W6" s="62" t="inlineStr">
        <is>
          <t>原创/待确认</t>
        </is>
      </c>
      <c r="X6" s="77" t="inlineStr">
        <is>
          <t>—</t>
        </is>
      </c>
      <c r="Y6" s="62" t="n"/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key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顶视/图标</t>
        </is>
      </c>
      <c r="I7" s="75" t="inlineStr">
        <is>
          <t>default</t>
        </is>
      </c>
      <c r="J7" s="62" t="inlineStr">
        <is>
          <t>世界拾取/UI 图标</t>
        </is>
      </c>
      <c r="K7" s="62" t="inlineStr">
        <is>
          <t>程序占位</t>
        </is>
      </c>
      <c r="L7" s="75" t="inlineStr">
        <is>
          <t>P0</t>
        </is>
      </c>
      <c r="M7" s="75" t="inlineStr">
        <is>
          <t>v001</t>
        </is>
      </c>
      <c r="N7" s="62" t="inlineStr">
        <is>
          <t>世界 24–40 px；UI 32 px</t>
        </is>
      </c>
      <c r="O7" s="62" t="n"/>
      <c r="P7" s="75" t="inlineStr">
        <is>
          <t>src/base/ItemRegistry.gd</t>
        </is>
      </c>
      <c r="Q7" s="62" t="n"/>
      <c r="R7" s="62">
        <f>LOWER(TRIM(C7)&amp;"|"&amp;TRIM(D7)&amp;"|"&amp;TRIM(E7)&amp;"|"&amp;TRIM(F7)&amp;"|"&amp;TRIM(H7)&amp;"|"&amp;TRIM(I7))</f>
        <v/>
      </c>
      <c r="S7" s="62">
        <f>IF(COUNTIF($R$6:$R$33,R7)&gt;1,"重复","唯一")</f>
        <v/>
      </c>
      <c r="T7" s="62" t="n"/>
      <c r="U7" s="62" t="inlineStr">
        <is>
          <t>待分配</t>
        </is>
      </c>
      <c r="V7" s="76" t="n">
        <v>46224</v>
      </c>
      <c r="W7" s="62" t="inlineStr">
        <is>
          <t>原创/待确认</t>
        </is>
      </c>
      <c r="X7" s="77" t="inlineStr">
        <is>
          <t>—</t>
        </is>
      </c>
      <c r="Y7" s="62" t="n"/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IF(COUNTIF($R$6:$R$33,R8)&gt;1,"重复","唯一")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IF(COUNTIF($R$6:$R$33,R9)&gt;1,"重复","唯一")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IF(COUNTIF($R$6:$R$33,R10)&gt;1,"重复","唯一")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IF(COUNTIF($R$6:$R$33,R11)&gt;1,"重复","唯一")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../ShellStorm2-backup/2026-10-11_slimming/original_tree/art_source/props/base_world_3d/source/mission_operations/prp_base_mission_operations_source_v003.blend;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IF(COUNTIF($R$6:$R$33,R12)&gt;1,"重复","唯一")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../ShellStorm2-backup/2026-10-11_slimming/original_tree/art_source/props/base_world_3d/source/weapon_workshop/prp_base_weapon_workshop_source_v003.blend;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IF(COUNTIF($R$6:$R$33,R13)&gt;1,"重复","唯一")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可装备背包3D资产族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asset_family / tier_0_static</t>
        </is>
      </c>
      <c r="J14" s="54" t="inlineStr">
        <is>
          <t>地面拾取/UI图标/角色背部共用</t>
        </is>
      </c>
      <c r="K14" s="54" t="inlineStr">
        <is>
          <t>design_only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资产族索引；小/中/大三款各自独立源、GLB和PackedScene；非独立几何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IF(COUNTIF($R$6:$R$33,R14)&gt;1,"重复","唯一")</f>
        <v/>
      </c>
      <c r="T14" s="78" t="n"/>
      <c r="U14" s="78" t="inlineStr">
        <is>
          <t>Codex</t>
        </is>
      </c>
      <c r="V14" s="102" t="n">
        <v>46303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保留原AssetID与equipment_backpack逻辑族；三款子资产通过G列归属；父项无生产路径和SHA，不再冒充程序几何。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../ShellStorm2-backup/2026-10-11_slimming/original_tree/art_source/props/base_world_3d/source/vending_machine/prp_base_vending_machine_source_v001.blend;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IF(COUNTIF($R$6:$R$33,R15)&gt;1,"重复","唯一")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art_source/props/base_world_3d/source/locker_station/prp_base_locker_station_source_v004.blend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IF(COUNTIF($R$6:$R$33,R16)&gt;1,"重复","唯一")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art_source/props/base_world_3d/source/retro_tv_station/prp_base_retro_tv_station_source_v004.blend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IF(COUNTIF($R$6:$R$33,R17)&gt;1,"重复","唯一")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art_source/props/base_world_3d/source/workshop_stool/prp_base_workshop_stool_source_v004.blend;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IF(COUNTIF($R$6:$R$33,R18)&gt;1,"重复","唯一")</f>
        <v/>
      </c>
      <c r="T18" s="81" t="inlineStr">
        <is>
          <t>d55127e32bc890f4ecf4073f052dc8744e237cd4b62e77f672770ae114d4b6f2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art_source/props/base_world_3d/source/mission_command_chair/prp_base_mission_command_chair_source_v004.blend;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IF(COUNTIF($R$6:$R$33,R19)&gt;1,"重复","唯一")</f>
        <v/>
      </c>
      <c r="T19" s="81" t="inlineStr">
        <is>
          <t>5dfc2145158d6e06ab80d592d868e4d0e9b5020fbecd16413473cf5109d7aa67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IF(COUNTIF($R$6:$R$33,R20)&gt;1,"重复","唯一")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IF(COUNTIF($R$6:$R$33,R21)&gt;1,"重复","唯一")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IF(COUNTIF($R$6:$R$33,R22)&gt;1,"重复","唯一")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IF(COUNTIF($R$6:$R$33,R23)&gt;1,"重复","唯一")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IF(COUNTIF($R$6:$R$33,R24)&gt;1,"重复","唯一")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IF(COUNTIF($R$6:$R$33,R25)&gt;1,"重复","唯一")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art_source/props/base_world_3d/source/base99_telescopic_ladder/prp_base99_telescopic_ladder_source_v002.blend;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IF(COUNTIF($R$6:$R$33,R26)&gt;1,"重复","唯一")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27" ht="410.4" customHeight="1" s="51">
      <c r="A27" s="79" t="inlineStr">
        <is>
          <t>PRP-BASE99-RADIO-3D</t>
        </is>
      </c>
      <c r="B27" s="80" t="inlineStr">
        <is>
          <t>99F阁楼收音机</t>
        </is>
      </c>
      <c r="C27" s="80" t="inlineStr">
        <is>
          <t>道具</t>
        </is>
      </c>
      <c r="D27" s="81" t="inlineStr">
        <is>
          <t>decor_prop</t>
        </is>
      </c>
      <c r="E27" s="81" t="inlineStr">
        <is>
          <t>base99_radio</t>
        </is>
      </c>
      <c r="F27" s="81" t="inlineStr">
        <is>
          <t>root</t>
        </is>
      </c>
      <c r="G27" s="80" t="n"/>
      <c r="H27" s="81" t="inlineStr">
        <is>
          <t>Top3D / local -Z 正面</t>
        </is>
      </c>
      <c r="I27" s="81" t="inlineStr">
        <is>
          <t>off / music_a / music_b</t>
        </is>
      </c>
      <c r="J27" s="80" t="inlineStr">
        <is>
          <t>基地99层美术布置层 / env_base_facility_art_layout_top3d</t>
        </is>
      </c>
      <c r="K27" s="80" t="inlineStr">
        <is>
          <t>正式美术已接入</t>
        </is>
      </c>
      <c r="L27" s="81" t="inlineStr">
        <is>
          <t>P1</t>
        </is>
      </c>
      <c r="M27" s="81" t="inlineStr">
        <is>
          <t>v005.1</t>
        </is>
      </c>
      <c r="N27" s="80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 v005.1：模型/Blender/GLB保持v005；新增独立VFX音符附件，预算另计。独立radio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O27" s="81" t="inlineStr">
        <is>
          <t>assets/art/props/base_world_3d/runtime/base99_radio/prp_base99_radio_root_top3d.tscn</t>
        </is>
      </c>
      <c r="P27" s="81" t="inlineStr">
        <is>
          <t>art_source/props/base_world_3d/source/base99_radio/prp_base99_radio_source_v005.blend; art_source/props/base_world_3d/source/base99_radio/export/v005/prp_base99_radio_optimized_v005.blend; assets/art/props/base_world_3d/components/base99_radio/prp_base99_radio_visual_top3d.glb; src/base3d/Base99Radio3D.gd; outputs/base99_radio_v005/asset_manifest.json; outputs/base99_radio_v005/final_acceptance.json; assets/art/vfx/environment_3d/radio_music_notes/vfx_radio_music_notes_root_top3d.tscn; src/vfx/VfxRadioMusicNotes3D.gd; tests/verification/verify_base99_radio_music_notes.tscn</t>
        </is>
      </c>
      <c r="Q27" s="81" t="inlineStr">
        <is>
          <t>base99_radio; 99F阁楼收音机; 收音机; 可交互道具; 基地音乐A; 基地音乐B; Music</t>
        </is>
      </c>
      <c r="R27" s="80">
        <f>LOWER(TRIM(C27)&amp;"|"&amp;TRIM(D27)&amp;"|"&amp;TRIM(E27)&amp;"|"&amp;TRIM(F27)&amp;"|"&amp;TRIM(H27)&amp;"|"&amp;TRIM(I27))</f>
        <v/>
      </c>
      <c r="S27" s="80">
        <f>IF(COUNTIF($R$6:$R$33,R27)&gt;1,"重复","唯一")</f>
        <v/>
      </c>
      <c r="T27" s="81" t="inlineStr">
        <is>
          <t>0f60c1333330feaaef984b64539c73d284fd13fd3b89cd3df5497394c85442ca</t>
        </is>
      </c>
      <c r="U27" s="81" t="inlineStr">
        <is>
          <t>Codex</t>
        </is>
      </c>
      <c r="V27" s="82" t="n">
        <v>46303</v>
      </c>
      <c r="W27" s="80" t="inlineStr">
        <is>
          <t>用户指定Blender资产</t>
        </is>
      </c>
      <c r="X27" s="77" t="inlineStr">
        <is>
          <t>BASE99-RADIO-INTERACTIVE</t>
        </is>
      </c>
      <c r="Y27" s="80" t="inlineStr">
        <is>
          <t>v005局部状态灯深化；旧v004源/优化保留；顶面偏前侧12边凸帽直径0.2m；599面/1190三角；结构/UV/公共色盘与交互结果详见当前final_acceptance；正常玩家及全阁楼红绿可辨门禁=True，像素详见pixel_metrics_runtime.json；音乐/摆位/范围外几何不变；GLB SHA-256=0b2cf2fcba9832ce8b37b62185e016f294ee834555439b71b11c543e0244851d；source SHA-256=d707298407d52dd5ce36c7f6de3fdef71dcfbfdac986cadf6d250318a3628a12；optimized SHA-256=448f30da74d0e118a032842e9eed2d49e8befcfcce24cb6f386547011b492ec1 【runtime v005.1】主体模型v005未重做；收音机持有MusicNotes持续视觉附件；验收=outputs/base99_radio_music_notes/final_acceptance.json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 验收=outputs/base99_radio_sound_v001/sound_acceptance.json。</t>
        </is>
      </c>
    </row>
    <row r="28" ht="64" customHeight="1" s="51">
      <c r="A28" s="78" t="inlineStr">
        <is>
          <t>ITM-EQUIPMENT-BACKPACK-SMALL-3D</t>
        </is>
      </c>
      <c r="B28" s="54" t="inlineStr">
        <is>
          <t>小号粉色圆顶背包</t>
        </is>
      </c>
      <c r="C28" s="54" t="inlineStr">
        <is>
          <t>道具</t>
        </is>
      </c>
      <c r="D28" s="78" t="inlineStr">
        <is>
          <t>equipment</t>
        </is>
      </c>
      <c r="E28" s="78" t="inlineStr">
        <is>
          <t>equipment_backpack_2</t>
        </is>
      </c>
      <c r="F28" s="78" t="inlineStr">
        <is>
          <t>root_3d</t>
        </is>
      </c>
      <c r="G28" s="78" t="inlineStr">
        <is>
          <t>ITM-EQUIPMENT-BACKPACK-3D</t>
        </is>
      </c>
      <c r="H28" s="54" t="inlineStr">
        <is>
          <t>俯视3D / local +Z正面</t>
        </is>
      </c>
      <c r="I28" s="78" t="inlineStr">
        <is>
          <t>tier_0_static</t>
        </is>
      </c>
      <c r="J28" s="54" t="inlineStr">
        <is>
          <t>仅表现；地面拾取/UI图标/角色BackpackSocket共用；容量和存档规则不变</t>
        </is>
      </c>
      <c r="K28" s="54" t="inlineStr">
        <is>
          <t>待制作</t>
        </is>
      </c>
      <c r="L28" s="78" t="inlineStr">
        <is>
          <t>P0</t>
        </is>
      </c>
      <c r="M28" s="78" t="inlineStr">
        <is>
          <t>v001</t>
        </is>
      </c>
      <c r="N28" s="78" t="inlineStr">
        <is>
          <t>0.56×0.28×0.60m；整包中心原点；&lt;=500三角；无背部肩带；场景四材质/公共色盘</t>
        </is>
      </c>
      <c r="O28" s="78" t="n"/>
      <c r="P28" s="78" t="inlineStr">
        <is>
          <t>src/world3d/ItemModelFactory3D.gd; tests/verification/verify_backpack_equipment_flow.tscn</t>
        </is>
      </c>
      <c r="Q28" s="54" t="inlineStr">
        <is>
          <t>backpack;小号粉色圆顶背包</t>
        </is>
      </c>
      <c r="R28" s="78">
        <f>LOWER(TRIM(C28)&amp;"|"&amp;TRIM(D28)&amp;"|"&amp;TRIM(E28)&amp;"|"&amp;TRIM(F28)&amp;"|"&amp;TRIM(H28)&amp;"|"&amp;TRIM(I28))</f>
        <v/>
      </c>
      <c r="S28" s="54">
        <f>IF(COUNTIF($R$6:$R$33,R28)&gt;1,"重复","唯一")</f>
        <v/>
      </c>
      <c r="T28" s="78" t="n"/>
      <c r="U28" s="78" t="inlineStr">
        <is>
          <t>WorkBuddy</t>
        </is>
      </c>
      <c r="V28" s="102" t="n">
        <v>46303</v>
      </c>
      <c r="W28" s="54" t="inlineStr">
        <is>
          <t>用户参考图重建；项目公共色盘</t>
        </is>
      </c>
      <c r="X28" s="77" t="inlineStr">
        <is>
          <t>PRP_小号粉色圆顶背包_中文资产管理</t>
        </is>
      </c>
      <c r="Y28" s="54" t="inlineStr">
        <is>
          <t>新增身份，非历史已有ID；尺寸经用户批准；静态闭合表现；以asset_contract.json冻结。</t>
        </is>
      </c>
    </row>
    <row r="29" ht="64" customHeight="1" s="51">
      <c r="A29" s="78" t="inlineStr">
        <is>
          <t>ITM-EQUIPMENT-BACKPACK-MEDIUM-3D</t>
        </is>
      </c>
      <c r="B29" s="54" t="inlineStr">
        <is>
          <t>中号黄色单扣背包</t>
        </is>
      </c>
      <c r="C29" s="54" t="inlineStr">
        <is>
          <t>道具</t>
        </is>
      </c>
      <c r="D29" s="78" t="inlineStr">
        <is>
          <t>equipment</t>
        </is>
      </c>
      <c r="E29" s="78" t="inlineStr">
        <is>
          <t>equipment_backpack_4</t>
        </is>
      </c>
      <c r="F29" s="78" t="inlineStr">
        <is>
          <t>root_3d</t>
        </is>
      </c>
      <c r="G29" s="78" t="inlineStr">
        <is>
          <t>ITM-EQUIPMENT-BACKPACK-3D</t>
        </is>
      </c>
      <c r="H29" s="54" t="inlineStr">
        <is>
          <t>俯视3D / local +Z正面</t>
        </is>
      </c>
      <c r="I29" s="78" t="inlineStr">
        <is>
          <t>tier_0_static</t>
        </is>
      </c>
      <c r="J29" s="54" t="inlineStr">
        <is>
          <t>仅表现；地面拾取/UI图标/角色BackpackSocket共用；容量和存档规则不变</t>
        </is>
      </c>
      <c r="K29" s="54" t="inlineStr">
        <is>
          <t>待制作</t>
        </is>
      </c>
      <c r="L29" s="78" t="inlineStr">
        <is>
          <t>P0</t>
        </is>
      </c>
      <c r="M29" s="78" t="inlineStr">
        <is>
          <t>v001</t>
        </is>
      </c>
      <c r="N29" s="78" t="inlineStr">
        <is>
          <t>0.66×0.33×0.74m；整包中心原点；&lt;=500三角；无背部肩带；场景四材质/公共色盘</t>
        </is>
      </c>
      <c r="O29" s="78" t="n"/>
      <c r="P29" s="78" t="inlineStr">
        <is>
          <t>src/world3d/ItemModelFactory3D.gd; tests/verification/verify_backpack_equipment_flow.tscn</t>
        </is>
      </c>
      <c r="Q29" s="54" t="inlineStr">
        <is>
          <t>backpack;中号黄色单扣背包</t>
        </is>
      </c>
      <c r="R29" s="78">
        <f>LOWER(TRIM(C29)&amp;"|"&amp;TRIM(D29)&amp;"|"&amp;TRIM(E29)&amp;"|"&amp;TRIM(F29)&amp;"|"&amp;TRIM(H29)&amp;"|"&amp;TRIM(I29))</f>
        <v/>
      </c>
      <c r="S29" s="54">
        <f>IF(COUNTIF($R$6:$R$33,R29)&gt;1,"重复","唯一")</f>
        <v/>
      </c>
      <c r="T29" s="78" t="n"/>
      <c r="U29" s="78" t="inlineStr">
        <is>
          <t>WorkBuddy</t>
        </is>
      </c>
      <c r="V29" s="102" t="n">
        <v>46303</v>
      </c>
      <c r="W29" s="54" t="inlineStr">
        <is>
          <t>用户参考图重建；项目公共色盘</t>
        </is>
      </c>
      <c r="X29" s="77" t="inlineStr">
        <is>
          <t>PRP_中号黄色单扣背包_中文资产管理</t>
        </is>
      </c>
      <c r="Y29" s="54" t="inlineStr">
        <is>
          <t>新增身份，非历史已有ID；尺寸经用户批准；静态闭合表现；以asset_contract.json冻结。</t>
        </is>
      </c>
    </row>
    <row r="30" ht="64" customHeight="1" s="51">
      <c r="A30" s="78" t="inlineStr">
        <is>
          <t>ITM-EQUIPMENT-BACKPACK-LARGE-3D</t>
        </is>
      </c>
      <c r="B30" s="54" t="inlineStr">
        <is>
          <t>大号青色卷铺盖背包</t>
        </is>
      </c>
      <c r="C30" s="54" t="inlineStr">
        <is>
          <t>道具</t>
        </is>
      </c>
      <c r="D30" s="78" t="inlineStr">
        <is>
          <t>equipment</t>
        </is>
      </c>
      <c r="E30" s="78" t="inlineStr">
        <is>
          <t>equipment_backpack_8</t>
        </is>
      </c>
      <c r="F30" s="78" t="inlineStr">
        <is>
          <t>root_3d</t>
        </is>
      </c>
      <c r="G30" s="78" t="inlineStr">
        <is>
          <t>ITM-EQUIPMENT-BACKPACK-3D</t>
        </is>
      </c>
      <c r="H30" s="54" t="inlineStr">
        <is>
          <t>俯视3D / local +Z正面</t>
        </is>
      </c>
      <c r="I30" s="78" t="inlineStr">
        <is>
          <t>tier_0_static</t>
        </is>
      </c>
      <c r="J30" s="54" t="inlineStr">
        <is>
          <t>仅表现；地面拾取/UI图标/角色BackpackSocket共用；容量和存档规则不变</t>
        </is>
      </c>
      <c r="K30" s="54" t="inlineStr">
        <is>
          <t>待制作</t>
        </is>
      </c>
      <c r="L30" s="78" t="inlineStr">
        <is>
          <t>P0</t>
        </is>
      </c>
      <c r="M30" s="78" t="inlineStr">
        <is>
          <t>v001</t>
        </is>
      </c>
      <c r="N30" s="78" t="inlineStr">
        <is>
          <t>0.76×0.38×0.88m；整包中心原点；&lt;=500三角；无背部肩带；场景四材质/公共色盘</t>
        </is>
      </c>
      <c r="O30" s="78" t="n"/>
      <c r="P30" s="78" t="inlineStr">
        <is>
          <t>src/world3d/ItemModelFactory3D.gd; tests/verification/verify_backpack_equipment_flow.tscn</t>
        </is>
      </c>
      <c r="Q30" s="54" t="inlineStr">
        <is>
          <t>backpack;大号青色卷铺盖背包</t>
        </is>
      </c>
      <c r="R30" s="78">
        <f>LOWER(TRIM(C30)&amp;"|"&amp;TRIM(D30)&amp;"|"&amp;TRIM(E30)&amp;"|"&amp;TRIM(F30)&amp;"|"&amp;TRIM(H30)&amp;"|"&amp;TRIM(I30))</f>
        <v/>
      </c>
      <c r="S30" s="54">
        <f>IF(COUNTIF($R$6:$R$33,R30)&gt;1,"重复","唯一")</f>
        <v/>
      </c>
      <c r="T30" s="78" t="n"/>
      <c r="U30" s="78" t="inlineStr">
        <is>
          <t>WorkBuddy</t>
        </is>
      </c>
      <c r="V30" s="102" t="n">
        <v>46303</v>
      </c>
      <c r="W30" s="54" t="inlineStr">
        <is>
          <t>用户参考图重建；项目公共色盘</t>
        </is>
      </c>
      <c r="X30" s="77" t="inlineStr">
        <is>
          <t>PRP_大号青色卷铺盖背包_中文资产管理</t>
        </is>
      </c>
      <c r="Y30" s="54" t="inlineStr">
        <is>
          <t>新增身份，非历史已有ID；尺寸经用户批准；静态闭合表现；以asset_contract.json冻结。</t>
        </is>
      </c>
    </row>
    <row r="31" ht="90" customHeight="1" s="51">
      <c r="A31" s="75" t="inlineStr">
        <is>
          <t>ITM-CONSUMABLE-ITEM-BATTERY-L</t>
        </is>
      </c>
      <c r="B31" s="62" t="inlineStr">
        <is>
          <t>大型电池</t>
        </is>
      </c>
      <c r="C31" s="62" t="inlineStr">
        <is>
          <t>道具</t>
        </is>
      </c>
      <c r="D31" s="75" t="inlineStr">
        <is>
          <t>consumable</t>
        </is>
      </c>
      <c r="E31" s="75" t="inlineStr">
        <is>
          <t>item_battery_l</t>
        </is>
      </c>
      <c r="F31" s="75" t="inlineStr">
        <is>
          <t>root</t>
        </is>
      </c>
      <c r="G31" s="62" t="n"/>
      <c r="H31" s="62" t="inlineStr">
        <is>
          <t>底面中心原点；Blender +Z向上，正面-Y；Godot +Y向上、正面+Z</t>
        </is>
      </c>
      <c r="I31" s="75" t="inlineStr">
        <is>
          <t>tier_0_static</t>
        </is>
      </c>
      <c r="J31" s="62" t="inlineStr">
        <is>
          <t>独立物品/配件原始源；后续拾取、库存与武器装配复用</t>
        </is>
      </c>
      <c r="K31" s="62" t="inlineStr">
        <is>
          <t>Blender源已完成</t>
        </is>
      </c>
      <c r="L31" s="75" t="inlineStr">
        <is>
          <t>P1</t>
        </is>
      </c>
      <c r="M31" s="75" t="inlineStr">
        <is>
          <t>v001</t>
        </is>
      </c>
      <c r="N31" s="62" t="inlineStr">
        <is>
          <t>0.4523×0.3325×0.6600m；单位米；根缩放1；场景四材质/公共色盘/PaletteUV；实测快照见asset_contract.json；preview高模；ground 168三角面（100–200预算）</t>
        </is>
      </c>
      <c r="O31" s="62" t="inlineStr">
        <is>
          <t>art_source/items_weapons/props/battery_large/source/itm_battery_large_source_v001.blend; art_source/items_weapons/props/battery_large/source/itm_battery_large_ground_source_v001.blend</t>
        </is>
      </c>
      <c r="P31" s="75" t="inlineStr">
        <is>
          <t>src/world3d/ItemModelFactory3D.gd; src/world3d/GroundLootPickup3D.gd; src/combat3d/WeaponModel3D.gd; art_source/items_weapons/props/battery_large/asset_contract.json</t>
        </is>
      </c>
      <c r="Q31" s="62" t="inlineStr">
        <is>
          <t>item_battery_l;大型电池</t>
        </is>
      </c>
      <c r="R31" s="62">
        <f>LOWER(TRIM(C31)&amp;"|"&amp;TRIM(D31)&amp;"|"&amp;TRIM(E31)&amp;"|"&amp;TRIM(F31)&amp;"|"&amp;TRIM(H31)&amp;"|"&amp;TRIM(I31))</f>
        <v/>
      </c>
      <c r="S31" s="62">
        <f>IF(COUNTIF($R$6:$R$33,R31)&gt;1,"重复","唯一")</f>
        <v/>
      </c>
      <c r="T31" s="62" t="inlineStr">
        <is>
          <t>7157aee1841ef81347a0d5b94a56e380366545b9a3aed0df5470e814eaa7b075</t>
        </is>
      </c>
      <c r="U31" s="62" t="inlineStr">
        <is>
          <t>Codex</t>
        </is>
      </c>
      <c r="V31" s="76" t="n">
        <v>46309</v>
      </c>
      <c r="W31" s="62" t="inlineStr">
        <is>
          <t>用户提供参考图重建；项目公共色盘</t>
        </is>
      </c>
      <c r="X31" s="77" t="inlineStr">
        <is>
          <t>ITM_大型电池_中文资产管理</t>
        </is>
      </c>
      <c r="Y31" s="62" t="inlineStr">
        <is>
          <t>2026-10-14 用户参考图制作；Godot物品工厂/拾取实体/配件挂点实测后冻结主轴尺寸，其余轴按图等比。仅Blender原始源；未导出GLB、未导入Godot；运行时仍用现有占位。 双模型源：preview=12536三角；ground=168三角；地面源SHA256=63560237834283a742563891778e69b2d634c66c08b47ce7db99bba1313eaa3d；高模哈希保持；未接入运行时。</t>
        </is>
      </c>
    </row>
    <row r="32" ht="90" customHeight="1" s="51">
      <c r="A32" s="75" t="inlineStr">
        <is>
          <t>ITM-CONSUMABLE-ITEM-BATTERY-S</t>
        </is>
      </c>
      <c r="B32" s="62" t="inlineStr">
        <is>
          <t>小型电池</t>
        </is>
      </c>
      <c r="C32" s="62" t="inlineStr">
        <is>
          <t>道具</t>
        </is>
      </c>
      <c r="D32" s="75" t="inlineStr">
        <is>
          <t>consumable</t>
        </is>
      </c>
      <c r="E32" s="75" t="inlineStr">
        <is>
          <t>item_battery_s</t>
        </is>
      </c>
      <c r="F32" s="75" t="inlineStr">
        <is>
          <t>root</t>
        </is>
      </c>
      <c r="G32" s="62" t="n"/>
      <c r="H32" s="62" t="inlineStr">
        <is>
          <t>底面中心原点；Blender +Z向上，正面-Y；Godot +Y向上、正面+Z</t>
        </is>
      </c>
      <c r="I32" s="75" t="inlineStr">
        <is>
          <t>tier_0_static</t>
        </is>
      </c>
      <c r="J32" s="62" t="inlineStr">
        <is>
          <t>独立物品/配件原始源；后续拾取、库存与武器装配复用</t>
        </is>
      </c>
      <c r="K32" s="62" t="inlineStr">
        <is>
          <t>Blender源已完成</t>
        </is>
      </c>
      <c r="L32" s="75" t="inlineStr">
        <is>
          <t>P1</t>
        </is>
      </c>
      <c r="M32" s="75" t="inlineStr">
        <is>
          <t>v001</t>
        </is>
      </c>
      <c r="N32" s="62" t="inlineStr">
        <is>
          <t>0.3111×0.3111×0.6600m；单位米；根缩放1；场景四材质/公共色盘/PaletteUV；实测快照见asset_contract.json；preview高模；ground 120三角面（100–200预算）</t>
        </is>
      </c>
      <c r="O32" s="62" t="inlineStr">
        <is>
          <t>art_source/items_weapons/props/battery_small/source/itm_battery_small_source_v001.blend; art_source/items_weapons/props/battery_small/source/itm_battery_small_ground_source_v001.blend</t>
        </is>
      </c>
      <c r="P32" s="75" t="inlineStr">
        <is>
          <t>src/world3d/ItemModelFactory3D.gd; src/world3d/GroundLootPickup3D.gd; src/combat3d/WeaponModel3D.gd; art_source/items_weapons/props/battery_small/asset_contract.json</t>
        </is>
      </c>
      <c r="Q32" s="62" t="inlineStr">
        <is>
          <t>item_battery_s;小型电池</t>
        </is>
      </c>
      <c r="R32" s="62">
        <f>LOWER(TRIM(C32)&amp;"|"&amp;TRIM(D32)&amp;"|"&amp;TRIM(E32)&amp;"|"&amp;TRIM(F32)&amp;"|"&amp;TRIM(H32)&amp;"|"&amp;TRIM(I32))</f>
        <v/>
      </c>
      <c r="S32" s="62">
        <f>IF(COUNTIF($R$6:$R$33,R32)&gt;1,"重复","唯一")</f>
        <v/>
      </c>
      <c r="T32" s="62" t="inlineStr">
        <is>
          <t>85017af7760230fd9dd0b796bdd15ae3c3eb91dc8e5d977eb307ba32676e8a54</t>
        </is>
      </c>
      <c r="U32" s="62" t="inlineStr">
        <is>
          <t>Codex</t>
        </is>
      </c>
      <c r="V32" s="76" t="n">
        <v>46309</v>
      </c>
      <c r="W32" s="62" t="inlineStr">
        <is>
          <t>用户提供参考图重建；项目公共色盘</t>
        </is>
      </c>
      <c r="X32" s="77" t="inlineStr">
        <is>
          <t>ITM_小型电池_中文资产管理</t>
        </is>
      </c>
      <c r="Y32" s="62" t="inlineStr">
        <is>
          <t>2026-10-14 用户参考图制作；Godot物品工厂/拾取实体/配件挂点实测后冻结主轴尺寸，其余轴按图等比。仅Blender原始源；未导出GLB、未导入Godot；运行时仍用现有占位。 双模型源：preview=3616三角；ground=120三角；地面源SHA256=e7d916bff0cf1d2cab60d49595b38d8f22a5cf9f0d033d71b4e3fa053944f762；高模哈希保持；未接入运行时。</t>
        </is>
      </c>
    </row>
    <row r="33" ht="90" customHeight="1" s="51">
      <c r="A33" s="75" t="inlineStr">
        <is>
          <t>ITM-CONSUMABLE-ITEM-HEALTH-POTION</t>
        </is>
      </c>
      <c r="B33" s="62" t="inlineStr">
        <is>
          <t>治疗药水</t>
        </is>
      </c>
      <c r="C33" s="62" t="inlineStr">
        <is>
          <t>道具</t>
        </is>
      </c>
      <c r="D33" s="75" t="inlineStr">
        <is>
          <t>consumable</t>
        </is>
      </c>
      <c r="E33" s="75" t="inlineStr">
        <is>
          <t>item_health_potion</t>
        </is>
      </c>
      <c r="F33" s="75" t="inlineStr">
        <is>
          <t>root</t>
        </is>
      </c>
      <c r="G33" s="62" t="n"/>
      <c r="H33" s="62" t="inlineStr">
        <is>
          <t>底面中心原点；Blender +Z向上，正面-Y；Godot +Y向上、正面+Z</t>
        </is>
      </c>
      <c r="I33" s="75" t="inlineStr">
        <is>
          <t>tier_0_static</t>
        </is>
      </c>
      <c r="J33" s="62" t="inlineStr">
        <is>
          <t>独立物品/配件原始源；后续拾取、库存与武器装配复用</t>
        </is>
      </c>
      <c r="K33" s="62" t="inlineStr">
        <is>
          <t>Blender源已完成</t>
        </is>
      </c>
      <c r="L33" s="75" t="inlineStr">
        <is>
          <t>P1</t>
        </is>
      </c>
      <c r="M33" s="75" t="inlineStr">
        <is>
          <t>v001</t>
        </is>
      </c>
      <c r="N33" s="62" t="inlineStr">
        <is>
          <t>0.6731×0.6835×0.8200m；单位米；根缩放1；场景四材质/公共色盘/PaletteUV；实测快照见asset_contract.json；preview高模；ground 178三角面（100–200预算）</t>
        </is>
      </c>
      <c r="O33" s="62" t="inlineStr">
        <is>
          <t>art_source/items_weapons/props/health_potion/source/itm_health_potion_source_v001.blend; art_source/items_weapons/props/health_potion/source/itm_health_potion_ground_source_v001.blend</t>
        </is>
      </c>
      <c r="P33" s="75" t="inlineStr">
        <is>
          <t>src/world3d/ItemModelFactory3D.gd; src/world3d/GroundLootPickup3D.gd; src/combat3d/WeaponModel3D.gd; art_source/items_weapons/props/health_potion/asset_contract.json</t>
        </is>
      </c>
      <c r="Q33" s="62" t="inlineStr">
        <is>
          <t>item_health_potion;治疗药水</t>
        </is>
      </c>
      <c r="R33" s="62">
        <f>LOWER(TRIM(C33)&amp;"|"&amp;TRIM(D33)&amp;"|"&amp;TRIM(E33)&amp;"|"&amp;TRIM(F33)&amp;"|"&amp;TRIM(H33)&amp;"|"&amp;TRIM(I33))</f>
        <v/>
      </c>
      <c r="S33" s="62">
        <f>IF(COUNTIF($R$6:$R$33,R33)&gt;1,"重复","唯一")</f>
        <v/>
      </c>
      <c r="T33" s="62" t="inlineStr">
        <is>
          <t>6d1d848e4cc37d91fc99d0609db46763ef916458e2a418aa621befb07781d5bb</t>
        </is>
      </c>
      <c r="U33" s="62" t="inlineStr">
        <is>
          <t>Codex</t>
        </is>
      </c>
      <c r="V33" s="76" t="n">
        <v>46309</v>
      </c>
      <c r="W33" s="62" t="inlineStr">
        <is>
          <t>用户提供参考图重建；项目公共色盘</t>
        </is>
      </c>
      <c r="X33" s="77" t="inlineStr">
        <is>
          <t>ITM_治疗药水_中文资产管理</t>
        </is>
      </c>
      <c r="Y33" s="62" t="inlineStr">
        <is>
          <t>2026-10-14 用户参考图制作；Godot物品工厂/拾取实体/配件挂点实测后冻结主轴尺寸，其余轴按图等比。仅Blender原始源；未导出GLB、未导入Godot；运行时仍用现有占位。 严格四材质公共色盘，药瓶采用不透明清漆与浅色肩部表现玻璃感；未新增透明材质。 双模型源：preview=5660三角；ground=178三角；地面源SHA256=509273cbee4ddeef75c0f51dba3e224ed93fb0e66f52970e97ec5e23dd6647f0；高模哈希保持；未接入运行时。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Y33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33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33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3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桌椅、家具、容器、收音机和摆放装饰物；本次扫描 4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../ShellStorm2-backup/2026-10-11_slimming/original_tree/art_source/props/base_world_3d/source/mission_command_chair/prp_base_mission_command_chair_source_v001.blend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../ShellStorm2-backup/2026-10-11_slimming/original_tree/art_source/props/base_world_3d/source/workshop_stool/prp_base_workshop_stool_source_v001.blend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  <row r="8" ht="66" customHeight="1" s="51">
      <c r="A8" s="94" t="inlineStr">
        <is>
          <t>PRP-BASE99-RADIO-3D</t>
        </is>
      </c>
      <c r="B8" s="95" t="inlineStr">
        <is>
          <t>99F阁楼收音机</t>
        </is>
      </c>
      <c r="C8" s="96" t="inlineStr">
        <is>
          <t>assets/art/props/base_world_3d/runtime/base99_radio/prp_base99_radio_root_top3d.tscn</t>
        </is>
      </c>
      <c r="D8" s="96" t="inlineStr">
        <is>
          <t>assets/art/props/base_world_3d/components/base99_radio/prp_base99_radio_visual_top3d.glb</t>
        </is>
      </c>
      <c r="E8" s="96" t="inlineStr">
        <is>
          <t>art_source/props/base_world_3d/source/base99_radio/prp_base99_radio_source_v005.blend</t>
        </is>
      </c>
      <c r="F8" s="95" t="inlineStr">
        <is>
          <t>可复用摆放道具Prefab；左键/E循环关→基地音乐A→基地音乐B→关；AudioStreamPlayer3D走Music总线</t>
        </is>
      </c>
      <c r="G8" s="96" t="inlineStr">
        <is>
          <t>src/base3d/Base99Radio3D.gd</t>
        </is>
      </c>
      <c r="H8" s="95" t="inlineStr">
        <is>
          <t>开</t>
        </is>
      </c>
      <c r="I8" s="95" t="inlineStr">
        <is>
          <t>Prefab自身</t>
        </is>
      </c>
      <c r="J8" s="95" t="inlineStr">
        <is>
          <t>独立WorldCollision + InteractionHitArea</t>
        </is>
      </c>
      <c r="K8" s="95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runtime补丁：独立radio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L8" s="96" t="inlineStr">
        <is>
          <t>底面Y=0；根ItemRoot居中；local -Z正面；scale=1</t>
        </is>
      </c>
      <c r="M8" s="95" t="inlineStr">
        <is>
          <t>99F阁楼北墙/床左侧46号BATTERY柜顶；layout=(-1.95,6.97,-13.87143)，yaw=10度</t>
        </is>
      </c>
      <c r="N8" s="95" t="inlineStr">
        <is>
          <t>正式美术已接入</t>
        </is>
      </c>
      <c r="O8" s="96" t="inlineStr">
        <is>
          <t>v005.1</t>
        </is>
      </c>
      <c r="P8" s="97" t="inlineStr">
        <is>
          <t>ItemRoot/Visual/StatusLight接口不变；StatusLight顶面偏前侧12边低模凸帽；单一灯，无billboard/UI/bloom；源=d707298407d52dd5ce36c7f6de3fdef71dcfbfdac986cadf6d250318a3628a12；优化=448f30da74d0e118a032842e9eed2d49e8befcfcce24cb6f386547011b492ec1；GLB=0b2cf2fcba9832ce8b37b62185e016f294ee834555439b71b11c543e0244851d；Prefab=97b35c66bd00f9662a12f8b8359023c4cf714bd9e434cb804c20bf9ea83ee90c；证据=outputs/base99_radio_v005/；runtime v005.1，model v005；附件=VFX-RADIO-MUSIC-NOTES-3D；Prefab SHA=0f60c1333330feaaef984b64539c73d284fd13fd3b89cd3df5497394c85442ca；空间声音契约=空间声音契约v001：唯一AudioStreamPlayer3D；Music总线；unit_size=18.0m；max_distance=78.0m；attenuation_model=inverse_square；99F正式边界Rect2(-50,-35,100,80)内source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；验收=outputs/base99_radio_sound_v001/sound_acceptance.json；账本证据=outputs/base99_radio_sound_v001/ledger_evidence.json</t>
        </is>
      </c>
      <c r="Q8" s="50" t="n"/>
    </row>
  </sheetData>
  <autoFilter ref="A4:P8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独立物品PackedScene；3款背包已登记，等待制作与验收。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4" customHeight="1" s="51">
      <c r="A5" s="86" t="inlineStr">
        <is>
          <t>ITM-EQUIPMENT-BACKPACK-SMALL-3D</t>
        </is>
      </c>
      <c r="B5" s="87" t="inlineStr">
        <is>
          <t>小号粉色圆顶背包</t>
        </is>
      </c>
      <c r="C5" s="88" t="inlineStr">
        <is>
          <t>assets/art/items_weapons/props/backpack_small/runtime/prp_backpack_small_root_top3d.tscn</t>
        </is>
      </c>
      <c r="D5" s="88" t="inlineStr">
        <is>
          <t>assets/art/items_weapons/props/backpack_small/components/prp_backpack_small_visual_top3d.glb</t>
        </is>
      </c>
      <c r="E5" s="88" t="inlineStr">
        <is>
          <t>art_source/items_weapons/props/backpack_small/source/prp_backpack_small_source_v001.blend</t>
        </is>
      </c>
      <c r="F5" s="87" t="inlineStr">
        <is>
          <t>仅表现；地面拾取/UI图标/角色BackpackSocket共用；容量和存档规则不变</t>
        </is>
      </c>
      <c r="G5" s="87" t="inlineStr">
        <is>
          <t>src/world3d/ItemModelFactory3D.gd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0.56×0.28×0.60m</t>
        </is>
      </c>
      <c r="L5" s="87" t="inlineStr">
        <is>
          <t>整包包围盒中心原点；Godot +Z前袋朝外，+Y向上；Blender -Y前袋朝外，+Z向上</t>
        </is>
      </c>
      <c r="M5" s="87" t="inlineStr">
        <is>
          <t>世界掉落/UI图标/玩家BackpackSocket</t>
        </is>
      </c>
      <c r="N5" s="87" t="inlineStr">
        <is>
          <t>待制作</t>
        </is>
      </c>
      <c r="O5" s="87" t="inlineStr">
        <is>
          <t>v001</t>
        </is>
      </c>
      <c r="P5" s="89" t="inlineStr">
        <is>
          <t>真实PackedScene骨架已创建；视觉制作及验收待完成；禁止视为正式资产。</t>
        </is>
      </c>
    </row>
    <row r="6" ht="64" customHeight="1" s="51">
      <c r="A6" s="86" t="inlineStr">
        <is>
          <t>ITM-EQUIPMENT-BACKPACK-MEDIUM-3D</t>
        </is>
      </c>
      <c r="B6" s="87" t="inlineStr">
        <is>
          <t>中号黄色单扣背包</t>
        </is>
      </c>
      <c r="C6" s="88" t="inlineStr">
        <is>
          <t>assets/art/items_weapons/props/backpack_medium/runtime/prp_backpack_medium_root_top3d.tscn</t>
        </is>
      </c>
      <c r="D6" s="88" t="inlineStr">
        <is>
          <t>assets/art/items_weapons/props/backpack_medium/components/prp_backpack_medium_visual_top3d.glb</t>
        </is>
      </c>
      <c r="E6" s="88" t="inlineStr">
        <is>
          <t>art_source/items_weapons/props/backpack_medium/source/prp_backpack_medium_source_v001.blend</t>
        </is>
      </c>
      <c r="F6" s="87" t="inlineStr">
        <is>
          <t>仅表现；地面拾取/UI图标/角色BackpackSocket共用；容量和存档规则不变</t>
        </is>
      </c>
      <c r="G6" s="87" t="inlineStr">
        <is>
          <t>src/world3d/ItemModelFactory3D.gd</t>
        </is>
      </c>
      <c r="H6" s="87" t="inlineStr">
        <is>
          <t>无</t>
        </is>
      </c>
      <c r="I6" s="87" t="inlineStr">
        <is>
          <t>无</t>
        </is>
      </c>
      <c r="J6" s="87" t="inlineStr">
        <is>
          <t>无</t>
        </is>
      </c>
      <c r="K6" s="87" t="inlineStr">
        <is>
          <t>0.66×0.33×0.74m</t>
        </is>
      </c>
      <c r="L6" s="87" t="inlineStr">
        <is>
          <t>整包包围盒中心原点；Godot +Z前袋朝外，+Y向上；Blender -Y前袋朝外，+Z向上</t>
        </is>
      </c>
      <c r="M6" s="87" t="inlineStr">
        <is>
          <t>世界掉落/UI图标/玩家BackpackSocket</t>
        </is>
      </c>
      <c r="N6" s="87" t="inlineStr">
        <is>
          <t>待制作</t>
        </is>
      </c>
      <c r="O6" s="87" t="inlineStr">
        <is>
          <t>v001</t>
        </is>
      </c>
      <c r="P6" s="89" t="inlineStr">
        <is>
          <t>真实PackedScene骨架已创建；视觉制作及验收待完成；禁止视为正式资产。</t>
        </is>
      </c>
    </row>
    <row r="7" ht="64" customHeight="1" s="51">
      <c r="A7" s="86" t="inlineStr">
        <is>
          <t>ITM-EQUIPMENT-BACKPACK-LARGE-3D</t>
        </is>
      </c>
      <c r="B7" s="87" t="inlineStr">
        <is>
          <t>大号青色卷铺盖背包</t>
        </is>
      </c>
      <c r="C7" s="88" t="inlineStr">
        <is>
          <t>assets/art/items_weapons/props/backpack_large/runtime/prp_backpack_large_root_top3d.tscn</t>
        </is>
      </c>
      <c r="D7" s="88" t="inlineStr">
        <is>
          <t>assets/art/items_weapons/props/backpack_large/components/prp_backpack_large_visual_top3d.glb</t>
        </is>
      </c>
      <c r="E7" s="88" t="inlineStr">
        <is>
          <t>art_source/items_weapons/props/backpack_large/source/prp_backpack_large_source_v001.blend</t>
        </is>
      </c>
      <c r="F7" s="87" t="inlineStr">
        <is>
          <t>仅表现；地面拾取/UI图标/角色BackpackSocket共用；容量和存档规则不变</t>
        </is>
      </c>
      <c r="G7" s="87" t="inlineStr">
        <is>
          <t>src/world3d/ItemModelFactory3D.gd</t>
        </is>
      </c>
      <c r="H7" s="87" t="inlineStr">
        <is>
          <t>无</t>
        </is>
      </c>
      <c r="I7" s="87" t="inlineStr">
        <is>
          <t>无</t>
        </is>
      </c>
      <c r="J7" s="87" t="inlineStr">
        <is>
          <t>无</t>
        </is>
      </c>
      <c r="K7" s="87" t="inlineStr">
        <is>
          <t>0.76×0.38×0.88m</t>
        </is>
      </c>
      <c r="L7" s="87" t="inlineStr">
        <is>
          <t>整包包围盒中心原点；Godot +Z前袋朝外，+Y向上；Blender -Y前袋朝外，+Z向上</t>
        </is>
      </c>
      <c r="M7" s="87" t="inlineStr">
        <is>
          <t>世界掉落/UI图标/玩家BackpackSocket</t>
        </is>
      </c>
      <c r="N7" s="87" t="inlineStr">
        <is>
          <t>待制作</t>
        </is>
      </c>
      <c r="O7" s="87" t="inlineStr">
        <is>
          <t>v001</t>
        </is>
      </c>
      <c r="P7" s="89" t="inlineStr">
        <is>
          <t>真实PackedScene骨架已创建；视觉制作及验收待完成；禁止视为正式资产。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  <row r="11">
      <c r="A11" s="68" t="inlineStr">
        <is>
          <t>v0.1.5</t>
        </is>
      </c>
      <c r="B11" s="68" t="inlineStr">
        <is>
          <t>2026-10-05</t>
        </is>
      </c>
      <c r="C11" s="61" t="inlineStr">
        <is>
          <t>99F阁楼收音机正式接入</t>
        </is>
      </c>
      <c r="D11" s="61" t="inlineStr">
        <is>
          <t>道具 / 场景可交互道具</t>
        </is>
      </c>
      <c r="E11" s="61" t="inlineStr">
        <is>
          <t>更新 PRP-BASE99-RADIO-3D 至 v005：顶面偏前侧12边凸起状态灯、600面/1200三角、正式 GLB/源/优化/PackedScene 哈希及正常玩家镜头像素验收证据。</t>
        </is>
      </c>
      <c r="F11" s="61" t="inlineStr">
        <is>
          <t>更新资产主表、3D-道具分页、总览公式、DV和无损基线；既有椅子/梯子行保持不变。模型StatusLight命名误报单独保留，未宣称模型门禁全过。</t>
        </is>
      </c>
      <c r="G11" s="61" t="inlineStr">
        <is>
          <t>Codex</t>
        </is>
      </c>
    </row>
    <row r="12">
      <c r="A12" s="68" t="inlineStr">
        <is>
          <t>v0.1.6</t>
        </is>
      </c>
      <c r="B12" s="68" t="inlineStr">
        <is>
          <t>2026-10-05</t>
        </is>
      </c>
      <c r="C12" s="61" t="inlineStr">
        <is>
          <t>99F阁楼收音机v002低模改造</t>
        </is>
      </c>
      <c r="D12" s="61" t="inlineStr">
        <is>
          <t>道具 / 场景可交互道具</t>
        </is>
      </c>
      <c r="E12" s="61" t="inlineStr">
        <is>
          <t>更新 PRP-BASE99-RADIO-3D 至 v002；598面/1116三角形；保留v001回滚源；稳定Prefab路径与ItemRoot/Visual/StatusLight接口不变。</t>
        </is>
      </c>
      <c r="F12" s="61" t="inlineStr">
        <is>
          <t>同步Prefab版本与GLB SHA；更新规格、源路径、哈希和无损基线；不改脚本、正式场景摆位和音乐逻辑。</t>
        </is>
      </c>
      <c r="G12" s="61" t="inlineStr">
        <is>
          <t>Codex</t>
        </is>
      </c>
    </row>
    <row r="13">
      <c r="A13" s="68" t="inlineStr">
        <is>
          <t>v0.1.7</t>
        </is>
      </c>
      <c r="B13" s="68" t="inlineStr">
        <is>
          <t>2026-10-06</t>
        </is>
      </c>
      <c r="C13" s="61" t="inlineStr">
        <is>
          <t>99F阁楼收音机v003尺寸与材质摆位</t>
        </is>
      </c>
      <c r="D13" s="61" t="inlineStr">
        <is>
          <t>道具 / 场景可交互道具</t>
        </is>
      </c>
      <c r="E13" s="61" t="inlineStr">
        <is>
          <t>更新radio到v003：各轴2倍，598面/1116三角形；深墨绿/铜棕；46号BATTERY柜顶10度斜摆；保留v001/v002。</t>
        </is>
      </c>
      <c r="F13" s="61" t="inlineStr">
        <is>
          <t>稳定路径、off/A/B交互不变；同步碰撞/音源/Tooltip；真实运行时承载与输入验收；更新仅radio指纹和3D-道具摘要。</t>
        </is>
      </c>
      <c r="G13" s="61" t="inlineStr">
        <is>
          <t>WorkBuddy</t>
        </is>
      </c>
    </row>
    <row r="14">
      <c r="A14" s="68" t="inlineStr">
        <is>
          <t>v0.1.8</t>
        </is>
      </c>
      <c r="B14" s="68" t="inlineStr">
        <is>
          <t>2026-10-07</t>
        </is>
      </c>
      <c r="C14" s="61" t="inlineStr">
        <is>
          <t>99F收音机v004铜橙金属与常驻红绿灯</t>
        </is>
      </c>
      <c r="D14" s="61" t="inlineStr">
        <is>
          <t>道具 / decor_prop</t>
        </is>
      </c>
      <c r="E14" s="61" t="inlineStr">
        <is>
          <t>646面/1264三角；替换单根斜伸缩天线；off红、A/B同绿，离楼停止音乐但红灯待机；旧源与摆位不改</t>
        </is>
      </c>
      <c r="F14" s="61" t="inlineStr">
        <is>
          <t>仅更新radio登记指纹、3D-道具摘要；严检UV和真实窗口交互截图通过</t>
        </is>
      </c>
      <c r="G14" s="61" t="inlineStr">
        <is>
          <t>WorkBuddy</t>
        </is>
      </c>
    </row>
    <row r="15">
      <c r="A15" s="68" t="inlineStr">
        <is>
          <t>v0.1.9</t>
        </is>
      </c>
      <c r="B15" s="68" t="inlineStr">
        <is>
          <t>2026-10-07</t>
        </is>
      </c>
      <c r="C15" s="61" t="inlineStr">
        <is>
          <t>99F收音机v005顶面偏前侧凸起状态灯</t>
        </is>
      </c>
      <c r="D15" s="61" t="inlineStr">
        <is>
          <t>道具 / decor_prop</t>
        </is>
      </c>
      <c r="E15" s="61" t="inlineStr">
        <is>
          <t>586面/1156三角；StatusLight替换为直径0.14m、12边低模顶面凸帽；off红、A/B同绿、离楼红待机；音乐与摆位规则不变</t>
        </is>
      </c>
      <c r="F15" s="61" t="inlineStr">
        <is>
          <t>源/优化/GLB/Prefab独立重导；Blender严格结构UV材质通过；Godot真实状态交互通过；正常俯视镜头量化证据已归档</t>
        </is>
      </c>
      <c r="G15" s="61" t="inlineStr">
        <is>
          <t>WorkBuddy</t>
        </is>
      </c>
    </row>
    <row r="16">
      <c r="A16" s="68" t="inlineStr">
        <is>
          <t>v0.1.10</t>
        </is>
      </c>
      <c r="B16" s="68" t="inlineStr">
        <is>
          <t>2026-10-07</t>
        </is>
      </c>
      <c r="C16" s="61" t="inlineStr">
        <is>
          <t>99F收音机v005顶面偏前侧凸起状态灯</t>
        </is>
      </c>
      <c r="D16" s="61" t="inlineStr">
        <is>
          <t>道具 / decor_prop</t>
        </is>
      </c>
      <c r="E16" s="61" t="inlineStr">
        <is>
          <t>586面/1156三角；StatusLight替换为直径0.14m、12边低模顶面凸帽；off红、A/B同绿、离楼红待机；音乐与摆位规则不变</t>
        </is>
      </c>
      <c r="F16" s="61" t="inlineStr">
        <is>
          <t>源/优化/GLB/Prefab独立重导；Blender严格结构UV材质通过；Godot真实状态交互通过；正常俯视镜头量化证据已归档</t>
        </is>
      </c>
      <c r="G16" s="61" t="inlineStr">
        <is>
          <t>WorkBuddy</t>
        </is>
      </c>
    </row>
    <row r="17">
      <c r="A17" s="68" t="inlineStr">
        <is>
          <t>v0.1.11</t>
        </is>
      </c>
      <c r="B17" s="68" t="inlineStr">
        <is>
          <t>2026-10-07</t>
        </is>
      </c>
      <c r="C17" s="61" t="inlineStr">
        <is>
          <t>99F收音机v005顶面偏前侧凸起状态灯</t>
        </is>
      </c>
      <c r="D17" s="61" t="inlineStr">
        <is>
          <t>道具 / decor_prop</t>
        </is>
      </c>
      <c r="E17" s="61" t="inlineStr">
        <is>
          <t>586面/1156三角；StatusLight替换为直径0.14m、12边低模顶面凸帽；off红、A/B同绿、离楼红待机；音乐与摆位规则不变</t>
        </is>
      </c>
      <c r="F17" s="61" t="inlineStr">
        <is>
          <t>源/优化/GLB/Prefab独立重导；Blender严格结构UV材质通过；Godot真实状态交互通过；正常俯视镜头量化证据已归档</t>
        </is>
      </c>
      <c r="G17" s="61" t="inlineStr">
        <is>
          <t>WorkBuddy</t>
        </is>
      </c>
    </row>
    <row r="18">
      <c r="A18" s="68" t="inlineStr">
        <is>
          <t>v0.1.12</t>
        </is>
      </c>
      <c r="B18" s="68" t="inlineStr">
        <is>
          <t>2026-10-07</t>
        </is>
      </c>
      <c r="C18" s="61" t="inlineStr">
        <is>
          <t>99F收音机v005顶面偏前侧凸起状态灯</t>
        </is>
      </c>
      <c r="D18" s="61" t="inlineStr">
        <is>
          <t>道具 / decor_prop</t>
        </is>
      </c>
      <c r="E18" s="61" t="inlineStr">
        <is>
          <t>600面/1200三角；StatusLight替换为直径0.16m、12边低模顶面凸帽；off红、A/B同绿、离楼红待机；近景红绿通过；正常玩家全阁楼远景可辨性未通过</t>
        </is>
      </c>
      <c r="F18" s="61" t="inlineStr">
        <is>
          <t>源/优化/GLB/Prefab独立重导；结构/UV/公共色盘导入契约通过；0.16m同镜头截图已归档；完整交互回归受范围外 CharacterMotionLibrary3D.gd:81 编译错误阻塞；full props存在13条非本次sha mismatch</t>
        </is>
      </c>
      <c r="G18" s="61" t="inlineStr">
        <is>
          <t>WorkBuddy</t>
        </is>
      </c>
    </row>
    <row r="19">
      <c r="A19" s="68" t="inlineStr">
        <is>
          <t>v0.1.13</t>
        </is>
      </c>
      <c r="B19" s="68" t="n">
        <v>46303</v>
      </c>
      <c r="C19" s="61" t="inlineStr">
        <is>
          <t>运行时补丁</t>
        </is>
      </c>
      <c r="D19" s="61" t="inlineStr">
        <is>
          <t>道具 · 资产主表</t>
        </is>
      </c>
      <c r="E19" s="61" t="inlineStr">
        <is>
          <t>PRP-BASE99-RADIO-3D runtime v005.1，模型v005不变；更新Prefab哈希与播放音符附件规格。</t>
        </is>
      </c>
      <c r="F19" s="61" t="inlineStr">
        <is>
          <t>稳定ID/路径不变；主体v005几何与灯帽不变；不改点击或玩法</t>
        </is>
      </c>
      <c r="G19" s="61" t="inlineStr">
        <is>
          <t>CodeBuddy</t>
        </is>
      </c>
    </row>
    <row r="20">
      <c r="A20" s="68" t="inlineStr">
        <is>
          <t>v0.1.14</t>
        </is>
      </c>
      <c r="B20" s="68" t="n">
        <v>46303</v>
      </c>
      <c r="C20" s="61" t="inlineStr">
        <is>
          <t>更新Prefab专表</t>
        </is>
      </c>
      <c r="D20" s="61" t="inlineStr">
        <is>
          <t>道具 · 3D-道具</t>
        </is>
      </c>
      <c r="E20" s="61" t="inlineStr">
        <is>
          <t>收音机runtime v005.1规格与Prefab哈希；源/优化/GLB/灯帽未改。专表独立事务。</t>
        </is>
      </c>
      <c r="F20" s="61" t="inlineStr">
        <is>
          <t>稳定ID/路径不变；主体v005几何与灯帽不变；不改点击或玩法</t>
        </is>
      </c>
      <c r="G20" s="61" t="inlineStr">
        <is>
          <t>CodeBuddy</t>
        </is>
      </c>
    </row>
    <row r="21" ht="64" customHeight="1" s="51">
      <c r="A21" s="68" t="inlineStr">
        <is>
          <t>v0.1.15</t>
        </is>
      </c>
      <c r="B21" s="68" t="inlineStr">
        <is>
          <t>2026-10-08</t>
        </is>
      </c>
      <c r="C21" s="61" t="inlineStr">
        <is>
          <t>三款无肩带背包：register</t>
        </is>
      </c>
      <c r="D21" s="61" t="inlineStr">
        <is>
          <t>道具 / equipment</t>
        </is>
      </c>
      <c r="E21" s="61" t="inlineStr">
        <is>
          <t>ITM-EQUIPMENT-BACKPACK-SMALL-3D,ITM-EQUIPMENT-BACKPACK-MEDIUM-3D,ITM-EQUIPMENT-BACKPACK-LARGE-3D</t>
        </is>
      </c>
      <c r="F21" s="61" t="inlineStr">
        <is>
          <t>仅授权背包；其他资产内容和指纹不变。</t>
        </is>
      </c>
      <c r="G21" s="61" t="inlineStr">
        <is>
          <t>WorkBuddy</t>
        </is>
      </c>
    </row>
    <row r="22" ht="64" customHeight="1" s="51">
      <c r="A22" s="68" t="inlineStr">
        <is>
          <t>v0.1.16</t>
        </is>
      </c>
      <c r="B22" s="68" t="inlineStr">
        <is>
          <t>2026-10-08</t>
        </is>
      </c>
      <c r="C22" s="61" t="inlineStr">
        <is>
          <t>三款无肩带背包：prefab</t>
        </is>
      </c>
      <c r="D22" s="61" t="inlineStr">
        <is>
          <t>道具 / equipment</t>
        </is>
      </c>
      <c r="E22" s="61" t="inlineStr">
        <is>
          <t>ITM-EQUIPMENT-BACKPACK-SMALL-3D,ITM-EQUIPMENT-BACKPACK-MEDIUM-3D,ITM-EQUIPMENT-BACKPACK-LARGE-3D</t>
        </is>
      </c>
      <c r="F22" s="61" t="inlineStr">
        <is>
          <t>仅授权背包；其他资产内容和指纹不变。</t>
        </is>
      </c>
      <c r="G22" s="61" t="inlineStr">
        <is>
          <t>WorkBuddy</t>
        </is>
      </c>
    </row>
    <row r="23">
      <c r="A23" s="68" t="inlineStr">
        <is>
          <t>v0.1.17</t>
        </is>
      </c>
      <c r="B23" s="103" t="n">
        <v>46304</v>
      </c>
      <c r="C23" s="61" t="inlineStr">
        <is>
          <t>99F收音机空间声音v001</t>
        </is>
      </c>
      <c r="D23" s="61" t="inlineStr">
        <is>
          <t>道具 / 场景可交互道具</t>
        </is>
      </c>
      <c r="E23" s="61" t="inlineStr">
        <is>
          <t>PRP-BASE99-RADIO-3D runtime v005.1 增加可量化3D空间声音契约：空间声音契约v001：唯一AudioStreamPlayer3D；Music总线；unit_size=18.0m；max_distance=78.0m；attenuation_model=inverse_square；99F正式边界Rect2(-50,-35,100,80)内source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F23" s="61" t="inlineStr">
        <is>
          <t>仅更新资产主表第27行、3D-道具第8行、域变更日志和baseline；不改模型、摆位、音符表现、音乐控制或唯一AudioStreamPlayer3D结构。新sound test通过；原radio headless鼠标路径与music notes超时按原始日志单独记录。</t>
        </is>
      </c>
      <c r="G23" s="61" t="inlineStr">
        <is>
          <t>CodeBuddy</t>
        </is>
      </c>
    </row>
    <row r="24">
      <c r="A24" s="68" t="inlineStr">
        <is>
          <t>v0.1.18</t>
        </is>
      </c>
      <c r="B24" s="103" t="inlineStr">
        <is>
          <t>2026-10-14</t>
        </is>
      </c>
      <c r="C24" s="61" t="inlineStr">
        <is>
          <t>参考图8件道具：Blender原始源</t>
        </is>
      </c>
      <c r="D24" s="61" t="inlineStr">
        <is>
          <t>道具与武器原始源</t>
        </is>
      </c>
      <c r="E24" s="61" t="inlineStr">
        <is>
          <t>ITM-CONSUMABLE-ITEM-BATTERY-L,ITM-CONSUMABLE-ITEM-BATTERY-S,ITM-CONSUMABLE-ITEM-HEALTH-POTION</t>
        </is>
      </c>
      <c r="F24" s="61" t="inlineStr">
        <is>
          <t>实测尺寸/场景四材质/源已完成；未运行时接入</t>
        </is>
      </c>
      <c r="G24" s="61" t="inlineStr">
        <is>
          <t>Codex</t>
        </is>
      </c>
    </row>
    <row r="25">
      <c r="A25" t="inlineStr">
        <is>
          <t>v0.1.100</t>
        </is>
      </c>
      <c r="B25" t="inlineStr">
        <is>
          <t>2026-10-14</t>
        </is>
      </c>
      <c r="C25" t="inlineStr">
        <is>
          <t>物品道具双模型源</t>
        </is>
      </c>
      <c r="D25" t="inlineStr">
        <is>
          <t>preview / ground</t>
        </is>
      </c>
      <c r="E25" t="inlineStr">
        <is>
          <t>现有高模保留；地面100–200三角面</t>
        </is>
      </c>
      <c r="F25" t="inlineStr">
        <is>
          <t>源已完成；运行时用途选择未接入</t>
        </is>
      </c>
      <c r="G25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2026-09-18T02:30:02Z</dcterms:created>
  <dcterms:modified xmlns:dcterms="http://purl.org/dc/terms/" xmlns:xsi="http://www.w3.org/2001/XMLSchema-instance" xsi:type="dcterms:W3CDTF">2026-10-14T04:06:17Z</dcterms:modified>
  <cp:revision>0</cp:revision>
</cp:coreProperties>
</file>