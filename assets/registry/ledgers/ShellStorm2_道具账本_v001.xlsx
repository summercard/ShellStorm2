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'资产主表'!$A$5:$Y$34</definedName>
    <definedName name="_xlnm._FilterDatabase" localSheetId="3" hidden="1">'3D-道具'!$A$4:$P$8</definedName>
    <definedName name="_xlnm._FilterDatabase" localSheetId="4" hidden="1">'3D-物品'!$A$4:$P$10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COUNTA('资产主表'!$A$6:$A$34)</f>
        <v/>
      </c>
      <c r="B6" s="54" t="n"/>
      <c r="C6" s="56">
        <f>COUNTIF('资产主表'!$K$6:$K$34,"已完成")+COUNTIF('资产主表'!$K$6:$K$34,"原型已接入")+COUNTIF('资产主表'!$K$6:$K$34,"正式美术已接入")+COUNTIF('资产主表'!$K$6:$K$34,"已优化并正式接入")+COUNTIF('资产主表'!$K$6:$K$34,"Blender源已完成")+COUNTIF('资产主表'!$K$6:$K$34,"已导入；优化完成")+COUNTIF('资产主表'!$K$6:$K$34,"白模源已完成；QA PASS")</f>
        <v/>
      </c>
      <c r="D6" s="54" t="n"/>
      <c r="E6" s="56">
        <f>COUNTIF('资产主表'!$K$6:$K$34,"待制作")+COUNTIF('资产主表'!$K$6:$K$34,"程序占位")</f>
        <v/>
      </c>
      <c r="F6" s="54" t="n"/>
      <c r="G6" s="56">
        <f>COUNTIF('资产主表'!$S$6:$S$34,"重复")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COUNTIF('资产主表'!$C$6:$C$34,A10)</f>
        <v/>
      </c>
      <c r="C10" s="61">
        <f>SUMPRODUCT(('资产主表'!$C$6:$C$34=A10)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COUNTIF('资产主表'!$C$6:$C$34,A11)</f>
        <v/>
      </c>
      <c r="C11" s="57">
        <f>SUMPRODUCT(('资产主表'!$C$6:$C$34=A11)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IF(COUNTIF($R$6:$R$34,R6)&gt;1,"重复","唯一")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IF(COUNTIF($R$6:$R$34,R7)&gt;1,"重复","唯一")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IF(COUNTIF($R$6:$R$34,R8)&gt;1,"重复","唯一")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IF(COUNTIF($R$6:$R$34,R9)&gt;1,"重复","唯一")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IF(COUNTIF($R$6:$R$34,R10)&gt;1,"重复","唯一")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IF(COUNTIF($R$6:$R$34,R11)&gt;1,"重复","唯一")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../ShellStorm2-backup/2026-10-11_slimming/original_tree/art_source/props/base_world_3d/source/mission_operations/prp_base_mission_operations_source_v003.blend;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IF(COUNTIF($R$6:$R$34,R12)&gt;1,"重复","唯一")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../ShellStorm2-backup/2026-10-11_slimming/original_tree/art_source/props/base_world_3d/source/weapon_workshop/prp_base_weapon_workshop_source_v003.blend;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IF(COUNTIF($R$6:$R$34,R13)&gt;1,"重复","唯一")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IF(COUNTIF($R$6:$R$34,R14)&gt;1,"重复","唯一")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../ShellStorm2-backup/2026-10-11_slimming/original_tree/art_source/props/base_world_3d/source/vending_machine/prp_base_vending_machine_source_v001.blend;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IF(COUNTIF($R$6:$R$34,R15)&gt;1,"重复","唯一")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art_source/props/base_world_3d/source/locker_station/prp_base_locker_station_source_v004.blend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IF(COUNTIF($R$6:$R$34,R16)&gt;1,"重复","唯一")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art_source/props/base_world_3d/source/retro_tv_station/prp_base_retro_tv_station_source_v004.blend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IF(COUNTIF($R$6:$R$34,R17)&gt;1,"重复","唯一")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art_source/props/base_world_3d/source/workshop_stool/prp_base_workshop_stool_source_v004.blend;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IF(COUNTIF($R$6:$R$34,R18)&gt;1,"重复","唯一")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art_source/props/base_world_3d/source/mission_command_chair/prp_base_mission_command_chair_source_v004.blend;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IF(COUNTIF($R$6:$R$34,R19)&gt;1,"重复","唯一")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IF(COUNTIF($R$6:$R$34,R20)&gt;1,"重复","唯一")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IF(COUNTIF($R$6:$R$34,R21)&gt;1,"重复","唯一")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IF(COUNTIF($R$6:$R$34,R22)&gt;1,"重复","唯一")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IF(COUNTIF($R$6:$R$34,R23)&gt;1,"重复","唯一")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IF(COUNTIF($R$6:$R$34,R24)&gt;1,"重复","唯一")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IF(COUNTIF($R$6:$R$34,R25)&gt;1,"重复","唯一")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art_source/props/base_world_3d/source/base99_telescopic_ladder/prp_base99_telescopic_ladder_source_v002.blend;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IF(COUNTIF($R$6:$R$34,R26)&gt;1,"重复","唯一")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art_source/props/base_world_3d/source/base99_radio/prp_base99_radio_source_v005.blend; art_source/props/base_world_3d/source/base99_radio/export/v005/prp_base99_radio_optimized_v005.blend;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IF(COUNTIF($R$6:$R$34,R27)&gt;1,"重复","唯一")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IF(COUNTIF($R$6:$R$34,R28)&gt;1,"重复","唯一")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IF(COUNTIF($R$6:$R$34,R29)&gt;1,"重复","唯一")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IF(COUNTIF($R$6:$R$34,R30)&gt;1,"重复","唯一")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31" ht="90" customHeight="1" s="51">
      <c r="A31" s="75" t="inlineStr">
        <is>
          <t>ITM-CONSUMABLE-ITEM-BATTERY-L</t>
        </is>
      </c>
      <c r="B31" s="62" t="inlineStr">
        <is>
          <t>大型电池</t>
        </is>
      </c>
      <c r="C31" s="62" t="inlineStr">
        <is>
          <t>道具</t>
        </is>
      </c>
      <c r="D31" s="75" t="inlineStr">
        <is>
          <t>consumable</t>
        </is>
      </c>
      <c r="E31" s="75" t="inlineStr">
        <is>
          <t>item_battery_l</t>
        </is>
      </c>
      <c r="F31" s="75" t="inlineStr">
        <is>
          <t>root</t>
        </is>
      </c>
      <c r="G31" s="62" t="n"/>
      <c r="H31" s="62" t="inlineStr">
        <is>
          <t>底面中心原点；Blender +Z向上，正面-Y；Godot +Y向上、正面+Z</t>
        </is>
      </c>
      <c r="I31" s="75" t="inlineStr">
        <is>
          <t>tier_0_static</t>
        </is>
      </c>
      <c r="J31" s="62" t="inlineStr">
        <is>
          <t>ground地面简模已接线；preview高模待导入；枪上装配保持原表现</t>
        </is>
      </c>
      <c r="K31" s="62" t="inlineStr">
        <is>
          <t>exported_pending_godot_validation</t>
        </is>
      </c>
      <c r="L31" s="75" t="inlineStr">
        <is>
          <t>P1</t>
        </is>
      </c>
      <c r="M31" s="75" t="inlineStr">
        <is>
          <t>v001</t>
        </is>
      </c>
      <c r="N31" s="62" t="inlineStr">
        <is>
          <t>0.4523×0.3325×0.6600m；单位米；根缩放1；场景四材质/公共色盘/PaletteUV；实测快照见asset_contract.json；preview高模；ground 168三角面（100–200预算）</t>
        </is>
      </c>
      <c r="O31" s="62" t="inlineStr">
        <is>
          <t>assets/art/items_weapons/props/battery_large/runtime/itm_battery_large_ground_root_top3d.tscn</t>
        </is>
      </c>
      <c r="P31" s="75" t="inlineStr">
        <is>
          <t>src/world3d/ItemModelFactory3D.gd; src/world3d/GroundLootPickup3D.gd; docs/v0.1/design/物品道具双模型制作规范.md</t>
        </is>
      </c>
      <c r="Q31" s="62" t="inlineStr">
        <is>
          <t>item_battery_l;大型电池</t>
        </is>
      </c>
      <c r="R31" s="62">
        <f>LOWER(TRIM(C31)&amp;"|"&amp;TRIM(D31)&amp;"|"&amp;TRIM(E31)&amp;"|"&amp;TRIM(F31)&amp;"|"&amp;TRIM(H31)&amp;"|"&amp;TRIM(I31))</f>
        <v/>
      </c>
      <c r="S31" s="62">
        <f>IF(COUNTIF($R$6:$R$34,R31)&gt;1,"重复","唯一")</f>
        <v/>
      </c>
      <c r="T31" s="62" t="inlineStr">
        <is>
          <t>9a96e40eb5695a5c312cb72cd42c2ac18eb1e23c10cd6ea9161c8559caad564c</t>
        </is>
      </c>
      <c r="U31" s="62" t="inlineStr">
        <is>
          <t>Codex</t>
        </is>
      </c>
      <c r="V31" s="76" t="n">
        <v>46309</v>
      </c>
      <c r="W31" s="62" t="inlineStr">
        <is>
          <t>用户提供参考图重建；项目公共色盘</t>
        </is>
      </c>
      <c r="X31" s="77" t="inlineStr">
        <is>
          <t>ITM_大型电池_中文资产管理</t>
        </is>
      </c>
      <c r="Y31" s="62" t="inlineStr">
        <is>
          <t>ground=168三角；GLB=assets/art/items_weapons/props/battery_large/components/itm_battery_large_ground_visual_top3d.glb；ground源=art_source/items_weapons/props/battery_large/source/itm_battery_large_ground_source_v001.blend SHA256=63560237834283a742563891778e69b2d634c66c08b47ce7db99bba1313eaa3d；preview源=art_source/items_weapons/props/battery_large/source/itm_battery_large_source_v001.blend SHA256=7157aee1841ef81347a0d5b94a56e380366545b9a3aed0df5470e814eaa7b075；源不变；资源已导入且地面入口已接线，运行/视觉验收未执行，未签署正式可用。；2026-10-14地面显示倍率1.30（最终0.6552），图标倍率不变。</t>
        </is>
      </c>
    </row>
    <row r="32" ht="90" customHeight="1" s="51">
      <c r="A32" s="75" t="inlineStr">
        <is>
          <t>ITM-CONSUMABLE-ITEM-BATTERY-S</t>
        </is>
      </c>
      <c r="B32" s="62" t="inlineStr">
        <is>
          <t>小型电池</t>
        </is>
      </c>
      <c r="C32" s="62" t="inlineStr">
        <is>
          <t>道具</t>
        </is>
      </c>
      <c r="D32" s="75" t="inlineStr">
        <is>
          <t>consumable</t>
        </is>
      </c>
      <c r="E32" s="75" t="inlineStr">
        <is>
          <t>item_battery_s</t>
        </is>
      </c>
      <c r="F32" s="75" t="inlineStr">
        <is>
          <t>root</t>
        </is>
      </c>
      <c r="G32" s="62" t="n"/>
      <c r="H32" s="62" t="inlineStr">
        <is>
          <t>底面中心原点；Blender +Z向上，正面-Y；Godot +Y向上、正面+Z</t>
        </is>
      </c>
      <c r="I32" s="75" t="inlineStr">
        <is>
          <t>tier_0_static</t>
        </is>
      </c>
      <c r="J32" s="62" t="inlineStr">
        <is>
          <t>ground地面简模已接线；preview高模待导入；枪上装配保持原表现</t>
        </is>
      </c>
      <c r="K32" s="62" t="inlineStr">
        <is>
          <t>exported_pending_godot_validation</t>
        </is>
      </c>
      <c r="L32" s="75" t="inlineStr">
        <is>
          <t>P1</t>
        </is>
      </c>
      <c r="M32" s="75" t="inlineStr">
        <is>
          <t>v001</t>
        </is>
      </c>
      <c r="N32" s="62" t="inlineStr">
        <is>
          <t>0.3111×0.3111×0.6600m；单位米；根缩放1；场景四材质/公共色盘/PaletteUV；实测快照见asset_contract.json；preview高模；ground 120三角面（100–200预算）</t>
        </is>
      </c>
      <c r="O32" s="62" t="inlineStr">
        <is>
          <t>assets/art/items_weapons/props/battery_small/runtime/itm_battery_small_ground_root_top3d.tscn</t>
        </is>
      </c>
      <c r="P32" s="75" t="inlineStr">
        <is>
          <t>src/world3d/ItemModelFactory3D.gd; src/world3d/GroundLootPickup3D.gd; docs/v0.1/design/物品道具双模型制作规范.md</t>
        </is>
      </c>
      <c r="Q32" s="62" t="inlineStr">
        <is>
          <t>item_battery_s;小型电池</t>
        </is>
      </c>
      <c r="R32" s="62">
        <f>LOWER(TRIM(C32)&amp;"|"&amp;TRIM(D32)&amp;"|"&amp;TRIM(E32)&amp;"|"&amp;TRIM(F32)&amp;"|"&amp;TRIM(H32)&amp;"|"&amp;TRIM(I32))</f>
        <v/>
      </c>
      <c r="S32" s="62">
        <f>IF(COUNTIF($R$6:$R$34,R32)&gt;1,"重复","唯一")</f>
        <v/>
      </c>
      <c r="T32" s="62" t="inlineStr">
        <is>
          <t>609cb7a4a4f47ef8d813a16c2b443a954f1db5bd47a49bbbdb620bc4bad34035</t>
        </is>
      </c>
      <c r="U32" s="62" t="inlineStr">
        <is>
          <t>Codex</t>
        </is>
      </c>
      <c r="V32" s="76" t="n">
        <v>46309</v>
      </c>
      <c r="W32" s="62" t="inlineStr">
        <is>
          <t>用户提供参考图重建；项目公共色盘</t>
        </is>
      </c>
      <c r="X32" s="77" t="inlineStr">
        <is>
          <t>ITM_小型电池_中文资产管理</t>
        </is>
      </c>
      <c r="Y32" s="62" t="inlineStr">
        <is>
          <t>ground=120三角；GLB=assets/art/items_weapons/props/battery_small/components/itm_battery_small_ground_visual_top3d.glb；ground源=art_source/items_weapons/props/battery_small/source/itm_battery_small_ground_source_v001.blend SHA256=e7d916bff0cf1d2cab60d49595b38d8f22a5cf9f0d033d71b4e3fa053944f762；preview源=art_source/items_weapons/props/battery_small/source/itm_battery_small_source_v001.blend SHA256=85017af7760230fd9dd0b796bdd15ae3c3eb91dc8e5d977eb307ba32676e8a54；源不变；资源已导入且地面入口已接线，运行/视觉验收未执行，未签署正式可用。</t>
        </is>
      </c>
    </row>
    <row r="33" ht="90" customHeight="1" s="51">
      <c r="A33" s="75" t="inlineStr">
        <is>
          <t>ITM-CONSUMABLE-ITEM-HEALTH-POTION</t>
        </is>
      </c>
      <c r="B33" s="62" t="inlineStr">
        <is>
          <t>治疗药水</t>
        </is>
      </c>
      <c r="C33" s="62" t="inlineStr">
        <is>
          <t>道具</t>
        </is>
      </c>
      <c r="D33" s="75" t="inlineStr">
        <is>
          <t>consumable</t>
        </is>
      </c>
      <c r="E33" s="75" t="inlineStr">
        <is>
          <t>item_health_potion</t>
        </is>
      </c>
      <c r="F33" s="75" t="inlineStr">
        <is>
          <t>root</t>
        </is>
      </c>
      <c r="G33" s="62" t="n"/>
      <c r="H33" s="62" t="inlineStr">
        <is>
          <t>底面中心原点；Blender +Z向上，正面-Y；Godot +Y向上、正面+Z</t>
        </is>
      </c>
      <c r="I33" s="75" t="inlineStr">
        <is>
          <t>tier_0_static</t>
        </is>
      </c>
      <c r="J33" s="62" t="inlineStr">
        <is>
          <t>ground地面简模已接线；preview高模待导入；枪上装配保持原表现</t>
        </is>
      </c>
      <c r="K33" s="62" t="inlineStr">
        <is>
          <t>exported_pending_godot_validation</t>
        </is>
      </c>
      <c r="L33" s="75" t="inlineStr">
        <is>
          <t>P1</t>
        </is>
      </c>
      <c r="M33" s="75" t="inlineStr">
        <is>
          <t>v001</t>
        </is>
      </c>
      <c r="N33" s="62" t="inlineStr">
        <is>
          <t>0.6731×0.6835×0.8200m；单位米；根缩放1；场景四材质/公共色盘/PaletteUV；实测快照见asset_contract.json；preview高模；ground 178三角面（100–200预算）</t>
        </is>
      </c>
      <c r="O33" s="62" t="inlineStr">
        <is>
          <t>assets/art/items_weapons/props/health_potion/runtime/itm_health_potion_ground_root_top3d.tscn</t>
        </is>
      </c>
      <c r="P33" s="75" t="inlineStr">
        <is>
          <t>src/world3d/ItemModelFactory3D.gd; src/world3d/GroundLootPickup3D.gd; docs/v0.1/design/物品道具双模型制作规范.md</t>
        </is>
      </c>
      <c r="Q33" s="62" t="inlineStr">
        <is>
          <t>item_health_potion;治疗药水</t>
        </is>
      </c>
      <c r="R33" s="62">
        <f>LOWER(TRIM(C33)&amp;"|"&amp;TRIM(D33)&amp;"|"&amp;TRIM(E33)&amp;"|"&amp;TRIM(F33)&amp;"|"&amp;TRIM(H33)&amp;"|"&amp;TRIM(I33))</f>
        <v/>
      </c>
      <c r="S33" s="62">
        <f>IF(COUNTIF($R$6:$R$34,R33)&gt;1,"重复","唯一")</f>
        <v/>
      </c>
      <c r="T33" s="62" t="inlineStr">
        <is>
          <t>06f757f960b93bce2fd157edd102790a15d45f06819b9d922dc1545a9ceb8e7a</t>
        </is>
      </c>
      <c r="U33" s="62" t="inlineStr">
        <is>
          <t>Codex</t>
        </is>
      </c>
      <c r="V33" s="76" t="n">
        <v>46309</v>
      </c>
      <c r="W33" s="62" t="inlineStr">
        <is>
          <t>用户提供参考图重建；项目公共色盘</t>
        </is>
      </c>
      <c r="X33" s="77" t="inlineStr">
        <is>
          <t>ITM_治疗药水_中文资产管理</t>
        </is>
      </c>
      <c r="Y33" s="62" t="inlineStr">
        <is>
          <t>ground=178三角；GLB=assets/art/items_weapons/props/health_potion/components/itm_health_potion_ground_visual_top3d.glb；ground源=art_source/items_weapons/props/health_potion/source/itm_health_potion_ground_source_v001.blend SHA256=509273cbee4ddeef75c0f51dba3e224ed93fb0e66f52970e97ec5e23dd6647f0；preview源=art_source/items_weapons/props/health_potion/source/itm_health_potion_source_v001.blend SHA256=6d1d848e4cc37d91fc99d0609db46763ef916458e2a418aa621befb07781d5bb；源不变；资源已导入且地面入口已接线，运行/视觉验收未执行，未签署正式可用。；2026-10-14地面显示倍率1.30（最终0.6552），图标倍率不变。</t>
        </is>
      </c>
    </row>
    <row r="34">
      <c r="A34" s="75" t="inlineStr">
        <is>
          <t>ITM-CONSUMABLE-ITEM-AMMO-PACK</t>
        </is>
      </c>
      <c r="B34" s="62" t="inlineStr">
        <is>
          <t>通用弹药</t>
        </is>
      </c>
      <c r="C34" s="62" t="inlineStr">
        <is>
          <t>道具</t>
        </is>
      </c>
      <c r="D34" s="75" t="inlineStr">
        <is>
          <t>consumable</t>
        </is>
      </c>
      <c r="E34" s="75" t="inlineStr">
        <is>
          <t>item_ammo_pack</t>
        </is>
      </c>
      <c r="F34" s="75" t="inlineStr">
        <is>
          <t>root</t>
        </is>
      </c>
      <c r="G34" s="62" t="n"/>
      <c r="H34" s="62" t="inlineStr">
        <is>
          <t>底面中心原点；Blender +Z向上，正面-Y；Godot +Y向上、正面+Z</t>
        </is>
      </c>
      <c r="I34" s="75" t="inlineStr">
        <is>
          <t>tier_0_static</t>
        </is>
      </c>
      <c r="J34" s="62" t="inlineStr">
        <is>
          <t>通用弹药地面与背包图标共用；倾斜45度旋转</t>
        </is>
      </c>
      <c r="K34" s="62" t="inlineStr">
        <is>
          <t>exported_pending_godot_validation</t>
        </is>
      </c>
      <c r="L34" s="75" t="inlineStr">
        <is>
          <t>P1</t>
        </is>
      </c>
      <c r="M34" s="75" t="inlineStr">
        <is>
          <t>v001</t>
        </is>
      </c>
      <c r="N34" s="62" t="inlineStr">
        <is>
          <t>0.3760×0.3760×0.9400m；单位米；根缩放1；场景四材质/公共色盘/PaletteUV；实测快照见asset_contract.json；preview高模；ground 176三角面（100–200预算）</t>
        </is>
      </c>
      <c r="O34" s="62" t="inlineStr">
        <is>
          <t>assets/art/items_weapons/weapons/bullet_standard/runtime/wpn_bullet_standard_ground_root_top3d.tscn</t>
        </is>
      </c>
      <c r="P34" s="75" t="inlineStr">
        <is>
          <t>src/world3d/ItemModelFactory3D.gd; src/world3d/GroundLootPickup3D.gd; docs/v0.1/design/物品道具双模型制作规范.md</t>
        </is>
      </c>
      <c r="Q34" s="62" t="inlineStr">
        <is>
          <t>item_ammo_pack;通用弹药</t>
        </is>
      </c>
      <c r="R34" s="62">
        <f>LOWER(TRIM(C34)&amp;"|"&amp;TRIM(D34)&amp;"|"&amp;TRIM(E34)&amp;"|"&amp;TRIM(F34)&amp;"|"&amp;TRIM(H34)&amp;"|"&amp;TRIM(I34))</f>
        <v/>
      </c>
      <c r="S34" s="62">
        <f>IF(COUNTIF($R$6:$R$34,R34)&gt;1,"重复","唯一")</f>
        <v/>
      </c>
      <c r="T34" s="62" t="inlineStr">
        <is>
          <t>0ad392c1dec49e5fb0d4d40debc651c85a0ba7580fdd750285ff2a3ff5b186f8</t>
        </is>
      </c>
      <c r="U34" s="62" t="inlineStr">
        <is>
          <t>Codex</t>
        </is>
      </c>
      <c r="V34" s="76" t="n">
        <v>46309</v>
      </c>
      <c r="W34" s="62" t="inlineStr">
        <is>
          <t>用户提供参考图重建；项目公共色盘</t>
        </is>
      </c>
      <c r="X34" s="77" t="inlineStr">
        <is>
          <t>WPN_标准子弹模块_中文资产管理</t>
        </is>
      </c>
      <c r="Y34" s="62" t="inlineStr">
        <is>
          <t>通用弹药：黄色弹壳；地面/图标共用；preview源SHA256=a1302b8182d523834dc0af9741eb687044489f66cafa0cfbcbf79d1de1d565d3；ground源SHA256=3d7baf9637ba5bc14982366f0663af93102512c4c04335b77104983208c3f88c；原尺寸与176三角预算保持。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4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4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4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../ShellStorm2-backup/2026-10-11_slimming/original_tree/art_source/props/base_world_3d/source/mission_command_chair/prp_base_mission_command_chair_source_v001.blend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../ShellStorm2-backup/2026-10-11_slimming/original_tree/art_source/props/base_world_3d/source/workshop_stool/prp_base_workshop_stool_source_v001.blend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art_source/props/base_world_3d/source/base99_radio/prp_base99_radio_source_v005.blend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一行一个独立PackedScene；地面模型使用ground角色，状态以各行记录为准。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art_source/items_weapons/props/backpack_small/source/prp_backpack_small_source_v001.blend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art_source/items_weapons/props/backpack_medium/source/prp_backpack_medium_source_v001.blend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art_source/items_weapons/props/backpack_large/source/prp_backpack_large_source_v001.blend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  <row r="8">
      <c r="A8" s="86" t="inlineStr">
        <is>
          <t>ITM-CONSUMABLE-ITEM-BATTERY-L</t>
        </is>
      </c>
      <c r="B8" s="87" t="inlineStr">
        <is>
          <t>大型电池（地面）</t>
        </is>
      </c>
      <c r="C8" s="88" t="inlineStr">
        <is>
          <t>assets/art/items_weapons/props/battery_large/runtime/itm_battery_large_ground_root_top3d.tscn</t>
        </is>
      </c>
      <c r="D8" s="88" t="inlineStr">
        <is>
          <t>assets/art/items_weapons/props/battery_large/components/itm_battery_large_ground_visual_top3d.glb</t>
        </is>
      </c>
      <c r="E8" s="88" t="inlineStr">
        <is>
          <t>art_source/items_weapons/props/battery_large/source/itm_battery_large_ground_source_v001.blend</t>
        </is>
      </c>
      <c r="F8" s="87" t="inlineStr">
        <is>
          <t>仅ground视觉；同一物品身份，外部负责拾取/弹跳/收集</t>
        </is>
      </c>
      <c r="G8" s="87" t="inlineStr">
        <is>
          <t>src/world3d/ItemModelFactory3D.gd; src/world3d/GroundLootPickup3D.gd</t>
        </is>
      </c>
      <c r="H8" s="87" t="inlineStr">
        <is>
          <t>Prefab无；外部拾取触发</t>
        </is>
      </c>
      <c r="I8" s="87" t="inlineStr">
        <is>
          <t>GroundLootPickup3D</t>
        </is>
      </c>
      <c r="J8" s="87" t="inlineStr">
        <is>
          <t>外部SphereShape3D；无实体阻挡</t>
        </is>
      </c>
      <c r="K8" s="87" t="inlineStr">
        <is>
          <t>0.45228×0.332524×0.66m；168三角；外部倍率0.504</t>
        </is>
      </c>
      <c r="L8" s="87" t="inlineStr">
        <is>
          <t>底面中心原点；Blender +Z向上，正面-Y；Godot +Y向上、正面+Z</t>
        </is>
      </c>
      <c r="M8" s="87" t="inlineStr">
        <is>
          <t>世界地面掉落/拾取；非背包预览与枪上装配</t>
        </is>
      </c>
      <c r="N8" s="87" t="inlineStr">
        <is>
          <t>exported_pending_godot_validation</t>
        </is>
      </c>
      <c r="O8" s="87" t="inlineStr">
        <is>
          <t>v001</t>
        </is>
      </c>
      <c r="P8" s="89" t="inlineStr">
        <is>
          <t>源保持；公共场景色盘；资源导入完成，未执行运行/视觉验收；地面倍率1.30，最终0.6552</t>
        </is>
      </c>
    </row>
    <row r="9">
      <c r="A9" s="86" t="inlineStr">
        <is>
          <t>ITM-CONSUMABLE-ITEM-BATTERY-S</t>
        </is>
      </c>
      <c r="B9" s="87" t="inlineStr">
        <is>
          <t>小型电池（地面）</t>
        </is>
      </c>
      <c r="C9" s="88" t="inlineStr">
        <is>
          <t>assets/art/items_weapons/props/battery_small/runtime/itm_battery_small_ground_root_top3d.tscn</t>
        </is>
      </c>
      <c r="D9" s="88" t="inlineStr">
        <is>
          <t>assets/art/items_weapons/props/battery_small/components/itm_battery_small_ground_visual_top3d.glb</t>
        </is>
      </c>
      <c r="E9" s="88" t="inlineStr">
        <is>
          <t>art_source/items_weapons/props/battery_small/source/itm_battery_small_ground_source_v001.blend</t>
        </is>
      </c>
      <c r="F9" s="87" t="inlineStr">
        <is>
          <t>仅ground视觉；同一物品身份，外部负责拾取/弹跳/收集</t>
        </is>
      </c>
      <c r="G9" s="87" t="inlineStr">
        <is>
          <t>src/world3d/ItemModelFactory3D.gd; src/world3d/GroundLootPickup3D.gd</t>
        </is>
      </c>
      <c r="H9" s="87" t="inlineStr">
        <is>
          <t>Prefab无；外部拾取触发</t>
        </is>
      </c>
      <c r="I9" s="87" t="inlineStr">
        <is>
          <t>GroundLootPickup3D</t>
        </is>
      </c>
      <c r="J9" s="87" t="inlineStr">
        <is>
          <t>外部SphereShape3D；无实体阻挡</t>
        </is>
      </c>
      <c r="K9" s="87" t="inlineStr">
        <is>
          <t>0.311111×0.311111×0.66m；120三角；外部倍率0.504</t>
        </is>
      </c>
      <c r="L9" s="87" t="inlineStr">
        <is>
          <t>底面中心原点；Blender +Z向上，正面-Y；Godot +Y向上、正面+Z</t>
        </is>
      </c>
      <c r="M9" s="87" t="inlineStr">
        <is>
          <t>世界地面掉落/拾取；非背包预览与枪上装配</t>
        </is>
      </c>
      <c r="N9" s="87" t="inlineStr">
        <is>
          <t>exported_pending_godot_validation</t>
        </is>
      </c>
      <c r="O9" s="87" t="inlineStr">
        <is>
          <t>v001</t>
        </is>
      </c>
      <c r="P9" s="89" t="inlineStr">
        <is>
          <t>源保持；公共场景色盘；资源导入完成，未执行运行/视觉验收</t>
        </is>
      </c>
    </row>
    <row r="10">
      <c r="A10" s="86" t="inlineStr">
        <is>
          <t>ITM-CONSUMABLE-ITEM-HEALTH-POTION</t>
        </is>
      </c>
      <c r="B10" s="87" t="inlineStr">
        <is>
          <t>治疗药水（地面）</t>
        </is>
      </c>
      <c r="C10" s="88" t="inlineStr">
        <is>
          <t>assets/art/items_weapons/props/health_potion/runtime/itm_health_potion_ground_root_top3d.tscn</t>
        </is>
      </c>
      <c r="D10" s="88" t="inlineStr">
        <is>
          <t>assets/art/items_weapons/props/health_potion/components/itm_health_potion_ground_visual_top3d.glb</t>
        </is>
      </c>
      <c r="E10" s="88" t="inlineStr">
        <is>
          <t>art_source/items_weapons/props/health_potion/source/itm_health_potion_ground_source_v001.blend</t>
        </is>
      </c>
      <c r="F10" s="87" t="inlineStr">
        <is>
          <t>仅ground视觉；同一物品身份，外部负责拾取/弹跳/收集</t>
        </is>
      </c>
      <c r="G10" s="87" t="inlineStr">
        <is>
          <t>src/world3d/ItemModelFactory3D.gd; src/world3d/GroundLootPickup3D.gd</t>
        </is>
      </c>
      <c r="H10" s="87" t="inlineStr">
        <is>
          <t>Prefab无；外部拾取触发</t>
        </is>
      </c>
      <c r="I10" s="87" t="inlineStr">
        <is>
          <t>GroundLootPickup3D</t>
        </is>
      </c>
      <c r="J10" s="87" t="inlineStr">
        <is>
          <t>外部SphereShape3D；无实体阻挡</t>
        </is>
      </c>
      <c r="K10" s="87" t="inlineStr">
        <is>
          <t>0.673088×0.683507×0.82m；178三角；外部倍率0.504</t>
        </is>
      </c>
      <c r="L10" s="87" t="inlineStr">
        <is>
          <t>底面中心原点；Blender +Z向上，正面-Y；Godot +Y向上、正面+Z</t>
        </is>
      </c>
      <c r="M10" s="87" t="inlineStr">
        <is>
          <t>世界地面掉落/拾取；非背包预览与枪上装配</t>
        </is>
      </c>
      <c r="N10" s="87" t="inlineStr">
        <is>
          <t>exported_pending_godot_validation</t>
        </is>
      </c>
      <c r="O10" s="87" t="inlineStr">
        <is>
          <t>v001</t>
        </is>
      </c>
      <c r="P10" s="89" t="inlineStr">
        <is>
          <t>源保持；公共场景色盘；资源导入完成，未执行运行/视觉验收；地面倍率1.30，最终0.6552</t>
        </is>
      </c>
    </row>
    <row r="11">
      <c r="A11" s="50" t="inlineStr">
        <is>
          <t>ITM-CONSUMABLE-ITEM-AMMO-PACK</t>
        </is>
      </c>
      <c r="B11" s="50" t="inlineStr">
        <is>
          <t>通用弹药（地面/图标）</t>
        </is>
      </c>
      <c r="C11" s="50" t="inlineStr">
        <is>
          <t>assets/art/items_weapons/weapons/bullet_standard/runtime/wpn_bullet_standard_ground_root_top3d.tscn</t>
        </is>
      </c>
      <c r="D11" s="50" t="inlineStr">
        <is>
          <t>assets/art/items_weapons/weapons/bullet_standard/components/wpn_bullet_standard_ground_visual_top3d.glb</t>
        </is>
      </c>
      <c r="E11" s="50" t="inlineStr">
        <is>
          <t>art_source/items_weapons/weapons/bullet_standard/source/wpn_bullet_standard_ground_source_v001.blend</t>
        </is>
      </c>
      <c r="F11" s="50" t="inlineStr">
        <is>
          <t>仅ground视觉；同一物品身份，外部负责拾取/弹跳/收集</t>
        </is>
      </c>
      <c r="G11" s="50" t="inlineStr">
        <is>
          <t>src/world3d/ItemModelFactory3D.gd; src/world3d/GroundLootPickup3D.gd</t>
        </is>
      </c>
      <c r="H11" s="50" t="inlineStr">
        <is>
          <t>Prefab无；外部拾取触发</t>
        </is>
      </c>
      <c r="I11" s="50" t="inlineStr">
        <is>
          <t>GroundLootPickup3D</t>
        </is>
      </c>
      <c r="J11" s="50" t="inlineStr">
        <is>
          <t>外部SphereShape3D；无实体阻挡</t>
        </is>
      </c>
      <c r="K11" s="50" t="inlineStr">
        <is>
          <t>0.376×0.376×0.94m；176三角；外部倍率0.504</t>
        </is>
      </c>
      <c r="L11" s="50" t="inlineStr">
        <is>
          <t>底面中心原点；Blender +Z向上，正面-Y；Godot +Y向上、正面+Z</t>
        </is>
      </c>
      <c r="M11" s="50" t="inlineStr">
        <is>
          <t>地面与背包/商店图标</t>
        </is>
      </c>
      <c r="N11" s="50" t="inlineStr">
        <is>
          <t>exported_pending_godot_validation</t>
        </is>
      </c>
      <c r="O11" s="50" t="inlineStr">
        <is>
          <t>v001</t>
        </is>
      </c>
      <c r="P11" s="50" t="inlineStr">
        <is>
          <t>黄色弹壳；地面与图标共享；45度倾斜</t>
        </is>
      </c>
    </row>
  </sheetData>
  <autoFilter ref="A4:P10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  <row r="24">
      <c r="A24" s="68" t="inlineStr">
        <is>
          <t>v0.1.18</t>
        </is>
      </c>
      <c r="B24" s="103" t="inlineStr">
        <is>
          <t>2026-10-14</t>
        </is>
      </c>
      <c r="C24" s="61" t="inlineStr">
        <is>
          <t>参考图8件道具：Blender原始源</t>
        </is>
      </c>
      <c r="D24" s="61" t="inlineStr">
        <is>
          <t>道具与武器原始源</t>
        </is>
      </c>
      <c r="E24" s="61" t="inlineStr">
        <is>
          <t>ITM-CONSUMABLE-ITEM-BATTERY-L,ITM-CONSUMABLE-ITEM-BATTERY-S,ITM-CONSUMABLE-ITEM-HEALTH-POTION</t>
        </is>
      </c>
      <c r="F24" s="61" t="inlineStr">
        <is>
          <t>实测尺寸/场景四材质/源已完成；未运行时接入</t>
        </is>
      </c>
      <c r="G24" s="61" t="inlineStr">
        <is>
          <t>Codex</t>
        </is>
      </c>
    </row>
    <row r="25">
      <c r="A25" s="50" t="inlineStr">
        <is>
          <t>v0.1.100</t>
        </is>
      </c>
      <c r="B25" s="50" t="inlineStr">
        <is>
          <t>2026-10-14</t>
        </is>
      </c>
      <c r="C25" s="50" t="inlineStr">
        <is>
          <t>物品道具双模型源</t>
        </is>
      </c>
      <c r="D25" s="50" t="inlineStr">
        <is>
          <t>preview / ground</t>
        </is>
      </c>
      <c r="E25" s="50" t="inlineStr">
        <is>
          <t>现有高模保留；地面100–200三角面</t>
        </is>
      </c>
      <c r="F25" s="50" t="inlineStr">
        <is>
          <t>源已完成；运行时用途选择未接入</t>
        </is>
      </c>
      <c r="G25" s="50" t="inlineStr">
        <is>
          <t>Codex</t>
        </is>
      </c>
    </row>
    <row r="26">
      <c r="A26" s="50" t="inlineStr">
        <is>
          <t>v0.1.101</t>
        </is>
      </c>
      <c r="B26" s="50" t="inlineStr">
        <is>
          <t>2026-10-14</t>
        </is>
      </c>
      <c r="C26" s="50" t="inlineStr">
        <is>
          <t>地面简模正式路径与代码接线</t>
        </is>
      </c>
      <c r="D26" s="50" t="inlineStr">
        <is>
          <t>8件物品ground角色</t>
        </is>
      </c>
      <c r="E26" s="50" t="inlineStr">
        <is>
          <t>GLB/PackedScene/公共色盘导入；同一AssetID；预览待导入</t>
        </is>
      </c>
      <c r="F26" s="50" t="inlineStr">
        <is>
          <t>exported_pending_godot_validation</t>
        </is>
      </c>
      <c r="G26" s="50" t="inlineStr">
        <is>
          <t>Codex</t>
        </is>
      </c>
    </row>
    <row r="27">
      <c r="A27" s="50" t="inlineStr">
        <is>
          <t>v0.1.102</t>
        </is>
      </c>
      <c r="B27" s="50" t="inlineStr">
        <is>
          <t>2026-10-14</t>
        </is>
      </c>
      <c r="C27" s="50" t="inlineStr">
        <is>
          <t>用户更正通用弹药用途</t>
        </is>
      </c>
      <c r="D27" s="50" t="inlineStr">
        <is>
          <t>模型身份/图标/倾斜</t>
        </is>
      </c>
      <c r="E27" s="50" t="inlineStr">
        <is>
          <t>通用弹药复用蓝金弹头；标准模块退回程序表现</t>
        </is>
      </c>
      <c r="F27" s="50" t="inlineStr">
        <is>
          <t>已接线，待运行验收</t>
        </is>
      </c>
      <c r="G27" s="5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2026-10-14T08:24:42Z</dcterms:modified>
  <cp:revision>0</cp:revision>
</cp:coreProperties>
</file>