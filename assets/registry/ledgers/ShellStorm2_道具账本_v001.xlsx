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账本说明" sheetId="2" state="visible" r:id="rId2"/>
    <sheet name="资产主表" sheetId="3" state="visible" r:id="rId3"/>
    <sheet name="3D-道具" sheetId="4" state="visible" r:id="rId4"/>
    <sheet name="3D-物品" sheetId="5" state="visible" r:id="rId5"/>
    <sheet name="域变更日志" sheetId="6" state="visible" r:id="rId6"/>
  </sheets>
  <definedNames>
    <definedName name="_xlnm._FilterDatabase" localSheetId="2" hidden="1">'资产主表'!$A$5:$X$25</definedName>
  </definedName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9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  <font>
      <name val="Arial"/>
      <color rgb="FFFFFFFF"/>
      <sz val="11"/>
    </font>
    <font>
      <name val="Carlito"/>
      <color rgb="FF1F1F1F"/>
      <sz val="11"/>
    </font>
    <font>
      <b val="1"/>
    </font>
    <font>
      <b val="1"/>
      <color rgb="FF2E7D32"/>
      <sz val="11"/>
    </font>
    <font>
      <b val="1"/>
      <color rgb="FF17324D"/>
      <sz val="14"/>
    </font>
    <font>
      <i val="1"/>
      <color rgb="FF555555"/>
    </font>
    <font>
      <b val="1"/>
      <color rgb="FFFFFFFF"/>
    </font>
    <font>
      <b val="1"/>
      <color rgb="FF1565C0"/>
    </font>
  </fonts>
  <fills count="6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FFF2CC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E3F2FD"/>
      </patternFill>
    </fill>
  </fills>
  <borders count="43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E5E7EB"/>
      </right>
    </border>
    <border>
      <bottom style="thin">
        <color rgb="FFD9E2F3"/>
      </bottom>
    </border>
  </borders>
  <cellStyleXfs count="1">
    <xf numFmtId="0" fontId="0" fillId="0" borderId="0"/>
  </cellStyleXfs>
  <cellXfs count="39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0" fillId="0" borderId="0" pivotButton="0" quotePrefix="0" xfId="0"/>
    <xf numFmtId="0" fontId="10" fillId="44" borderId="0" pivotButton="0" quotePrefix="0" xfId="0"/>
    <xf numFmtId="0" fontId="31" fillId="44" borderId="0" pivotButton="0" quotePrefix="0" xfId="0"/>
    <xf numFmtId="0" fontId="10" fillId="0" borderId="0" applyAlignment="1" pivotButton="0" quotePrefix="0" xfId="0">
      <alignment wrapText="1"/>
    </xf>
    <xf numFmtId="0" fontId="31" fillId="45" borderId="0" pivotButton="0" quotePrefix="0" xfId="0"/>
    <xf numFmtId="0" fontId="31" fillId="46" borderId="0" pivotButton="0" quotePrefix="0" xfId="0"/>
    <xf numFmtId="0" fontId="31" fillId="47" borderId="0" pivotButton="0" quotePrefix="0" xfId="0"/>
    <xf numFmtId="0" fontId="31" fillId="48" borderId="0" pivotButton="0" quotePrefix="0" xfId="0"/>
    <xf numFmtId="0" fontId="31" fillId="49" borderId="0" pivotButton="0" quotePrefix="0" xfId="0"/>
    <xf numFmtId="0" fontId="31" fillId="50" borderId="0" pivotButton="0" quotePrefix="0" xfId="0"/>
    <xf numFmtId="0" fontId="31" fillId="51" borderId="0" pivotButton="0" quotePrefix="0" xfId="0"/>
    <xf numFmtId="0" fontId="31" fillId="52" borderId="0" pivotButton="0" quotePrefix="0" xfId="0"/>
    <xf numFmtId="0" fontId="31" fillId="53" borderId="0" pivotButton="0" quotePrefix="0" xfId="0"/>
    <xf numFmtId="0" fontId="0" fillId="0" borderId="0" applyAlignment="1" pivotButton="0" quotePrefix="0" xfId="0">
      <alignment vertical="center" wrapText="1"/>
    </xf>
    <xf numFmtId="0" fontId="31" fillId="54" borderId="0" pivotButton="0" quotePrefix="0" xfId="0"/>
    <xf numFmtId="0" fontId="0" fillId="55" borderId="0" applyAlignment="1" pivotButton="0" quotePrefix="0" xfId="0">
      <alignment vertical="center" wrapText="1"/>
    </xf>
    <xf numFmtId="0" fontId="0" fillId="55" borderId="0" applyAlignment="1" pivotButton="0" quotePrefix="0" xfId="0">
      <alignment wrapText="1"/>
    </xf>
    <xf numFmtId="0" fontId="32" fillId="55" borderId="0" applyAlignment="1" pivotButton="0" quotePrefix="0" xfId="0">
      <alignment vertical="center" wrapText="1"/>
    </xf>
    <xf numFmtId="0" fontId="32" fillId="55" borderId="0" applyAlignment="1" pivotButton="0" quotePrefix="0" xfId="0">
      <alignment wrapText="1"/>
    </xf>
    <xf numFmtId="0" fontId="31" fillId="56" borderId="0" pivotButton="0" quotePrefix="0" xfId="0"/>
    <xf numFmtId="0" fontId="31" fillId="57" borderId="0" pivotButton="0" quotePrefix="0" xfId="0"/>
    <xf numFmtId="0" fontId="31" fillId="58" borderId="0" pivotButton="0" quotePrefix="0" xfId="0"/>
    <xf numFmtId="0" fontId="31" fillId="59" borderId="0" pivotButton="0" quotePrefix="0" xfId="0"/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5" fillId="37" borderId="0" applyAlignment="1" pivotButton="0" quotePrefix="0" xfId="0">
      <alignment horizontal="center" vertical="center"/>
    </xf>
    <xf numFmtId="0" fontId="36" fillId="38" borderId="0" applyAlignment="1" pivotButton="0" quotePrefix="0" xfId="0">
      <alignment vertical="top" wrapText="1"/>
    </xf>
    <xf numFmtId="0" fontId="37" fillId="61" borderId="11" applyAlignment="1" pivotButton="0" quotePrefix="0" xfId="0">
      <alignment horizontal="center"/>
    </xf>
    <xf numFmtId="0" fontId="37" fillId="61" borderId="12" applyAlignment="1" pivotButton="0" quotePrefix="0" xfId="0">
      <alignment horizontal="center"/>
    </xf>
    <xf numFmtId="0" fontId="37" fillId="61" borderId="13" applyAlignment="1" pivotButton="0" quotePrefix="0" xfId="0">
      <alignment horizontal="center"/>
    </xf>
    <xf numFmtId="0" fontId="34" fillId="60" borderId="23" applyAlignment="1" pivotButton="0" quotePrefix="0" xfId="0">
      <alignment vertical="top" wrapText="1"/>
    </xf>
    <xf numFmtId="0" fontId="34" fillId="0" borderId="24" applyAlignment="1" pivotButton="0" quotePrefix="0" xfId="0">
      <alignment vertical="top" wrapText="1"/>
    </xf>
    <xf numFmtId="0" fontId="34" fillId="0" borderId="25" applyAlignment="1" pivotButton="0" quotePrefix="0" xfId="0">
      <alignment vertical="top" wrapText="1"/>
    </xf>
    <xf numFmtId="0" fontId="34" fillId="60" borderId="29" applyAlignment="1" pivotButton="0" quotePrefix="0" xfId="0">
      <alignment vertical="top" wrapText="1"/>
    </xf>
    <xf numFmtId="0" fontId="34" fillId="0" borderId="30" applyAlignment="1" pivotButton="0" quotePrefix="0" xfId="0">
      <alignment vertical="top" wrapText="1"/>
    </xf>
    <xf numFmtId="0" fontId="34" fillId="0" borderId="31" applyAlignment="1" pivotButton="0" quotePrefix="0" xfId="0">
      <alignment vertical="top" wrapText="1"/>
    </xf>
    <xf numFmtId="0" fontId="34" fillId="60" borderId="0" pivotButton="0" quotePrefix="0" xfId="0"/>
    <xf numFmtId="0" fontId="34" fillId="0" borderId="0" pivotButton="0" quotePrefix="0" xfId="0"/>
    <xf numFmtId="0" fontId="37" fillId="61" borderId="0" applyAlignment="1" pivotButton="0" quotePrefix="0" xfId="0">
      <alignment horizontal="center"/>
    </xf>
    <xf numFmtId="0" fontId="38" fillId="62" borderId="26" applyAlignment="1" pivotButton="0" quotePrefix="0" xfId="0">
      <alignment horizontal="center"/>
    </xf>
    <xf numFmtId="0" fontId="38" fillId="6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2" pivotButton="0" quotePrefix="0" xfId="0"/>
    <xf numFmtId="0" fontId="0" fillId="0" borderId="23" pivotButton="0" quotePrefix="0" xfId="0"/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317" t="inlineStr">
        <is>
          <t>SHELLSTORM 2 · 道具美术账本 v0.1</t>
        </is>
      </c>
    </row>
    <row r="2" ht="12" customHeight="1"/>
    <row r="3" ht="23" customHeight="1">
      <c r="A3" s="318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</row>
    <row r="5">
      <c r="A5" s="320" t="inlineStr">
        <is>
          <t>资产总数</t>
        </is>
      </c>
      <c r="B5" s="320" t="str"/>
      <c r="C5" s="320" t="inlineStr">
        <is>
          <t>已完成/已接入</t>
        </is>
      </c>
      <c r="D5" s="320" t="str"/>
      <c r="E5" s="320" t="inlineStr">
        <is>
          <t>待制作/程序占位</t>
        </is>
      </c>
      <c r="F5" s="320" t="str"/>
      <c r="G5" s="320" t="inlineStr">
        <is>
          <t>重复警报</t>
        </is>
      </c>
      <c r="H5" s="320" t="str"/>
      <c r="I5" s="320" t="inlineStr">
        <is>
          <t>域内专表 / 3D Prefab 分页</t>
        </is>
      </c>
      <c r="J5" s="320" t="n"/>
    </row>
    <row r="6" ht="42" customHeight="1">
      <c r="A6" s="321">
        <f>COUNTA('资产主表'!$A$6:$A$25)</f>
        <v/>
      </c>
      <c r="B6" s="354" t="n"/>
      <c r="C6" s="321">
        <f>COUNTIF('资产主表'!$K$6:$K$25,"已完成")+COUNTIF('资产主表'!$K$6:$K$25,"原型已接入")+COUNTIF('资产主表'!$K$6:$K$25,"正式美术已接入")+COUNTIF('资产主表'!$K$6:$K$25,"已优化并正式接入")+COUNTIF('资产主表'!$K$6:$K$25,"Blender源已完成")+COUNTIF('资产主表'!$K$6:$K$25,"已导入；优化完成")</f>
        <v/>
      </c>
      <c r="D6" s="354" t="n"/>
      <c r="E6" s="321">
        <f>COUNTIF('资产主表'!$K$6:$K$25,"待制作")+COUNTIF('资产主表'!$K$6:$K$25,"程序占位")</f>
        <v/>
      </c>
      <c r="F6" s="354" t="n"/>
      <c r="G6" s="321">
        <f>COUNTIF('资产主表'!$S$6:$S$25,"重复")</f>
        <v/>
      </c>
      <c r="H6" s="354" t="n"/>
      <c r="I6" s="320" t="inlineStr">
        <is>
          <t>域内专表：3D-道具 / 3D-物品　|　3D Prefab 分页：3D-道具 / 3D-物品</t>
        </is>
      </c>
    </row>
    <row r="7">
      <c r="A7" s="354" t="n"/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</row>
    <row r="8">
      <c r="A8" s="354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</row>
    <row r="9" ht="32" customHeight="1">
      <c r="A9" s="323" t="inlineStr">
        <is>
          <t>大类</t>
        </is>
      </c>
      <c r="B9" s="323" t="inlineStr">
        <is>
          <t>资产数</t>
        </is>
      </c>
      <c r="C9" s="323" t="inlineStr">
        <is>
          <t>完成/接入</t>
        </is>
      </c>
      <c r="D9" s="323" t="n"/>
      <c r="E9" s="320" t="inlineStr">
        <is>
          <t>本账本只登记上列大类；跨域搬运资产须同步主账本《分类与编码》并重跑门禁</t>
        </is>
      </c>
      <c r="F9" s="125" t="n"/>
      <c r="G9" s="125" t="n"/>
      <c r="H9" s="125" t="n"/>
      <c r="I9" s="125" t="n"/>
      <c r="J9" s="126" t="n"/>
    </row>
    <row r="10" ht="22" customHeight="1">
      <c r="A10" s="301" t="inlineStr">
        <is>
          <t>道具</t>
        </is>
      </c>
      <c r="B10" s="301">
        <f>COUNTIF('资产主表'!$C$6:$C$25,A10)</f>
        <v/>
      </c>
      <c r="C10" s="301">
        <f>SUMPRODUCT(('资产主表'!$C$6:$C$25=A10)*(('资产主表'!$K$6:$K$25="已完成")+('资产主表'!$K$6:$K$25="原型已接入")+('资产主表'!$K$6:$K$25="正式美术已接入")+('资产主表'!$K$6:$K$25="已优化并正式接入")+('资产主表'!$K$6:$K$25="Blender源已完成")+('资产主表'!$K$6:$K$25="已导入；优化完成")))</f>
        <v/>
      </c>
      <c r="D10" s="301" t="n"/>
      <c r="E10" s="301" t="n"/>
      <c r="F10" s="301" t="n"/>
      <c r="G10" s="301" t="n"/>
      <c r="H10" s="301" t="n"/>
      <c r="I10" s="301" t="n"/>
      <c r="J10" s="301" t="n"/>
    </row>
    <row r="11">
      <c r="A11" s="323" t="inlineStr">
        <is>
          <t>合计</t>
        </is>
      </c>
      <c r="B11" s="323">
        <f>SUM(B10:B10)</f>
        <v/>
      </c>
      <c r="C11" s="323">
        <f>SUM(C10:C10)</f>
        <v/>
      </c>
      <c r="D11" s="323" t="n"/>
      <c r="E11" s="323" t="n"/>
      <c r="F11" s="323" t="n"/>
      <c r="G11" s="323" t="n"/>
      <c r="H11" s="323" t="n"/>
      <c r="I11" s="323" t="n"/>
      <c r="J11" s="323" t="n"/>
    </row>
    <row r="12">
      <c r="A12" s="331" t="n"/>
      <c r="B12" s="331" t="n"/>
      <c r="C12" s="331" t="n"/>
      <c r="D12" s="354" t="n"/>
      <c r="E12" s="330" t="n"/>
      <c r="F12" s="331" t="n"/>
      <c r="G12" s="331" t="n"/>
      <c r="H12" s="354" t="n"/>
      <c r="I12" s="354" t="n"/>
      <c r="J12" s="354" t="n"/>
    </row>
    <row r="13">
      <c r="A13" s="381" t="inlineStr">
        <is>
          <t>域内 3D Prefab 分页统计（快照口径与本账本分页一致；权威清单在各分页表）</t>
        </is>
      </c>
      <c r="B13" s="394" t="n"/>
      <c r="C13" s="394" t="n"/>
      <c r="D13" s="394" t="n"/>
      <c r="E13" s="394" t="n"/>
      <c r="F13" s="394" t="n"/>
      <c r="G13" s="394" t="n"/>
      <c r="H13" s="394" t="n"/>
      <c r="I13" s="394" t="n"/>
      <c r="J13" s="395" t="n"/>
    </row>
    <row r="14">
      <c r="A14" s="320" t="inlineStr">
        <is>
          <t>分页</t>
        </is>
      </c>
      <c r="B14" s="320" t="inlineStr">
        <is>
          <t>Prefab 数</t>
        </is>
      </c>
      <c r="C14" s="320" t="inlineStr">
        <is>
          <t>直接引用 GLB</t>
        </is>
      </c>
      <c r="D14" s="320" t="inlineStr">
        <is>
          <t>有功能脚本</t>
        </is>
      </c>
      <c r="E14" s="320" t="inlineStr">
        <is>
          <t>碰撞开启</t>
        </is>
      </c>
      <c r="F14" s="320" t="inlineStr">
        <is>
          <t>说明</t>
        </is>
      </c>
      <c r="G14" s="331" t="n"/>
      <c r="H14" s="354" t="n"/>
      <c r="I14" s="354" t="n"/>
      <c r="J14" s="354" t="n"/>
    </row>
    <row r="15">
      <c r="A15" s="301" t="inlineStr">
        <is>
          <t>3D-道具</t>
        </is>
      </c>
      <c r="B15" s="301">
        <f>COUNTA('3D-道具'!$A$5:$A$204)</f>
        <v/>
      </c>
      <c r="C15" s="301">
        <f>COUNTIF('3D-道具'!$D$5:$D$204,"&lt;&gt;")</f>
        <v/>
      </c>
      <c r="D15" s="301">
        <f>COUNTIF('3D-道具'!$G$5:$G$204,"&lt;&gt;")</f>
        <v/>
      </c>
      <c r="E15" s="301">
        <f>COUNTIF('3D-道具'!$H$5:$H$204,"开")</f>
        <v/>
      </c>
      <c r="F15" s="301" t="inlineStr">
        <is>
          <t>一行 = 一个实际存在的 Godot PackedScene</t>
        </is>
      </c>
      <c r="G15" s="301" t="n"/>
      <c r="H15" s="301" t="n"/>
      <c r="I15" s="301" t="n"/>
      <c r="J15" s="301" t="n"/>
    </row>
    <row r="16">
      <c r="A16" s="301" t="inlineStr">
        <is>
          <t>3D-物品</t>
        </is>
      </c>
      <c r="B16" s="301">
        <f>COUNTA('3D-物品'!$A$5:$A$204)</f>
        <v/>
      </c>
      <c r="C16" s="301">
        <f>COUNTIF('3D-物品'!$D$5:$D$204,"&lt;&gt;")</f>
        <v/>
      </c>
      <c r="D16" s="301">
        <f>COUNTIF('3D-物品'!$G$5:$G$204,"&lt;&gt;")</f>
        <v/>
      </c>
      <c r="E16" s="301">
        <f>COUNTIF('3D-物品'!$H$5:$H$204,"开")</f>
        <v/>
      </c>
      <c r="F16" s="301" t="inlineStr">
        <is>
          <t>一行 = 一个实际存在的 Godot PackedScene</t>
        </is>
      </c>
      <c r="G16" s="301" t="n"/>
      <c r="H16" s="301" t="n"/>
      <c r="I16" s="301" t="n"/>
      <c r="J16" s="301" t="n"/>
    </row>
    <row r="17">
      <c r="A17" s="323" t="inlineStr">
        <is>
          <t>合计</t>
        </is>
      </c>
      <c r="B17" s="323">
        <f>SUM(B15:B16)</f>
        <v/>
      </c>
      <c r="C17" s="323">
        <f>SUM(C15:C16)</f>
        <v/>
      </c>
      <c r="D17" s="323">
        <f>SUM(D15:D16)</f>
        <v/>
      </c>
      <c r="E17" s="323">
        <f>SUM(E15:E16)</f>
        <v/>
      </c>
      <c r="F17" s="323" t="n"/>
      <c r="G17" s="323" t="n"/>
      <c r="H17" s="323" t="n"/>
      <c r="I17" s="323" t="n"/>
      <c r="J17" s="323" t="n"/>
    </row>
    <row r="18">
      <c r="A18" s="331" t="n"/>
      <c r="B18" s="331" t="n"/>
      <c r="C18" s="331" t="n"/>
      <c r="D18" s="354" t="n"/>
      <c r="E18" s="354" t="n"/>
      <c r="F18" s="354" t="n"/>
      <c r="G18" s="354" t="n"/>
      <c r="H18" s="354" t="n"/>
      <c r="I18" s="354" t="n"/>
      <c r="J18" s="354" t="n"/>
    </row>
    <row r="19">
      <c r="A19" s="354" t="n"/>
      <c r="B19" s="354" t="n"/>
      <c r="C19" s="354" t="n"/>
      <c r="D19" s="354" t="n"/>
      <c r="E19" s="354" t="n"/>
      <c r="F19" s="354" t="n"/>
      <c r="G19" s="354" t="n"/>
      <c r="H19" s="354" t="n"/>
      <c r="I19" s="354" t="n"/>
      <c r="J19" s="354" t="n"/>
    </row>
    <row r="20">
      <c r="A20" s="354" t="n"/>
      <c r="B20" s="354" t="n"/>
      <c r="C20" s="354" t="n"/>
      <c r="D20" s="354" t="n"/>
      <c r="E20" s="354" t="n"/>
      <c r="F20" s="354" t="n"/>
      <c r="G20" s="354" t="n"/>
      <c r="H20" s="354" t="n"/>
      <c r="I20" s="354" t="n"/>
      <c r="J20" s="354" t="n"/>
    </row>
  </sheetData>
  <mergeCells count="5">
    <mergeCell ref="A1:J2"/>
    <mergeCell ref="I6:J6"/>
    <mergeCell ref="A3:J3"/>
    <mergeCell ref="E9:J9"/>
    <mergeCell ref="A13:J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34" customWidth="1" min="3" max="3"/>
    <col width="24" customWidth="1" min="4" max="4"/>
    <col width="24" customWidth="1" min="5" max="5"/>
    <col width="24" customWidth="1" min="6" max="6"/>
  </cols>
  <sheetData>
    <row r="1">
      <c r="A1" s="317" t="inlineStr">
        <is>
          <t>本账本说明 · 道具</t>
        </is>
      </c>
    </row>
    <row r="2"/>
    <row r="3">
      <c r="A3" s="318" t="inlineStr">
        <is>
          <t>本表是分账本自描述；机器可读真源为 assets/registry/ledger_index.json，二者不一致时以 JSON 为准</t>
        </is>
      </c>
    </row>
    <row r="5">
      <c r="A5" s="298" t="inlineStr">
        <is>
          <t>项</t>
        </is>
      </c>
      <c r="B5" s="298" t="inlineStr">
        <is>
          <t>值</t>
        </is>
      </c>
      <c r="C5" s="298" t="n"/>
      <c r="D5" s="298" t="n"/>
      <c r="E5" s="298" t="n"/>
      <c r="F5" s="298" t="n"/>
    </row>
    <row r="6" ht="30" customHeight="1">
      <c r="A6" s="301" t="inlineStr">
        <is>
          <t>账本归属域</t>
        </is>
      </c>
      <c r="B6" s="301" t="inlineStr">
        <is>
          <t>道具</t>
        </is>
      </c>
      <c r="C6" s="301" t="n"/>
      <c r="D6" s="301" t="n"/>
      <c r="E6" s="301" t="n"/>
      <c r="F6" s="301" t="n"/>
    </row>
    <row r="7" ht="30" customHeight="1">
      <c r="A7" s="301" t="inlineStr">
        <is>
          <t>分账本文件</t>
        </is>
      </c>
      <c r="B7" s="301" t="inlineStr">
        <is>
          <t>assets/registry/ledgers/ShellStorm2_道具账本_v001.xlsx</t>
        </is>
      </c>
      <c r="C7" s="301" t="n"/>
      <c r="D7" s="301" t="n"/>
      <c r="E7" s="301" t="n"/>
      <c r="F7" s="301" t="n"/>
    </row>
    <row r="8" ht="30" customHeight="1">
      <c r="A8" s="301" t="inlineStr">
        <is>
          <t>覆盖大类</t>
        </is>
      </c>
      <c r="B8" s="301" t="inlineStr">
        <is>
          <t>道具</t>
        </is>
      </c>
      <c r="C8" s="301" t="n"/>
      <c r="D8" s="301" t="n"/>
      <c r="E8" s="301" t="n"/>
      <c r="F8" s="301" t="n"/>
    </row>
    <row r="9" ht="30" customHeight="1">
      <c r="A9" s="301" t="inlineStr">
        <is>
          <t>AssetID 前缀</t>
        </is>
      </c>
      <c r="B9" s="301" t="inlineStr">
        <is>
          <t>ITM / PRP</t>
        </is>
      </c>
      <c r="C9" s="301" t="n"/>
      <c r="D9" s="301" t="n"/>
      <c r="E9" s="301" t="n"/>
      <c r="F9" s="301" t="n"/>
    </row>
    <row r="10" ht="30" customHeight="1">
      <c r="A10" s="301" t="inlineStr">
        <is>
          <t>域内专表</t>
        </is>
      </c>
      <c r="B10" s="301" t="inlineStr">
        <is>
          <t>3D-道具 / 3D-物品</t>
        </is>
      </c>
      <c r="C10" s="301" t="n"/>
      <c r="D10" s="301" t="n"/>
      <c r="E10" s="301" t="n"/>
      <c r="F10" s="301" t="n"/>
    </row>
    <row r="11" ht="30" customHeight="1">
      <c r="A11" s="301" t="inlineStr">
        <is>
          <t>3D Prefab 分页</t>
        </is>
      </c>
      <c r="B11" s="301" t="inlineStr">
        <is>
          <t>3D-道具 / 3D-物品</t>
        </is>
      </c>
      <c r="C11" s="301" t="n"/>
      <c r="D11" s="301" t="n"/>
      <c r="E11" s="301" t="n"/>
      <c r="F11" s="301" t="n"/>
    </row>
    <row r="12" ht="30" customHeight="1">
      <c r="A12" s="301" t="inlineStr">
        <is>
          <t>动画登记表</t>
        </is>
      </c>
      <c r="B12" s="301" t="inlineStr">
        <is>
          <t>无</t>
        </is>
      </c>
      <c r="C12" s="301" t="n"/>
      <c r="D12" s="301" t="n"/>
      <c r="E12" s="301" t="n"/>
      <c r="F12" s="301" t="n"/>
    </row>
    <row r="13" ht="30" customHeight="1">
      <c r="A13" s="301" t="inlineStr">
        <is>
          <t>主账本（总目录）</t>
        </is>
      </c>
      <c r="B13" s="301" t="inlineStr">
        <is>
          <t>assets/registry/ShellStorm2_美术资产台账_v001.xlsx</t>
        </is>
      </c>
      <c r="C13" s="301" t="n"/>
      <c r="D13" s="301" t="n"/>
      <c r="E13" s="301" t="n"/>
      <c r="F13" s="301" t="n"/>
    </row>
    <row r="14" ht="30" customHeight="1">
      <c r="A14" s="301" t="inlineStr">
        <is>
          <t>跨域契约</t>
        </is>
      </c>
      <c r="B14" s="301" t="inlineStr">
        <is>
          <t>分类与编码 / 命名与查重 / 版本记录 / Skill 清单 / 3D Prefab 总控 —— 全部只在主账本维护</t>
        </is>
      </c>
      <c r="C14" s="301" t="n"/>
      <c r="D14" s="301" t="n"/>
      <c r="E14" s="301" t="n"/>
      <c r="F14" s="301" t="n"/>
    </row>
    <row r="15" ht="30" customHeight="1">
      <c r="A15" s="301" t="inlineStr">
        <is>
          <t>首选制作 Skill</t>
        </is>
      </c>
      <c r="B15" s="301" t="inlineStr">
        <is>
          <t>game-prop-model-pipeline</t>
        </is>
      </c>
      <c r="C15" s="301" t="n"/>
      <c r="D15" s="301" t="n"/>
      <c r="E15" s="301" t="n"/>
      <c r="F15" s="301" t="n"/>
    </row>
    <row r="16" ht="30" customHeight="1">
      <c r="A16" s="301" t="inlineStr">
        <is>
          <t>协作 Skill</t>
        </is>
      </c>
      <c r="B16" s="301" t="inlineStr">
        <is>
          <t>无</t>
        </is>
      </c>
      <c r="C16" s="301" t="n"/>
      <c r="D16" s="301" t="n"/>
      <c r="E16" s="301" t="n"/>
      <c r="F16" s="301" t="n"/>
    </row>
    <row r="17" ht="30" customHeight="1">
      <c r="A17" s="301" t="inlineStr">
        <is>
          <t>负责人</t>
        </is>
      </c>
      <c r="B17" s="301" t="inlineStr">
        <is>
          <t>待分配</t>
        </is>
      </c>
      <c r="C17" s="301" t="n"/>
      <c r="D17" s="301" t="n"/>
      <c r="E17" s="301" t="n"/>
      <c r="F17" s="301" t="n"/>
    </row>
    <row r="18" ht="30" customHeight="1">
      <c r="A18" s="301" t="inlineStr">
        <is>
          <t>登记范围</t>
        </is>
      </c>
      <c r="B18" s="301" t="inlineStr">
        <is>
          <t>可拾取、可消耗、可摆放、可交互的独立道具与拥有独立PackedScene的物品。固定设施不在此域（见场景账本），PRP 归属以「大类」列为准。</t>
        </is>
      </c>
      <c r="C18" s="301" t="n"/>
      <c r="D18" s="301" t="n"/>
      <c r="E18" s="301" t="n"/>
      <c r="F18" s="301" t="n"/>
    </row>
    <row r="19" ht="30" customHeight="1">
      <c r="A19" s="301" t="inlineStr">
        <is>
          <t>编辑边界</t>
        </is>
      </c>
      <c r="B19" s="30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301" t="n"/>
      <c r="D19" s="301" t="n"/>
      <c r="E19" s="301" t="n"/>
      <c r="F19" s="301" t="n"/>
    </row>
    <row r="20" ht="30" customHeight="1">
      <c r="A20" s="301" t="inlineStr">
        <is>
          <t>登记口径</t>
        </is>
      </c>
      <c r="B20" s="30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301" t="n"/>
      <c r="D20" s="301" t="n"/>
      <c r="E20" s="301" t="n"/>
      <c r="F20" s="301" t="n"/>
    </row>
    <row r="21" ht="30" customHeight="1">
      <c r="A21" s="301" t="inlineStr">
        <is>
          <t>门禁</t>
        </is>
      </c>
      <c r="B21" s="301" t="inlineStr">
        <is>
          <t>python3 scripts/check_asset_registry.py --scope structure（需 venv python + openpyxl，且在 /tmp 下跑）</t>
        </is>
      </c>
      <c r="C21" s="301" t="n"/>
      <c r="D21" s="301" t="n"/>
      <c r="E21" s="301" t="n"/>
      <c r="F21" s="301" t="n"/>
    </row>
    <row r="22" ht="30" customHeight="1">
      <c r="A22" s="301" t="inlineStr">
        <is>
          <t>无损基线</t>
        </is>
      </c>
      <c r="B22" s="301" t="inlineStr">
        <is>
          <t>assets/registry/ledger_split_baseline.json；python3 tools/asset_pipeline/verify_ledger_split.py 断言并集与拆分前逐格一致</t>
        </is>
      </c>
      <c r="C22" s="301" t="n"/>
      <c r="D22" s="301" t="n"/>
      <c r="E22" s="301" t="n"/>
      <c r="F22" s="301" t="n"/>
    </row>
    <row r="23" ht="30" customHeight="1">
      <c r="A23" s="301" t="inlineStr">
        <is>
          <t>快照日期</t>
        </is>
      </c>
      <c r="B23" s="301" t="inlineStr">
        <is>
          <t>2026-09-18</t>
        </is>
      </c>
      <c r="C23" s="301" t="n"/>
      <c r="D23" s="301" t="n"/>
      <c r="E23" s="301" t="n"/>
      <c r="F23" s="301" t="n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296" t="inlineStr">
        <is>
          <t>资产主表 · 唯一登记源</t>
        </is>
      </c>
    </row>
    <row r="2" ht="12" customHeight="1"/>
    <row r="3" ht="23" customHeight="1">
      <c r="A3" s="297" t="inlineStr">
        <is>
          <t>查重键由公式生成；S 列出现“重复”时禁止制作，先合并或建立变体父子关系</t>
        </is>
      </c>
    </row>
    <row r="4">
      <c r="A4" s="392" t="n"/>
      <c r="B4" s="392" t="n"/>
      <c r="C4" s="392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  <c r="V4" s="392" t="n"/>
      <c r="W4" s="392" t="n"/>
      <c r="Y4" s="392" t="n"/>
    </row>
    <row r="5" ht="32" customHeight="1">
      <c r="A5" s="298" t="inlineStr">
        <is>
          <t>AssetID</t>
        </is>
      </c>
      <c r="B5" s="299" t="inlineStr">
        <is>
          <t>中文名</t>
        </is>
      </c>
      <c r="C5" s="299" t="inlineStr">
        <is>
          <t>大类</t>
        </is>
      </c>
      <c r="D5" s="299" t="inlineStr">
        <is>
          <t>子类</t>
        </is>
      </c>
      <c r="E5" s="299" t="inlineStr">
        <is>
          <t>逻辑ID/源键</t>
        </is>
      </c>
      <c r="F5" s="299" t="inlineStr">
        <is>
          <t>组件槽</t>
        </is>
      </c>
      <c r="G5" s="299" t="inlineStr">
        <is>
          <t>变体父ID</t>
        </is>
      </c>
      <c r="H5" s="299" t="inlineStr">
        <is>
          <t>视角</t>
        </is>
      </c>
      <c r="I5" s="299" t="inlineStr">
        <is>
          <t>状态/动画</t>
        </is>
      </c>
      <c r="J5" s="299" t="inlineStr">
        <is>
          <t>复用范围</t>
        </is>
      </c>
      <c r="K5" s="299" t="inlineStr">
        <is>
          <t>制作状态</t>
        </is>
      </c>
      <c r="L5" s="299" t="inlineStr">
        <is>
          <t>优先级</t>
        </is>
      </c>
      <c r="M5" s="299" t="inlineStr">
        <is>
          <t>版本</t>
        </is>
      </c>
      <c r="N5" s="299" t="inlineStr">
        <is>
          <t>规格(px)</t>
        </is>
      </c>
      <c r="O5" s="299" t="inlineStr">
        <is>
          <t>文件路径</t>
        </is>
      </c>
      <c r="P5" s="299" t="inlineStr">
        <is>
          <t>源码/策划依据</t>
        </is>
      </c>
      <c r="Q5" s="299" t="inlineStr">
        <is>
          <t>关键词/别名</t>
        </is>
      </c>
      <c r="R5" s="299" t="inlineStr">
        <is>
          <t>查重键</t>
        </is>
      </c>
      <c r="S5" s="299" t="inlineStr">
        <is>
          <t>查重结果</t>
        </is>
      </c>
      <c r="T5" s="299" t="inlineStr">
        <is>
          <t>SHA-256</t>
        </is>
      </c>
      <c r="U5" s="299" t="inlineStr">
        <is>
          <t>负责人</t>
        </is>
      </c>
      <c r="V5" s="299" t="inlineStr">
        <is>
          <t>更新时间</t>
        </is>
      </c>
      <c r="W5" s="299" t="inlineStr">
        <is>
          <t>来源/许可</t>
        </is>
      </c>
      <c r="X5" s="374" t="inlineStr">
        <is>
          <t>源编号（Blender collection）</t>
        </is>
      </c>
      <c r="Y5" s="300" t="inlineStr">
        <is>
          <t>备注</t>
        </is>
      </c>
    </row>
    <row r="6">
      <c r="A6" s="138" t="inlineStr">
        <is>
          <t>ITM-CONSUMABLE-ITEM-BEACON</t>
        </is>
      </c>
      <c r="B6" s="138" t="inlineStr">
        <is>
          <t>撤离信标</t>
        </is>
      </c>
      <c r="C6" s="138" t="inlineStr">
        <is>
          <t>道具</t>
        </is>
      </c>
      <c r="D6" s="138" t="inlineStr">
        <is>
          <t>consumable</t>
        </is>
      </c>
      <c r="E6" s="138" t="inlineStr">
        <is>
          <t>item_beacon</t>
        </is>
      </c>
      <c r="F6" s="138" t="inlineStr">
        <is>
          <t>root</t>
        </is>
      </c>
      <c r="G6" s="138" t="str"/>
      <c r="H6" s="138" t="inlineStr">
        <is>
          <t>顶视/图标</t>
        </is>
      </c>
      <c r="I6" s="138" t="inlineStr">
        <is>
          <t>default</t>
        </is>
      </c>
      <c r="J6" s="138" t="inlineStr">
        <is>
          <t>世界拾取/UI 图标</t>
        </is>
      </c>
      <c r="K6" s="138" t="inlineStr">
        <is>
          <t>程序占位</t>
        </is>
      </c>
      <c r="L6" s="138" t="inlineStr">
        <is>
          <t>P0</t>
        </is>
      </c>
      <c r="M6" s="138" t="inlineStr">
        <is>
          <t>v001</t>
        </is>
      </c>
      <c r="N6" s="138" t="inlineStr">
        <is>
          <t>世界 24–40 px；UI 32 px</t>
        </is>
      </c>
      <c r="O6" s="138" t="str"/>
      <c r="P6" s="138" t="inlineStr">
        <is>
          <t>src/base/ItemRegistry.gd</t>
        </is>
      </c>
      <c r="Q6" s="138" t="str"/>
      <c r="R6" s="138">
        <f>LOWER(TRIM(C6)&amp;"|"&amp;TRIM(D6)&amp;"|"&amp;TRIM(E6)&amp;"|"&amp;TRIM(F6)&amp;"|"&amp;TRIM(H6)&amp;"|"&amp;TRIM(I6))</f>
        <v/>
      </c>
      <c r="S6" s="138">
        <f>IF(COUNTIF($R$6:$R$25,R6)&gt;1,"重复","唯一")</f>
        <v/>
      </c>
      <c r="T6" s="138" t="str"/>
      <c r="U6" s="138" t="inlineStr">
        <is>
          <t>待分配</t>
        </is>
      </c>
      <c r="V6" s="303" t="n">
        <v>46224</v>
      </c>
      <c r="W6" s="138" t="inlineStr">
        <is>
          <t>原创/待确认</t>
        </is>
      </c>
      <c r="X6" s="375" t="inlineStr">
        <is>
          <t>—</t>
        </is>
      </c>
      <c r="Y6" s="138" t="n"/>
    </row>
    <row r="7">
      <c r="A7" s="138" t="inlineStr">
        <is>
          <t>ITM-KEY-ITEM-ROOM-KEY</t>
        </is>
      </c>
      <c r="B7" s="138" t="inlineStr">
        <is>
          <t>房间钥匙</t>
        </is>
      </c>
      <c r="C7" s="138" t="inlineStr">
        <is>
          <t>道具</t>
        </is>
      </c>
      <c r="D7" s="138" t="inlineStr">
        <is>
          <t>key</t>
        </is>
      </c>
      <c r="E7" s="138" t="inlineStr">
        <is>
          <t>item_room_key</t>
        </is>
      </c>
      <c r="F7" s="138" t="inlineStr">
        <is>
          <t>root</t>
        </is>
      </c>
      <c r="G7" s="138" t="str"/>
      <c r="H7" s="138" t="inlineStr">
        <is>
          <t>顶视/图标</t>
        </is>
      </c>
      <c r="I7" s="138" t="inlineStr">
        <is>
          <t>default</t>
        </is>
      </c>
      <c r="J7" s="138" t="inlineStr">
        <is>
          <t>世界拾取/UI 图标</t>
        </is>
      </c>
      <c r="K7" s="138" t="inlineStr">
        <is>
          <t>程序占位</t>
        </is>
      </c>
      <c r="L7" s="138" t="inlineStr">
        <is>
          <t>P0</t>
        </is>
      </c>
      <c r="M7" s="138" t="inlineStr">
        <is>
          <t>v001</t>
        </is>
      </c>
      <c r="N7" s="138" t="inlineStr">
        <is>
          <t>世界 24–40 px；UI 32 px</t>
        </is>
      </c>
      <c r="O7" s="138" t="str"/>
      <c r="P7" s="138" t="inlineStr">
        <is>
          <t>src/base/ItemRegistry.gd</t>
        </is>
      </c>
      <c r="Q7" s="138" t="str"/>
      <c r="R7" s="138">
        <f>LOWER(TRIM(C7)&amp;"|"&amp;TRIM(D7)&amp;"|"&amp;TRIM(E7)&amp;"|"&amp;TRIM(F7)&amp;"|"&amp;TRIM(H7)&amp;"|"&amp;TRIM(I7))</f>
        <v/>
      </c>
      <c r="S7" s="138">
        <f>IF(COUNTIF($R$6:$R$25,R7)&gt;1,"重复","唯一")</f>
        <v/>
      </c>
      <c r="T7" s="138" t="str"/>
      <c r="U7" s="138" t="inlineStr">
        <is>
          <t>待分配</t>
        </is>
      </c>
      <c r="V7" s="303" t="n">
        <v>46224</v>
      </c>
      <c r="W7" s="138" t="inlineStr">
        <is>
          <t>原创/待确认</t>
        </is>
      </c>
      <c r="X7" s="375" t="inlineStr">
        <is>
          <t>—</t>
        </is>
      </c>
      <c r="Y7" s="138" t="n"/>
    </row>
    <row r="8">
      <c r="A8" s="138" t="inlineStr">
        <is>
          <t>ITM-PICKUP-SOUL-ORB</t>
        </is>
      </c>
      <c r="B8" s="138" t="inlineStr">
        <is>
          <t>灵魂球</t>
        </is>
      </c>
      <c r="C8" s="138" t="inlineStr">
        <is>
          <t>道具</t>
        </is>
      </c>
      <c r="D8" s="138" t="inlineStr">
        <is>
          <t>pickup</t>
        </is>
      </c>
      <c r="E8" s="138" t="inlineStr">
        <is>
          <t>soul_orb</t>
        </is>
      </c>
      <c r="F8" s="138" t="inlineStr">
        <is>
          <t>root</t>
        </is>
      </c>
      <c r="G8" s="138" t="str"/>
      <c r="H8" s="138" t="inlineStr">
        <is>
          <t>顶视/图标</t>
        </is>
      </c>
      <c r="I8" s="138" t="inlineStr">
        <is>
          <t>default</t>
        </is>
      </c>
      <c r="J8" s="138" t="inlineStr">
        <is>
          <t>世界拾取/UI 图标</t>
        </is>
      </c>
      <c r="K8" s="138" t="inlineStr">
        <is>
          <t>程序占位</t>
        </is>
      </c>
      <c r="L8" s="138" t="inlineStr">
        <is>
          <t>P1</t>
        </is>
      </c>
      <c r="M8" s="138" t="inlineStr">
        <is>
          <t>v001</t>
        </is>
      </c>
      <c r="N8" s="138" t="inlineStr">
        <is>
          <t>世界 24–40 px；UI 32 px</t>
        </is>
      </c>
      <c r="O8" s="138" t="str"/>
      <c r="P8" s="138" t="inlineStr">
        <is>
          <t>scenes/</t>
        </is>
      </c>
      <c r="Q8" s="138" t="str"/>
      <c r="R8" s="138">
        <f>LOWER(TRIM(C8)&amp;"|"&amp;TRIM(D8)&amp;"|"&amp;TRIM(E8)&amp;"|"&amp;TRIM(F8)&amp;"|"&amp;TRIM(H8)&amp;"|"&amp;TRIM(I8))</f>
        <v/>
      </c>
      <c r="S8" s="138">
        <f>IF(COUNTIF($R$6:$R$25,R8)&gt;1,"重复","唯一")</f>
        <v/>
      </c>
      <c r="T8" s="138" t="str"/>
      <c r="U8" s="138" t="inlineStr">
        <is>
          <t>待分配</t>
        </is>
      </c>
      <c r="V8" s="303" t="n">
        <v>46224</v>
      </c>
      <c r="W8" s="138" t="inlineStr">
        <is>
          <t>原创/待确认</t>
        </is>
      </c>
      <c r="X8" s="375" t="inlineStr">
        <is>
          <t>—</t>
        </is>
      </c>
      <c r="Y8" s="138" t="n"/>
    </row>
    <row r="9">
      <c r="A9" s="138" t="inlineStr">
        <is>
          <t>ITM-CONTAINER-CONTAINER</t>
        </is>
      </c>
      <c r="B9" s="138" t="inlineStr">
        <is>
          <t>战利品容器</t>
        </is>
      </c>
      <c r="C9" s="138" t="inlineStr">
        <is>
          <t>道具</t>
        </is>
      </c>
      <c r="D9" s="138" t="inlineStr">
        <is>
          <t>container</t>
        </is>
      </c>
      <c r="E9" s="138" t="inlineStr">
        <is>
          <t>container</t>
        </is>
      </c>
      <c r="F9" s="138" t="inlineStr">
        <is>
          <t>root</t>
        </is>
      </c>
      <c r="G9" s="138" t="str"/>
      <c r="H9" s="138" t="inlineStr">
        <is>
          <t>顶视/图标</t>
        </is>
      </c>
      <c r="I9" s="138" t="inlineStr">
        <is>
          <t>default</t>
        </is>
      </c>
      <c r="J9" s="138" t="inlineStr">
        <is>
          <t>世界拾取/UI 图标</t>
        </is>
      </c>
      <c r="K9" s="138" t="inlineStr">
        <is>
          <t>程序占位</t>
        </is>
      </c>
      <c r="L9" s="138" t="inlineStr">
        <is>
          <t>P1</t>
        </is>
      </c>
      <c r="M9" s="138" t="inlineStr">
        <is>
          <t>v001</t>
        </is>
      </c>
      <c r="N9" s="138" t="inlineStr">
        <is>
          <t>世界 24–40 px；UI 32 px</t>
        </is>
      </c>
      <c r="O9" s="138" t="str"/>
      <c r="P9" s="138" t="inlineStr">
        <is>
          <t>scenes/</t>
        </is>
      </c>
      <c r="Q9" s="138" t="str"/>
      <c r="R9" s="138">
        <f>LOWER(TRIM(C9)&amp;"|"&amp;TRIM(D9)&amp;"|"&amp;TRIM(E9)&amp;"|"&amp;TRIM(F9)&amp;"|"&amp;TRIM(H9)&amp;"|"&amp;TRIM(I9))</f>
        <v/>
      </c>
      <c r="S9" s="138">
        <f>IF(COUNTIF($R$6:$R$25,R9)&gt;1,"重复","唯一")</f>
        <v/>
      </c>
      <c r="T9" s="138" t="str"/>
      <c r="U9" s="138" t="inlineStr">
        <is>
          <t>待分配</t>
        </is>
      </c>
      <c r="V9" s="303" t="n">
        <v>46224</v>
      </c>
      <c r="W9" s="138" t="inlineStr">
        <is>
          <t>原创/待确认</t>
        </is>
      </c>
      <c r="X9" s="375" t="inlineStr">
        <is>
          <t>—</t>
        </is>
      </c>
      <c r="Y9" s="138" t="n"/>
    </row>
    <row r="10">
      <c r="A10" s="138" t="inlineStr">
        <is>
          <t>ITM-PICKUP-ROOM-KEY-PICKUP</t>
        </is>
      </c>
      <c r="B10" s="138" t="inlineStr">
        <is>
          <t>房间钥匙掉落</t>
        </is>
      </c>
      <c r="C10" s="138" t="inlineStr">
        <is>
          <t>道具</t>
        </is>
      </c>
      <c r="D10" s="138" t="inlineStr">
        <is>
          <t>pickup</t>
        </is>
      </c>
      <c r="E10" s="138" t="inlineStr">
        <is>
          <t>room_key_pickup</t>
        </is>
      </c>
      <c r="F10" s="138" t="inlineStr">
        <is>
          <t>root</t>
        </is>
      </c>
      <c r="G10" s="138" t="str"/>
      <c r="H10" s="138" t="inlineStr">
        <is>
          <t>顶视/图标</t>
        </is>
      </c>
      <c r="I10" s="138" t="inlineStr">
        <is>
          <t>default</t>
        </is>
      </c>
      <c r="J10" s="138" t="inlineStr">
        <is>
          <t>全部3D房间/清房奖励</t>
        </is>
      </c>
      <c r="K10" s="138" t="inlineStr">
        <is>
          <t>原型已接入</t>
        </is>
      </c>
      <c r="L10" s="138" t="inlineStr">
        <is>
          <t>P1</t>
        </is>
      </c>
      <c r="M10" s="138" t="inlineStr">
        <is>
          <t>v001</t>
        </is>
      </c>
      <c r="N10" s="138" t="inlineStr">
        <is>
          <t>程序模型/0.32s Tween</t>
        </is>
      </c>
      <c r="O10" s="138" t="inlineStr">
        <is>
          <t>src/world3d/RoomKeyPickup3D.gd</t>
        </is>
      </c>
      <c r="P10" s="138" t="inlineStr">
        <is>
          <t>src/world3d/RoomKeyPickup3D.gd</t>
        </is>
      </c>
      <c r="Q10" s="138" t="str"/>
      <c r="R10" s="138">
        <f>LOWER(TRIM(C10)&amp;"|"&amp;TRIM(D10)&amp;"|"&amp;TRIM(E10)&amp;"|"&amp;TRIM(F10)&amp;"|"&amp;TRIM(H10)&amp;"|"&amp;TRIM(I10))</f>
        <v/>
      </c>
      <c r="S10" s="138">
        <f>IF(COUNTIF($R$6:$R$25,R10)&gt;1,"重复","唯一")</f>
        <v/>
      </c>
      <c r="T10" s="138" t="inlineStr">
        <is>
          <t>c3fa58385895f6f62648ad2783d27b8b6148a97a0f0916dfe85f9fe67e351304</t>
        </is>
      </c>
      <c r="U10" s="138" t="inlineStr">
        <is>
          <t>Codex</t>
        </is>
      </c>
      <c r="V10" s="303" t="n">
        <v>46264</v>
      </c>
      <c r="W10" s="138" t="inlineStr">
        <is>
          <t>原创程序几何</t>
        </is>
      </c>
      <c r="X10" s="375" t="inlineStr">
        <is>
          <t>—</t>
        </is>
      </c>
      <c r="Y10" s="138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>
      <c r="A11" s="138" t="inlineStr">
        <is>
          <t>ITM-PICKUP-BASE-GROUND-ITEM</t>
        </is>
      </c>
      <c r="B11" s="138" t="inlineStr">
        <is>
          <t>地面物品底座</t>
        </is>
      </c>
      <c r="C11" s="138" t="inlineStr">
        <is>
          <t>道具</t>
        </is>
      </c>
      <c r="D11" s="138" t="inlineStr">
        <is>
          <t>pickup_base</t>
        </is>
      </c>
      <c r="E11" s="138" t="inlineStr">
        <is>
          <t>ground_item</t>
        </is>
      </c>
      <c r="F11" s="138" t="inlineStr">
        <is>
          <t>root</t>
        </is>
      </c>
      <c r="G11" s="138" t="str"/>
      <c r="H11" s="138" t="inlineStr">
        <is>
          <t>顶视/图标</t>
        </is>
      </c>
      <c r="I11" s="138" t="inlineStr">
        <is>
          <t>default</t>
        </is>
      </c>
      <c r="J11" s="138" t="inlineStr">
        <is>
          <t>地面掉落/背包投影</t>
        </is>
      </c>
      <c r="K11" s="138" t="inlineStr">
        <is>
          <t>原型已接入</t>
        </is>
      </c>
      <c r="L11" s="138" t="inlineStr">
        <is>
          <t>P2</t>
        </is>
      </c>
      <c r="M11" s="138" t="inlineStr">
        <is>
          <t>v001</t>
        </is>
      </c>
      <c r="N11" s="138" t="inlineStr">
        <is>
          <t>程序模型/0.32s Tween</t>
        </is>
      </c>
      <c r="O11" s="138" t="inlineStr">
        <is>
          <t>src/world3d/GroundLootPickup3D.gd</t>
        </is>
      </c>
      <c r="P11" s="138" t="inlineStr">
        <is>
          <t>src/world3d/GroundLootPickup3D.gd</t>
        </is>
      </c>
      <c r="Q11" s="138" t="str"/>
      <c r="R11" s="138">
        <f>LOWER(TRIM(C11)&amp;"|"&amp;TRIM(D11)&amp;"|"&amp;TRIM(E11)&amp;"|"&amp;TRIM(F11)&amp;"|"&amp;TRIM(H11)&amp;"|"&amp;TRIM(I11))</f>
        <v/>
      </c>
      <c r="S11" s="138">
        <f>IF(COUNTIF($R$6:$R$25,R11)&gt;1,"重复","唯一")</f>
        <v/>
      </c>
      <c r="T11" s="138" t="inlineStr">
        <is>
          <t>97741ce50aabc60ff61a26676e653a5cbc6528f1e43a70b438e385198f00ef11</t>
        </is>
      </c>
      <c r="U11" s="138" t="inlineStr">
        <is>
          <t>Codex</t>
        </is>
      </c>
      <c r="V11" s="303" t="n">
        <v>46264</v>
      </c>
      <c r="W11" s="138" t="inlineStr">
        <is>
          <t>原创程序几何</t>
        </is>
      </c>
      <c r="X11" s="375" t="inlineStr">
        <is>
          <t>—</t>
        </is>
      </c>
      <c r="Y11" s="138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>
      <c r="A12" s="138" t="inlineStr">
        <is>
          <t>PRP-BASE-BRIEFING</t>
        </is>
      </c>
      <c r="B12" s="138" t="inlineStr">
        <is>
          <t>远征情报终端 / 战术情报指挥桌</t>
        </is>
      </c>
      <c r="C12" s="138" t="inlineStr">
        <is>
          <t>道具</t>
        </is>
      </c>
      <c r="D12" s="138" t="inlineStr">
        <is>
          <t>base_facility</t>
        </is>
      </c>
      <c r="E12" s="138" t="inlineStr">
        <is>
          <t>mission_operations</t>
        </is>
      </c>
      <c r="F12" s="138" t="inlineStr">
        <is>
          <t>root</t>
        </is>
      </c>
      <c r="G12" s="138" t="str"/>
      <c r="H12" s="138" t="inlineStr">
        <is>
          <t>Top3D / local -Z 正面</t>
        </is>
      </c>
      <c r="I12" s="138" t="inlineStr">
        <is>
          <t>default / 独立交互场景</t>
        </is>
      </c>
      <c r="J12" s="138" t="inlineStr">
        <is>
          <t>BaseWorld3D/TowerDescent99F</t>
        </is>
      </c>
      <c r="K12" s="138" t="inlineStr">
        <is>
          <t>已完成</t>
        </is>
      </c>
      <c r="L12" s="138" t="inlineStr">
        <is>
          <t>P1</t>
        </is>
      </c>
      <c r="M12" s="138" t="inlineStr">
        <is>
          <t>v003</t>
        </is>
      </c>
      <c r="N12" s="138" t="inlineStr">
        <is>
          <t>4材质；主体/自发光分离；独立GLB/PackedScene</t>
        </is>
      </c>
      <c r="O12" s="138" t="inlineStr">
        <is>
          <t>assets/art/props/base_world_3d/runtime/mission_operations/prp_base_mission_operations_root_top3d_v001.tscn</t>
        </is>
      </c>
      <c r="P12" s="138" t="inlineStr">
        <is>
          <t>assets/art/props/base_world_3d/source/mission_operations/prp_base_mission_operations_source_v003.blend; src/base3d/BaseFacility3D.gd; src/world3d/TowerDescent3D.gd</t>
        </is>
      </c>
      <c r="Q12" s="138" t="inlineStr">
        <is>
          <t>mission_operations; 战术情报指挥桌; 基地设施; 多巴胺配色; 自发光分离</t>
        </is>
      </c>
      <c r="R12" s="138">
        <f>LOWER(TRIM(C12)&amp;"|"&amp;TRIM(D12)&amp;"|"&amp;TRIM(E12)&amp;"|"&amp;TRIM(F12)&amp;"|"&amp;TRIM(H12)&amp;"|"&amp;TRIM(I12))</f>
        <v/>
      </c>
      <c r="S12" s="138">
        <f>IF(COUNTIF($R$6:$R$25,R12)&gt;1,"重复","唯一")</f>
        <v/>
      </c>
      <c r="T12" s="138" t="inlineStr">
        <is>
          <t>4c54dda7f6f0d97db1e697f84b991718a795200ab74e7c14dbe3d3380c58246e</t>
        </is>
      </c>
      <c r="U12" s="138" t="inlineStr">
        <is>
          <t>Codex</t>
        </is>
      </c>
      <c r="V12" s="303" t="n">
        <v>46264</v>
      </c>
      <c r="W12" s="138" t="inlineStr">
        <is>
          <t>用户自制Blender资产</t>
        </is>
      </c>
      <c r="X12" s="375" t="inlineStr">
        <is>
          <t>—</t>
        </is>
      </c>
      <c r="Y12" s="138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>
      <c r="A13" s="138" t="inlineStr">
        <is>
          <t>PRP-BASE-WORKSHOP</t>
        </is>
      </c>
      <c r="B13" s="138" t="inlineStr">
        <is>
          <t>枪械工坊 / 赛博维修工作台</t>
        </is>
      </c>
      <c r="C13" s="138" t="inlineStr">
        <is>
          <t>道具</t>
        </is>
      </c>
      <c r="D13" s="138" t="inlineStr">
        <is>
          <t>base_facility</t>
        </is>
      </c>
      <c r="E13" s="138" t="inlineStr">
        <is>
          <t>weapon_workshop</t>
        </is>
      </c>
      <c r="F13" s="138" t="inlineStr">
        <is>
          <t>root</t>
        </is>
      </c>
      <c r="G13" s="138" t="str"/>
      <c r="H13" s="138" t="inlineStr">
        <is>
          <t>Top3D / local -Z 正面</t>
        </is>
      </c>
      <c r="I13" s="138" t="inlineStr">
        <is>
          <t>default / 独立交互场景</t>
        </is>
      </c>
      <c r="J13" s="138" t="inlineStr">
        <is>
          <t>BaseWorld3D/TowerDescent99F</t>
        </is>
      </c>
      <c r="K13" s="138" t="inlineStr">
        <is>
          <t>已完成</t>
        </is>
      </c>
      <c r="L13" s="138" t="inlineStr">
        <is>
          <t>P1</t>
        </is>
      </c>
      <c r="M13" s="138" t="inlineStr">
        <is>
          <t>v003</t>
        </is>
      </c>
      <c r="N13" s="138" t="inlineStr">
        <is>
          <t>4材质；主体/自发光分离；独立GLB/PackedScene</t>
        </is>
      </c>
      <c r="O13" s="138" t="inlineStr">
        <is>
          <t>assets/art/props/base_world_3d/runtime/weapon_workshop/prp_base_weapon_workshop_root_top3d_v001.tscn</t>
        </is>
      </c>
      <c r="P13" s="138" t="inlineStr">
        <is>
          <t>assets/art/props/base_world_3d/source/weapon_workshop/prp_base_weapon_workshop_source_v003.blend; src/base3d/BaseFacility3D.gd; src/world3d/TowerDescent3D.gd</t>
        </is>
      </c>
      <c r="Q13" s="138" t="inlineStr">
        <is>
          <t>weapon_workshop; 赛博维修工作台; 基地设施; 多巴胺配色; 自发光分离</t>
        </is>
      </c>
      <c r="R13" s="138">
        <f>LOWER(TRIM(C13)&amp;"|"&amp;TRIM(D13)&amp;"|"&amp;TRIM(E13)&amp;"|"&amp;TRIM(F13)&amp;"|"&amp;TRIM(H13)&amp;"|"&amp;TRIM(I13))</f>
        <v/>
      </c>
      <c r="S13" s="138">
        <f>IF(COUNTIF($R$6:$R$25,R13)&gt;1,"重复","唯一")</f>
        <v/>
      </c>
      <c r="T13" s="138" t="inlineStr">
        <is>
          <t>3026e360fa67a3362ad45fc6bab0e70917b935213f0de105ef53416d47154796</t>
        </is>
      </c>
      <c r="U13" s="138" t="inlineStr">
        <is>
          <t>Codex</t>
        </is>
      </c>
      <c r="V13" s="303" t="n">
        <v>46264</v>
      </c>
      <c r="W13" s="138" t="inlineStr">
        <is>
          <t>用户自制Blender资产</t>
        </is>
      </c>
      <c r="X13" s="375" t="inlineStr">
        <is>
          <t>—</t>
        </is>
      </c>
      <c r="Y13" s="138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>
      <c r="A14" s="392" t="inlineStr">
        <is>
          <t>ITM-EQUIPMENT-BACKPACK-3D</t>
        </is>
      </c>
      <c r="B14" s="392" t="inlineStr">
        <is>
          <t>可装备背包3D占位模型</t>
        </is>
      </c>
      <c r="C14" s="392" t="inlineStr">
        <is>
          <t>道具</t>
        </is>
      </c>
      <c r="D14" s="392" t="inlineStr">
        <is>
          <t>equipment</t>
        </is>
      </c>
      <c r="E14" s="392" t="inlineStr">
        <is>
          <t>equipment_backpack</t>
        </is>
      </c>
      <c r="F14" s="392" t="inlineStr">
        <is>
          <t>root_3d</t>
        </is>
      </c>
      <c r="G14" s="392" t="n"/>
      <c r="H14" s="392" t="inlineStr">
        <is>
          <t>俯视3D</t>
        </is>
      </c>
      <c r="I14" s="392" t="inlineStr">
        <is>
          <t>default</t>
        </is>
      </c>
      <c r="J14" s="392" t="inlineStr">
        <is>
          <t>地面拾取/UI图标/角色背部共用</t>
        </is>
      </c>
      <c r="K14" s="392" t="inlineStr">
        <is>
          <t>程序占位</t>
        </is>
      </c>
      <c r="L14" s="392" t="inlineStr">
        <is>
          <t>P0</t>
        </is>
      </c>
      <c r="M14" s="392" t="inlineStr">
        <is>
          <t>v001</t>
        </is>
      </c>
      <c r="N14" s="392" t="inlineStr">
        <is>
          <t>BoxMesh组件；2/4/8格三档体积、主色与1/2/3附袋</t>
        </is>
      </c>
      <c r="O14" s="392" t="n"/>
      <c r="P14" s="392" t="inlineStr">
        <is>
          <t>src/world3d/ItemModelFactory3D.gd; src/base/ItemRegistry.gd; tests/verification/verify_backpack_equipment_flow.tscn</t>
        </is>
      </c>
      <c r="Q14" s="392" t="inlineStr">
        <is>
          <t>轻型腰包;战术背包;远征背包;backpack;2格;4格;8格</t>
        </is>
      </c>
      <c r="R14" s="392">
        <f>LOWER(TRIM(C14)&amp;"|"&amp;TRIM(D14)&amp;"|"&amp;TRIM(E14)&amp;"|"&amp;TRIM(F14)&amp;"|"&amp;TRIM(H14)&amp;"|"&amp;TRIM(I14))</f>
        <v/>
      </c>
      <c r="S14" s="392">
        <f>IF(COUNTIF($R$6:$R$25,R14)&gt;1,"重复","唯一")</f>
        <v/>
      </c>
      <c r="T14" s="392" t="n"/>
      <c r="U14" s="392" t="inlineStr">
        <is>
          <t>Codex</t>
        </is>
      </c>
      <c r="V14" s="392" t="n">
        <v>46240</v>
      </c>
      <c r="W14" s="392" t="inlineStr">
        <is>
          <t>原创程序几何</t>
        </is>
      </c>
      <c r="X14" s="375" t="inlineStr">
        <is>
          <t>—</t>
        </is>
      </c>
      <c r="Y14" s="392" t="inlineStr">
        <is>
          <t>同一模型工厂服务equipment_backpack_2/4/8，避免世界物、UI图标和背部表现重复资产；无玩法碰撞，正式模型完成前保持程序占位状态。</t>
        </is>
      </c>
    </row>
    <row r="15">
      <c r="A15" s="308" t="inlineStr">
        <is>
          <t>PRP-BASE-VENDING-MACHINE-3D</t>
        </is>
      </c>
      <c r="B15" s="309" t="inlineStr">
        <is>
          <t>基地科幻自动贩卖机</t>
        </is>
      </c>
      <c r="C15" s="309" t="inlineStr">
        <is>
          <t>道具</t>
        </is>
      </c>
      <c r="D15" s="309" t="inlineStr">
        <is>
          <t>base_facility</t>
        </is>
      </c>
      <c r="E15" s="309" t="inlineStr">
        <is>
          <t>base_vending</t>
        </is>
      </c>
      <c r="F15" s="309" t="inlineStr">
        <is>
          <t>root</t>
        </is>
      </c>
      <c r="G15" s="309" t="inlineStr">
        <is>
          <t>PRP-BASE-FACILITY-3D</t>
        </is>
      </c>
      <c r="H15" s="309" t="inlineStr">
        <is>
          <t>Top3D / local -Z 正面</t>
        </is>
      </c>
      <c r="I15" s="309" t="inlineStr">
        <is>
          <t>default / 独立交互场景</t>
        </is>
      </c>
      <c r="J15" s="309" t="inlineStr">
        <is>
          <t>BaseWorld3D/TowerDescent99F</t>
        </is>
      </c>
      <c r="K15" s="309" t="inlineStr">
        <is>
          <t>已完成</t>
        </is>
      </c>
      <c r="L15" s="309" t="inlineStr">
        <is>
          <t>P0</t>
        </is>
      </c>
      <c r="M15" s="309" t="inlineStr">
        <is>
          <t>v002</t>
        </is>
      </c>
      <c r="N15" s="309" t="inlineStr">
        <is>
          <t>4材质；主体/自发光分离；独立GLB/PackedScene</t>
        </is>
      </c>
      <c r="O15" s="309" t="inlineStr">
        <is>
          <t>assets/art/props/base_world_3d/runtime/vending_machine/prp_base_vending_machine_root_top3d_v002.tscn</t>
        </is>
      </c>
      <c r="P15" s="309" t="inlineStr">
        <is>
          <t>assets/art/props/base_world_3d/source/vending_machine/prp_base_vending_machine_source_v001.blend; src/base3d/BaseFacility3D.gd; src/world3d/TowerDescent3D.gd</t>
        </is>
      </c>
      <c r="Q15" s="309" t="inlineStr">
        <is>
          <t>base_vending; 科幻自动贩卖机; 基地设施; 多巴胺配色; 自发光分离</t>
        </is>
      </c>
      <c r="R15" s="309">
        <f>LOWER(TRIM(C15)&amp;"|"&amp;TRIM(D15)&amp;"|"&amp;TRIM(E15)&amp;"|"&amp;TRIM(F15)&amp;"|"&amp;TRIM(H15)&amp;"|"&amp;TRIM(I15))</f>
        <v/>
      </c>
      <c r="S15" s="309">
        <f>IF(COUNTIF($R$6:$R$25,R15)&gt;1,"重复","唯一")</f>
        <v/>
      </c>
      <c r="T15" s="309" t="inlineStr">
        <is>
          <t>527cb1b22eec644c0869b8dc321968438bde91500f90d69fa0d41d0fa568229d</t>
        </is>
      </c>
      <c r="U15" s="309" t="inlineStr">
        <is>
          <t>Codex</t>
        </is>
      </c>
      <c r="V15" s="310" t="n">
        <v>46264</v>
      </c>
      <c r="W15" s="309" t="inlineStr">
        <is>
          <t>用户自制Blender资产</t>
        </is>
      </c>
      <c r="X15" s="375" t="inlineStr">
        <is>
          <t>—</t>
        </is>
      </c>
      <c r="Y15" s="309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>
      <c r="A16" s="308" t="inlineStr">
        <is>
          <t>PRP-BASE-LOCKER-STATION-3D</t>
        </is>
      </c>
      <c r="B16" s="309" t="inlineStr">
        <is>
          <t>赛博储物站</t>
        </is>
      </c>
      <c r="C16" s="309" t="inlineStr">
        <is>
          <t>道具</t>
        </is>
      </c>
      <c r="D16" s="309" t="inlineStr">
        <is>
          <t>base_facility</t>
        </is>
      </c>
      <c r="E16" s="309" t="inlineStr">
        <is>
          <t>vault</t>
        </is>
      </c>
      <c r="F16" s="309" t="inlineStr">
        <is>
          <t>root</t>
        </is>
      </c>
      <c r="G16" s="309" t="inlineStr">
        <is>
          <t>PRP-BASE-FACILITY-3D</t>
        </is>
      </c>
      <c r="H16" s="309" t="inlineStr">
        <is>
          <t>Top3D / local -Z 正面</t>
        </is>
      </c>
      <c r="I16" s="309" t="inlineStr">
        <is>
          <t>default / 正式交互设施</t>
        </is>
      </c>
      <c r="J16" s="309" t="inlineStr">
        <is>
          <t>基地99层/保险柜设施</t>
        </is>
      </c>
      <c r="K16" s="309" t="inlineStr">
        <is>
          <t>已完成</t>
        </is>
      </c>
      <c r="L16" s="309" t="inlineStr">
        <is>
          <t>P2</t>
        </is>
      </c>
      <c r="M16" s="309" t="inlineStr">
        <is>
          <t>v004</t>
        </is>
      </c>
      <c r="N16" s="309" t="inlineStr">
        <is>
          <t>4材质；主体/自发光分离；独立GLB/PackedScene</t>
        </is>
      </c>
      <c r="O16" s="309" t="inlineStr">
        <is>
          <t>assets/art/props/base_world_3d/runtime/locker_station/prp_base_locker_station_root_top3d_v001.tscn</t>
        </is>
      </c>
      <c r="P16" s="309" t="inlineStr">
        <is>
          <t>assets/art/props/base_world_3d/source/locker_station/prp_base_locker_station_source_v004.blend</t>
        </is>
      </c>
      <c r="Q16" s="309" t="inlineStr">
        <is>
          <t>vault; 保险柜; 赛博储物站; 仓储设施</t>
        </is>
      </c>
      <c r="R16" s="309">
        <f>LOWER(TRIM(C16)&amp;"|"&amp;TRIM(D16)&amp;"|"&amp;TRIM(E16)&amp;"|"&amp;TRIM(F16)&amp;"|"&amp;TRIM(H16)&amp;"|"&amp;TRIM(I16))</f>
        <v/>
      </c>
      <c r="S16" s="309">
        <f>IF(COUNTIF($R$6:$R$25,R16)&gt;1,"重复","唯一")</f>
        <v/>
      </c>
      <c r="T16" s="309" t="inlineStr">
        <is>
          <t>bc75b86a6e37fba24dff86f2f108f3bd0be10622baf7e59b2dd84d49795b33d5</t>
        </is>
      </c>
      <c r="U16" s="309" t="inlineStr">
        <is>
          <t>Codex</t>
        </is>
      </c>
      <c r="V16" s="310" t="n">
        <v>46264</v>
      </c>
      <c r="W16" s="309" t="inlineStr">
        <is>
          <t>用户自制Blender资产</t>
        </is>
      </c>
      <c r="X16" s="375" t="inlineStr">
        <is>
          <t>—</t>
        </is>
      </c>
      <c r="Y16" s="309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>
      <c r="A17" s="308" t="inlineStr">
        <is>
          <t>PRP-BASE-RETRO-TV-STATION-3D</t>
        </is>
      </c>
      <c r="B17" s="309" t="inlineStr">
        <is>
          <t>复古游戏电视站</t>
        </is>
      </c>
      <c r="C17" s="309" t="inlineStr">
        <is>
          <t>道具</t>
        </is>
      </c>
      <c r="D17" s="309" t="inlineStr">
        <is>
          <t>base_facility</t>
        </is>
      </c>
      <c r="E17" s="309" t="inlineStr">
        <is>
          <t>fate_collection</t>
        </is>
      </c>
      <c r="F17" s="309" t="inlineStr">
        <is>
          <t>root</t>
        </is>
      </c>
      <c r="G17" s="309" t="inlineStr">
        <is>
          <t>PRP-BASE-FACILITY-3D</t>
        </is>
      </c>
      <c r="H17" s="309" t="inlineStr">
        <is>
          <t>Top3D / local -Z 正面</t>
        </is>
      </c>
      <c r="I17" s="309" t="inlineStr">
        <is>
          <t>default / 正式交互设施</t>
        </is>
      </c>
      <c r="J17" s="309" t="inlineStr">
        <is>
          <t>基地99层/命运卡收藏室</t>
        </is>
      </c>
      <c r="K17" s="309" t="inlineStr">
        <is>
          <t>已完成</t>
        </is>
      </c>
      <c r="L17" s="309" t="inlineStr">
        <is>
          <t>P2</t>
        </is>
      </c>
      <c r="M17" s="309" t="inlineStr">
        <is>
          <t>v004</t>
        </is>
      </c>
      <c r="N17" s="309" t="inlineStr">
        <is>
          <t>4材质；主体/自发光分离；独立GLB/PackedScene</t>
        </is>
      </c>
      <c r="O17" s="309" t="inlineStr">
        <is>
          <t>assets/art/props/base_world_3d/runtime/retro_tv_station/prp_base_retro_tv_station_root_top3d_v001.tscn</t>
        </is>
      </c>
      <c r="P17" s="309" t="inlineStr">
        <is>
          <t>assets/art/props/base_world_3d/source/retro_tv_station/prp_base_retro_tv_station_source_v004.blend</t>
        </is>
      </c>
      <c r="Q17" s="309" t="inlineStr">
        <is>
          <t>fate_collection; 命运卡收藏室; 复古游戏电视站; 收藏设施</t>
        </is>
      </c>
      <c r="R17" s="309">
        <f>LOWER(TRIM(C17)&amp;"|"&amp;TRIM(D17)&amp;"|"&amp;TRIM(E17)&amp;"|"&amp;TRIM(F17)&amp;"|"&amp;TRIM(H17)&amp;"|"&amp;TRIM(I17))</f>
        <v/>
      </c>
      <c r="S17" s="309">
        <f>IF(COUNTIF($R$6:$R$25,R17)&gt;1,"重复","唯一")</f>
        <v/>
      </c>
      <c r="T17" s="309" t="inlineStr">
        <is>
          <t>fcba0ee6bbb657b3cd4a1d87d32284b15b9d75ad54d10b60ed6dc8d45c045856</t>
        </is>
      </c>
      <c r="U17" s="309" t="inlineStr">
        <is>
          <t>Codex</t>
        </is>
      </c>
      <c r="V17" s="310" t="n">
        <v>46264</v>
      </c>
      <c r="W17" s="309" t="inlineStr">
        <is>
          <t>用户自制Blender资产</t>
        </is>
      </c>
      <c r="X17" s="375" t="inlineStr">
        <is>
          <t>—</t>
        </is>
      </c>
      <c r="Y17" s="309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>
      <c r="A18" s="308" t="inlineStr">
        <is>
          <t>PRP-BASE-WORKSHOP-STOOL-3D</t>
        </is>
      </c>
      <c r="B18" s="309" t="inlineStr">
        <is>
          <t>赛博维修圆凳</t>
        </is>
      </c>
      <c r="C18" s="309" t="inlineStr">
        <is>
          <t>道具</t>
        </is>
      </c>
      <c r="D18" s="309" t="inlineStr">
        <is>
          <t>decor_prop</t>
        </is>
      </c>
      <c r="E18" s="309" t="inlineStr">
        <is>
          <t>workshop_stool</t>
        </is>
      </c>
      <c r="F18" s="309" t="inlineStr">
        <is>
          <t>root</t>
        </is>
      </c>
      <c r="G18" s="309" t="n"/>
      <c r="H18" s="309" t="inlineStr">
        <is>
          <t>Top3D / local -Z 正面</t>
        </is>
      </c>
      <c r="I18" s="309" t="inlineStr">
        <is>
          <t>default / 独立装饰场景</t>
        </is>
      </c>
      <c r="J18" s="309" t="inlineStr">
        <is>
          <t>基地99层美术布置层</t>
        </is>
      </c>
      <c r="K18" s="309" t="inlineStr">
        <is>
          <t>已完成</t>
        </is>
      </c>
      <c r="L18" s="309" t="inlineStr">
        <is>
          <t>P2</t>
        </is>
      </c>
      <c r="M18" s="309" t="inlineStr">
        <is>
          <t>v001</t>
        </is>
      </c>
      <c r="N18" s="309" t="inlineStr">
        <is>
          <t>最多4材质；独立GLB/PackedScene；无交互碰撞</t>
        </is>
      </c>
      <c r="O18" s="309" t="inlineStr">
        <is>
          <t>assets/art/props/base_world_3d/runtime/workshop_stool/prp_base_workshop_stool_root_top3d_v001.tscn</t>
        </is>
      </c>
      <c r="P18" s="309" t="inlineStr">
        <is>
          <t>assets/art/props/base_world_3d/source/workshop_stool/prp_base_workshop_stool_source_v001.blend</t>
        </is>
      </c>
      <c r="Q18" s="309" t="inlineStr">
        <is>
          <t>workshop_stool; 赛博维修圆凳; 独立座椅; 可移动装饰</t>
        </is>
      </c>
      <c r="R18" s="309">
        <f>LOWER(TRIM(C18)&amp;"|"&amp;TRIM(D18)&amp;"|"&amp;TRIM(E18)&amp;"|"&amp;TRIM(F18)&amp;"|"&amp;TRIM(H18)&amp;"|"&amp;TRIM(I18))</f>
        <v/>
      </c>
      <c r="S18" s="309">
        <f>IF(COUNTIF($R$6:$R$25,R18)&gt;1,"重复","唯一")</f>
        <v/>
      </c>
      <c r="T18" s="309" t="inlineStr">
        <is>
          <t>802506f1cff4d0ee7bb22b0e3a20c34d4b2c87fdb7e699d7c0e2c294aaa66abf</t>
        </is>
      </c>
      <c r="U18" s="309" t="inlineStr">
        <is>
          <t>Codex</t>
        </is>
      </c>
      <c r="V18" s="310" t="n">
        <v>46264</v>
      </c>
      <c r="W18" s="309" t="inlineStr">
        <is>
          <t>用户自制Blender资产</t>
        </is>
      </c>
      <c r="X18" s="375" t="inlineStr">
        <is>
          <t>—</t>
        </is>
      </c>
      <c r="Y18" s="309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t>
        </is>
      </c>
    </row>
    <row r="19">
      <c r="A19" s="308" t="inlineStr">
        <is>
          <t>PRP-BASE-MISSION-COMMAND-CHAIR-3D</t>
        </is>
      </c>
      <c r="B19" s="309" t="inlineStr">
        <is>
          <t>战术指挥椅</t>
        </is>
      </c>
      <c r="C19" s="309" t="inlineStr">
        <is>
          <t>道具</t>
        </is>
      </c>
      <c r="D19" s="309" t="inlineStr">
        <is>
          <t>decor_prop</t>
        </is>
      </c>
      <c r="E19" s="309" t="inlineStr">
        <is>
          <t>mission_command_chair</t>
        </is>
      </c>
      <c r="F19" s="309" t="inlineStr">
        <is>
          <t>root</t>
        </is>
      </c>
      <c r="G19" s="309" t="n"/>
      <c r="H19" s="309" t="inlineStr">
        <is>
          <t>Top3D / local -Z 正面</t>
        </is>
      </c>
      <c r="I19" s="309" t="inlineStr">
        <is>
          <t>default / 独立装饰场景</t>
        </is>
      </c>
      <c r="J19" s="309" t="inlineStr">
        <is>
          <t>基地99层美术布置层</t>
        </is>
      </c>
      <c r="K19" s="309" t="inlineStr">
        <is>
          <t>已完成</t>
        </is>
      </c>
      <c r="L19" s="309" t="inlineStr">
        <is>
          <t>P2</t>
        </is>
      </c>
      <c r="M19" s="309" t="inlineStr">
        <is>
          <t>v001</t>
        </is>
      </c>
      <c r="N19" s="309" t="inlineStr">
        <is>
          <t>最多4材质；独立GLB/PackedScene；无交互碰撞</t>
        </is>
      </c>
      <c r="O19" s="309" t="inlineStr">
        <is>
          <t>assets/art/props/base_world_3d/runtime/mission_command_chair/prp_base_mission_command_chair_root_top3d_v001.tscn</t>
        </is>
      </c>
      <c r="P19" s="309" t="inlineStr">
        <is>
          <t>assets/art/props/base_world_3d/source/mission_command_chair/prp_base_mission_command_chair_source_v001.blend</t>
        </is>
      </c>
      <c r="Q19" s="309" t="inlineStr">
        <is>
          <t>mission_command_chair; 战术指挥椅; 独立座椅; 可移动装饰</t>
        </is>
      </c>
      <c r="R19" s="309">
        <f>LOWER(TRIM(C19)&amp;"|"&amp;TRIM(D19)&amp;"|"&amp;TRIM(E19)&amp;"|"&amp;TRIM(F19)&amp;"|"&amp;TRIM(H19)&amp;"|"&amp;TRIM(I19))</f>
        <v/>
      </c>
      <c r="S19" s="309">
        <f>IF(COUNTIF($R$6:$R$25,R19)&gt;1,"重复","唯一")</f>
        <v/>
      </c>
      <c r="T19" s="309" t="inlineStr">
        <is>
          <t>576769edb34e09f4fd113c2f69b2f00ef8fb87afe12795241aa928b4a5ac585c</t>
        </is>
      </c>
      <c r="U19" s="309" t="inlineStr">
        <is>
          <t>Codex</t>
        </is>
      </c>
      <c r="V19" s="310" t="n">
        <v>46264</v>
      </c>
      <c r="W19" s="309" t="inlineStr">
        <is>
          <t>用户自制Blender资产</t>
        </is>
      </c>
      <c r="X19" s="375" t="inlineStr">
        <is>
          <t>—</t>
        </is>
      </c>
      <c r="Y19" s="309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t>
        </is>
      </c>
    </row>
    <row r="20">
      <c r="A20" t="inlineStr">
        <is>
          <t>PRP-BASE99-EAST-SUPPLY-24H-STATION-FACILITY-3D</t>
        </is>
      </c>
      <c r="B20" t="inlineStr">
        <is>
          <t>99F SUPPLY24H自动补给机（自动贩卖机）</t>
        </is>
      </c>
      <c r="C20" t="inlineStr">
        <is>
          <t>道具</t>
        </is>
      </c>
      <c r="D20" t="inlineStr">
        <is>
          <t>base_facility</t>
        </is>
      </c>
      <c r="E20" t="inlineStr">
        <is>
          <t>base_vending</t>
        </is>
      </c>
      <c r="F20" t="inlineStr">
        <is>
          <t>root</t>
        </is>
      </c>
      <c r="G20" t="inlineStr">
        <is>
          <t>PRP-BASE-FACILITY-3D</t>
        </is>
      </c>
      <c r="H20" t="inlineStr">
        <is>
          <t>Top3D / 模型包围盒外扩0.8m</t>
        </is>
      </c>
      <c r="I20" t="inlineStr">
        <is>
          <t>default / 99F正式交互设施</t>
        </is>
      </c>
      <c r="J20" t="inlineStr">
        <is>
          <t>TowerDescent99F / base_vending</t>
        </is>
      </c>
      <c r="K20" t="inlineStr">
        <is>
          <t>正式美术已接入</t>
        </is>
      </c>
      <c r="L20" t="inlineStr">
        <is>
          <t>P1</t>
        </is>
      </c>
      <c r="M20" t="inlineStr">
        <is>
          <t>v001</t>
        </is>
      </c>
      <c r="N20" t="inlineStr">
        <is>
          <t>交互盒 4.720001×6.05×4.7m；模型包围盒+0.8m</t>
        </is>
      </c>
      <c r="O20" t="inlineStr">
        <is>
          <t>assets/art/environments/base_facility_3d/runtime/env_base99_remaining_facilities/east_supply_24h_station/east_supply_24h_station_facility_top3d.tscn</t>
        </is>
      </c>
      <c r="P20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t="inlineStr">
        <is>
          <t>base_vending; 自动贩卖机; SUPPLY24H; BaseFacility3D; 0.8m</t>
        </is>
      </c>
      <c r="R20">
        <f>LOWER(TRIM(C20)&amp;"|"&amp;TRIM(D20)&amp;"|"&amp;TRIM(E20)&amp;"|"&amp;TRIM(F20)&amp;"|"&amp;TRIM(H20)&amp;"|"&amp;TRIM(I20))</f>
        <v/>
      </c>
      <c r="S20">
        <f>IF(COUNTIF($R$6:$R$25,R20)&gt;1,"重复","唯一")</f>
        <v/>
      </c>
      <c r="T20" t="inlineStr">
        <is>
          <t>6b3ecf421b15f460ba50fd4691a8038b8a1ec7f4b5c485a5808f3f4ed86d1491</t>
        </is>
      </c>
      <c r="U20" t="inlineStr">
        <is>
          <t>Codex</t>
        </is>
      </c>
      <c r="V20" t="n">
        <v>46276</v>
      </c>
      <c r="W20" t="inlineStr">
        <is>
          <t>用户自制Blender资产</t>
        </is>
      </c>
      <c r="X20" t="inlineStr">
        <is>
          <t>72</t>
        </is>
      </c>
      <c r="Y20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>
      <c r="A21" t="inlineStr">
        <is>
          <t>PRP-BASE99-NARROW-BATTERY-CABINET-FACILITY-3D</t>
        </is>
      </c>
      <c r="B21" t="inlineStr">
        <is>
          <t>99F 窄型电池柜（保险柜）</t>
        </is>
      </c>
      <c r="C21" t="inlineStr">
        <is>
          <t>道具</t>
        </is>
      </c>
      <c r="D21" t="inlineStr">
        <is>
          <t>base_facility</t>
        </is>
      </c>
      <c r="E21" t="inlineStr">
        <is>
          <t>vault</t>
        </is>
      </c>
      <c r="F21" t="inlineStr">
        <is>
          <t>root</t>
        </is>
      </c>
      <c r="G21" t="inlineStr">
        <is>
          <t>PRP-BASE-FACILITY-3D</t>
        </is>
      </c>
      <c r="H21" t="inlineStr">
        <is>
          <t>Top3D / 模型包围盒外扩0.8m</t>
        </is>
      </c>
      <c r="I21" t="inlineStr">
        <is>
          <t>default / 99F正式交互设施</t>
        </is>
      </c>
      <c r="J21" t="inlineStr">
        <is>
          <t>TowerDescent99F / vault</t>
        </is>
      </c>
      <c r="K21" t="inlineStr">
        <is>
          <t>正式美术已接入</t>
        </is>
      </c>
      <c r="L21" t="inlineStr">
        <is>
          <t>P1</t>
        </is>
      </c>
      <c r="M21" t="inlineStr">
        <is>
          <t>v001</t>
        </is>
      </c>
      <c r="N21" t="inlineStr">
        <is>
          <t>交互盒 3.18×4.82×2.39m；模型包围盒+0.8m</t>
        </is>
      </c>
      <c r="O21" t="inlineStr">
        <is>
          <t>assets/art/environments/base_facility_3d/runtime/env_base99_remaining_facilities/narrow_battery_cabinet/narrow_battery_cabinet_facility_top3d.tscn</t>
        </is>
      </c>
      <c r="P21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t="inlineStr">
        <is>
          <t>vault; 保险柜; 窄型电池柜; BaseFacility3D; 0.8m</t>
        </is>
      </c>
      <c r="R21">
        <f>LOWER(TRIM(C21)&amp;"|"&amp;TRIM(D21)&amp;"|"&amp;TRIM(E21)&amp;"|"&amp;TRIM(F21)&amp;"|"&amp;TRIM(H21)&amp;"|"&amp;TRIM(I21))</f>
        <v/>
      </c>
      <c r="S21">
        <f>IF(COUNTIF($R$6:$R$25,R21)&gt;1,"重复","唯一")</f>
        <v/>
      </c>
      <c r="T21" t="inlineStr">
        <is>
          <t>27e61debb65f3771981b3095b6bcd8c9f58b369cf31c79245c53718225cfae15</t>
        </is>
      </c>
      <c r="U21" t="inlineStr">
        <is>
          <t>Codex</t>
        </is>
      </c>
      <c r="V21" t="n">
        <v>46276</v>
      </c>
      <c r="W21" t="inlineStr">
        <is>
          <t>用户自制Blender资产</t>
        </is>
      </c>
      <c r="X21" t="inlineStr">
        <is>
          <t>47</t>
        </is>
      </c>
      <c r="Y21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>
      <c r="A22" t="inlineStr">
        <is>
          <t>PRP-BASE99-WEAPON-WORKSHOP-STATION-FACILITY-3D</t>
        </is>
      </c>
      <c r="B22" t="inlineStr">
        <is>
          <t>99F 武器工作台（怪物档案室）</t>
        </is>
      </c>
      <c r="C22" t="inlineStr">
        <is>
          <t>道具</t>
        </is>
      </c>
      <c r="D22" t="inlineStr">
        <is>
          <t>base_facility</t>
        </is>
      </c>
      <c r="E22" t="inlineStr">
        <is>
          <t>monster_archive</t>
        </is>
      </c>
      <c r="F22" t="inlineStr">
        <is>
          <t>root</t>
        </is>
      </c>
      <c r="G22" t="inlineStr">
        <is>
          <t>PRP-BASE-FACILITY-3D</t>
        </is>
      </c>
      <c r="H22" t="inlineStr">
        <is>
          <t>Top3D / 模型包围盒外扩0.8m</t>
        </is>
      </c>
      <c r="I22" t="inlineStr">
        <is>
          <t>default / 99F正式交互设施</t>
        </is>
      </c>
      <c r="J22" t="inlineStr">
        <is>
          <t>TowerDescent99F / monster_archive</t>
        </is>
      </c>
      <c r="K22" t="inlineStr">
        <is>
          <t>正式美术已接入</t>
        </is>
      </c>
      <c r="L22" t="inlineStr">
        <is>
          <t>P1</t>
        </is>
      </c>
      <c r="M22" t="inlineStr">
        <is>
          <t>v001</t>
        </is>
      </c>
      <c r="N22" t="inlineStr">
        <is>
          <t>交互盒 3.523101×5.31×7.35m；模型包围盒+0.8m</t>
        </is>
      </c>
      <c r="O22" t="inlineStr">
        <is>
          <t>assets/art/environments/base_facility_3d/runtime/env_base99_remaining_facilities/weapon_workshop_station/weapon_workshop_station_facility_top3d.tscn</t>
        </is>
      </c>
      <c r="P22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t="inlineStr">
        <is>
          <t>monster_archive; 怪物档案室; 49_02_游戏输出; BaseFacility3D; 0.8m</t>
        </is>
      </c>
      <c r="R22">
        <f>LOWER(TRIM(C22)&amp;"|"&amp;TRIM(D22)&amp;"|"&amp;TRIM(E22)&amp;"|"&amp;TRIM(F22)&amp;"|"&amp;TRIM(H22)&amp;"|"&amp;TRIM(I22))</f>
        <v/>
      </c>
      <c r="S22">
        <f>IF(COUNTIF($R$6:$R$25,R22)&gt;1,"重复","唯一")</f>
        <v/>
      </c>
      <c r="T22" t="inlineStr">
        <is>
          <t>cf079d204306326036dea7da2ce8198963724da5d55fe784cbf2ddc1f55cc23b</t>
        </is>
      </c>
      <c r="U22" t="inlineStr">
        <is>
          <t>Codex</t>
        </is>
      </c>
      <c r="V22" t="n">
        <v>46276</v>
      </c>
      <c r="W22" t="inlineStr">
        <is>
          <t>用户自制Blender资产</t>
        </is>
      </c>
      <c r="X22" t="inlineStr">
        <is>
          <t>49</t>
        </is>
      </c>
      <c r="Y22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>
      <c r="A23" t="inlineStr">
        <is>
          <t>PRP-BASE99-LOFT-COMPUTER-WORKSTATION-FACILITY-3D</t>
        </is>
      </c>
      <c r="B23" t="inlineStr">
        <is>
          <t>99F 双屏电脑工位（命运卡收藏室）</t>
        </is>
      </c>
      <c r="C23" t="inlineStr">
        <is>
          <t>道具</t>
        </is>
      </c>
      <c r="D23" t="inlineStr">
        <is>
          <t>base_facility</t>
        </is>
      </c>
      <c r="E23" t="inlineStr">
        <is>
          <t>fate_collection</t>
        </is>
      </c>
      <c r="F23" t="inlineStr">
        <is>
          <t>root</t>
        </is>
      </c>
      <c r="G23" t="inlineStr">
        <is>
          <t>PRP-BASE-FACILITY-3D</t>
        </is>
      </c>
      <c r="H23" t="inlineStr">
        <is>
          <t>Top3D / 模型包围盒外扩0.8m</t>
        </is>
      </c>
      <c r="I23" t="inlineStr">
        <is>
          <t>default / 99F正式交互设施</t>
        </is>
      </c>
      <c r="J23" t="inlineStr">
        <is>
          <t>TowerDescent99F / fate_collection</t>
        </is>
      </c>
      <c r="K23" t="inlineStr">
        <is>
          <t>正式美术已接入</t>
        </is>
      </c>
      <c r="L23" t="inlineStr">
        <is>
          <t>P1</t>
        </is>
      </c>
      <c r="M23" t="inlineStr">
        <is>
          <t>v001</t>
        </is>
      </c>
      <c r="N23" t="inlineStr">
        <is>
          <t>交互盒 9.134999×4.64×3.005m；模型包围盒+0.8m</t>
        </is>
      </c>
      <c r="O23" t="inlineStr">
        <is>
          <t>assets/art/environments/base_facility_3d/runtime/env_base99_remaining_facilities/loft_computer_workstation/loft_computer_workstation_facility_top3d.tscn</t>
        </is>
      </c>
      <c r="P2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t="inlineStr">
        <is>
          <t>fate_collection; 命运卡收藏室; 42__02_游戏输出; BaseFacility3D; 0.8m</t>
        </is>
      </c>
      <c r="R23">
        <f>LOWER(TRIM(C23)&amp;"|"&amp;TRIM(D23)&amp;"|"&amp;TRIM(E23)&amp;"|"&amp;TRIM(F23)&amp;"|"&amp;TRIM(H23)&amp;"|"&amp;TRIM(I23))</f>
        <v/>
      </c>
      <c r="S23">
        <f>IF(COUNTIF($R$6:$R$25,R23)&gt;1,"重复","唯一")</f>
        <v/>
      </c>
      <c r="T23" t="inlineStr">
        <is>
          <t>69213c5fec7807c005d8ac7d3d9d033469ebd526154cfd41c7b3d4d6007a8f05</t>
        </is>
      </c>
      <c r="U23" t="inlineStr">
        <is>
          <t>Codex</t>
        </is>
      </c>
      <c r="V23" t="n">
        <v>46276</v>
      </c>
      <c r="W23" t="inlineStr">
        <is>
          <t>用户自制Blender资产</t>
        </is>
      </c>
      <c r="X23" t="inlineStr">
        <is>
          <t>42</t>
        </is>
      </c>
      <c r="Y2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>
      <c r="A24" t="inlineStr">
        <is>
          <t>PRP-BASE99-MEDICAL-CABINET-FACILITY-3D</t>
        </is>
      </c>
      <c r="B24" t="inlineStr">
        <is>
          <t>99F MEDICAL医疗柜（状态恢复舱）</t>
        </is>
      </c>
      <c r="C24" t="inlineStr">
        <is>
          <t>道具</t>
        </is>
      </c>
      <c r="D24" t="inlineStr">
        <is>
          <t>base_facility</t>
        </is>
      </c>
      <c r="E24" t="inlineStr">
        <is>
          <t>base_recovery</t>
        </is>
      </c>
      <c r="F24" t="inlineStr">
        <is>
          <t>root</t>
        </is>
      </c>
      <c r="G24" t="inlineStr">
        <is>
          <t>PRP-BASE-FACILITY-3D</t>
        </is>
      </c>
      <c r="H24" t="inlineStr">
        <is>
          <t>Top3D / 模型包围盒外扩0.8m</t>
        </is>
      </c>
      <c r="I24" t="inlineStr">
        <is>
          <t>default / 99F正式交互设施</t>
        </is>
      </c>
      <c r="J24" t="inlineStr">
        <is>
          <t>TowerDescent99F / base_recovery</t>
        </is>
      </c>
      <c r="K24" t="inlineStr">
        <is>
          <t>正式美术已接入</t>
        </is>
      </c>
      <c r="L24" t="inlineStr">
        <is>
          <t>P1</t>
        </is>
      </c>
      <c r="M24" t="inlineStr">
        <is>
          <t>v001</t>
        </is>
      </c>
      <c r="N24" t="inlineStr">
        <is>
          <t>交互盒 3.18×4.93×2.39m；模型包围盒+0.8m</t>
        </is>
      </c>
      <c r="O24" t="inlineStr">
        <is>
          <t>assets/art/environments/base_facility_3d/runtime/env_base99_remaining_facilities/medical_cabinet/medical_cabinet_facility_top3d.tscn</t>
        </is>
      </c>
      <c r="P24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t="inlineStr">
        <is>
          <t>base_recovery; 状态恢复舱; MEDICAL医疗柜; BaseFacility3D; 0.8m</t>
        </is>
      </c>
      <c r="R24">
        <f>LOWER(TRIM(C24)&amp;"|"&amp;TRIM(D24)&amp;"|"&amp;TRIM(E24)&amp;"|"&amp;TRIM(F24)&amp;"|"&amp;TRIM(H24)&amp;"|"&amp;TRIM(I24))</f>
        <v/>
      </c>
      <c r="S24">
        <f>IF(COUNTIF($R$6:$R$25,R24)&gt;1,"重复","唯一")</f>
        <v/>
      </c>
      <c r="T24" t="inlineStr">
        <is>
          <t>c9c31d295dbc786abc3a1ac377b8232fc4e6babf4b767778d4a8e91a645117a1</t>
        </is>
      </c>
      <c r="U24" t="inlineStr">
        <is>
          <t>Codex</t>
        </is>
      </c>
      <c r="V24" t="n">
        <v>46276</v>
      </c>
      <c r="W24" t="inlineStr">
        <is>
          <t>用户自制Blender资产</t>
        </is>
      </c>
      <c r="X24" t="inlineStr">
        <is>
          <t>45</t>
        </is>
      </c>
      <c r="Y24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>
      <c r="A25" t="inlineStr">
        <is>
          <t>PRP-BASE99-LOFT-LOUNGE-SOFA-FACILITY-3D</t>
        </is>
      </c>
      <c r="B25" t="inlineStr">
        <is>
          <t>99F 墨绿三人沙发（角色衣柜）</t>
        </is>
      </c>
      <c r="C25" t="inlineStr">
        <is>
          <t>道具</t>
        </is>
      </c>
      <c r="D25" t="inlineStr">
        <is>
          <t>base_facility</t>
        </is>
      </c>
      <c r="E25" t="inlineStr">
        <is>
          <t>avatar_wardrobe</t>
        </is>
      </c>
      <c r="F25" t="inlineStr">
        <is>
          <t>root</t>
        </is>
      </c>
      <c r="G25" t="inlineStr">
        <is>
          <t>PRP-BASE-FACILITY-3D</t>
        </is>
      </c>
      <c r="H25" t="inlineStr">
        <is>
          <t>Top3D / 模型包围盒外扩0.8m</t>
        </is>
      </c>
      <c r="I25" t="inlineStr">
        <is>
          <t>default / 99F正式交互设施</t>
        </is>
      </c>
      <c r="J25" t="inlineStr">
        <is>
          <t>TowerDescent99F / avatar_wardrobe</t>
        </is>
      </c>
      <c r="K25" t="inlineStr">
        <is>
          <t>正式美术已接入</t>
        </is>
      </c>
      <c r="L25" t="inlineStr">
        <is>
          <t>P1</t>
        </is>
      </c>
      <c r="M25" t="inlineStr">
        <is>
          <t>v001</t>
        </is>
      </c>
      <c r="N25" t="inlineStr">
        <is>
          <t>交互盒 6.42×3.431646×3.481379m；模型包围盒+0.8m</t>
        </is>
      </c>
      <c r="O25" t="inlineStr">
        <is>
          <t>assets/art/environments/base_facility_3d/runtime/env_base99_remaining_facilities/loft_lounge_sofa/loft_lounge_sofa_facility_top3d.tscn</t>
        </is>
      </c>
      <c r="P25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t="inlineStr">
        <is>
          <t>avatar_wardrobe; 角色衣柜; 墨绿三人休闲沙发; BaseFacility3D; 0.8m</t>
        </is>
      </c>
      <c r="R25">
        <f>LOWER(TRIM(C25)&amp;"|"&amp;TRIM(D25)&amp;"|"&amp;TRIM(E25)&amp;"|"&amp;TRIM(F25)&amp;"|"&amp;TRIM(H25)&amp;"|"&amp;TRIM(I25))</f>
        <v/>
      </c>
      <c r="S25">
        <f>IF(COUNTIF($R$6:$R$25,R25)&gt;1,"重复","唯一")</f>
        <v/>
      </c>
      <c r="T25" t="inlineStr">
        <is>
          <t>bd63e4d8199b0da307845a61741a66659f2449854f647993fc165fb8a2aae7ed</t>
        </is>
      </c>
      <c r="U25" t="inlineStr">
        <is>
          <t>Codex</t>
        </is>
      </c>
      <c r="V25" t="n">
        <v>46276</v>
      </c>
      <c r="W25" t="inlineStr">
        <is>
          <t>用户自制Blender资产</t>
        </is>
      </c>
      <c r="X25" t="inlineStr">
        <is>
          <t>36</t>
        </is>
      </c>
      <c r="Y25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79" ht="155" customHeight="1"/>
    <row r="113" ht="155" customHeight="1"/>
    <row r="120" ht="155" customHeight="1"/>
    <row r="123" ht="155" customHeight="1"/>
    <row r="124" ht="34" customHeight="1"/>
    <row r="125" ht="34" customHeight="1"/>
    <row r="126" ht="34" customHeight="1"/>
    <row r="127" ht="34" customHeight="1"/>
    <row r="128" ht="155" customHeight="1"/>
    <row r="129" ht="34" customHeight="1"/>
    <row r="130" ht="34" customHeight="1"/>
    <row r="131" ht="34" customHeight="1"/>
    <row r="132" ht="34" customHeight="1"/>
    <row r="133" ht="34" customHeight="1"/>
    <row r="134" ht="34" customHeight="1"/>
    <row r="135" ht="34" customHeight="1"/>
    <row r="136" ht="34" customHeight="1"/>
    <row r="137" ht="34" customHeight="1"/>
    <row r="138" ht="34" customHeight="1"/>
    <row r="139" ht="34" customHeight="1"/>
    <row r="143" ht="155" customHeight="1"/>
    <row r="146" ht="44" customHeight="1"/>
    <row r="147" ht="44" customHeight="1"/>
    <row r="148" ht="44" customHeight="1"/>
    <row r="149" ht="44" customHeight="1"/>
    <row r="150" ht="44" customHeight="1"/>
    <row r="151" ht="44" customHeight="1"/>
    <row r="152" ht="44" customHeight="1"/>
    <row r="153" ht="44" customHeight="1"/>
    <row r="154" ht="44" customHeight="1"/>
    <row r="155" ht="44" customHeight="1"/>
    <row r="156" ht="132" customHeight="1"/>
    <row r="157" ht="118" customHeight="1"/>
    <row r="158" ht="118" customHeight="1"/>
    <row r="159" ht="118" customHeight="1"/>
    <row r="160" ht="118" customHeight="1"/>
    <row r="161" ht="132" customHeight="1"/>
    <row r="162" ht="132" customHeight="1"/>
    <row r="163" ht="155" customHeight="1"/>
    <row r="164" ht="132" customHeight="1"/>
    <row r="165" ht="132" customHeight="1"/>
    <row r="166" ht="132" customHeight="1"/>
    <row r="167" ht="155" customHeight="1"/>
    <row r="168" ht="220" customHeight="1"/>
    <row r="169" ht="220" customHeight="1"/>
    <row r="172" ht="42" customHeight="1"/>
    <row r="173" ht="42" customHeight="1"/>
    <row r="174" ht="44" customHeight="1"/>
    <row r="175" ht="44" customHeight="1"/>
    <row r="176" ht="44" customHeight="1"/>
    <row r="177" ht="44" customHeight="1"/>
    <row r="178" ht="44" customHeight="1"/>
    <row r="179" ht="44" customHeight="1"/>
    <row r="180" ht="44" customHeight="1"/>
    <row r="181" ht="44" customHeight="1"/>
    <row r="182" ht="44" customHeight="1"/>
    <row r="183" ht="44" customHeight="1"/>
    <row r="184" ht="44" customHeight="1"/>
    <row r="185" ht="44" customHeight="1"/>
    <row r="186" ht="44" customHeight="1"/>
    <row r="187" ht="44" customHeight="1"/>
    <row r="188" ht="44" customHeight="1"/>
    <row r="189" ht="44" customHeight="1"/>
    <row r="190" ht="44" customHeight="1"/>
    <row r="191" ht="44" customHeight="1"/>
    <row r="192" ht="44" customHeight="1"/>
    <row r="193" ht="44" customHeight="1"/>
    <row r="194" ht="44" customHeight="1"/>
    <row r="195" ht="44" customHeight="1"/>
    <row r="196" ht="44" customHeight="1"/>
    <row r="197" ht="44" customHeight="1"/>
    <row r="198" ht="44" customHeight="1"/>
    <row r="199" ht="44" customHeight="1"/>
    <row r="200" ht="44" customHeight="1"/>
    <row r="201" ht="44" customHeight="1"/>
    <row r="202" ht="44" customHeight="1"/>
    <row r="203" ht="44" customHeight="1"/>
    <row r="204" ht="44" customHeight="1"/>
    <row r="240" ht="255" customHeight="1"/>
    <row r="281" ht="66" customHeight="1"/>
    <row r="282" ht="66" customHeight="1"/>
    <row r="283" ht="66" customHeight="1"/>
    <row r="284" ht="66" customHeight="1"/>
    <row r="285" ht="66" customHeight="1"/>
    <row r="286" ht="66" customHeight="1"/>
    <row r="287" ht="56" customHeight="1"/>
    <row r="301" ht="132" customHeight="1"/>
    <row r="302" ht="54" customHeight="1"/>
    <row r="303" ht="54" customHeight="1"/>
    <row r="304" ht="54" customHeight="1"/>
    <row r="305" ht="54" customHeight="1"/>
    <row r="306" ht="54" customHeight="1"/>
    <row r="307" ht="54" customHeight="1"/>
    <row r="308" ht="54" customHeight="1"/>
    <row r="309" ht="54" customHeight="1"/>
    <row r="310" ht="54" customHeight="1"/>
    <row r="311" ht="72" customHeight="1"/>
    <row r="312" ht="54" customHeight="1"/>
    <row r="313" ht="54" customHeight="1"/>
    <row r="314" ht="54" customHeight="1"/>
    <row r="315" ht="54" customHeight="1"/>
    <row r="316" ht="54" customHeight="1"/>
    <row r="317" ht="54" customHeight="1"/>
    <row r="318" ht="54" customHeight="1"/>
    <row r="319" ht="54" customHeight="1"/>
    <row r="320" ht="54" customHeight="1"/>
    <row r="321" ht="54" customHeight="1"/>
    <row r="322" ht="54" customHeight="1"/>
    <row r="323" ht="54" customHeight="1"/>
    <row r="324" ht="54" customHeight="1"/>
    <row r="325" ht="54" customHeight="1"/>
    <row r="326" ht="54" customHeight="1"/>
    <row r="327" ht="54" customHeight="1"/>
    <row r="328" ht="54" customHeight="1"/>
    <row r="329" ht="54" customHeight="1"/>
    <row r="330" ht="54" customHeight="1"/>
    <row r="331" ht="54" customHeight="1"/>
    <row r="332" ht="54" customHeight="1"/>
    <row r="333" ht="54" customHeight="1"/>
    <row r="334" ht="54" customHeight="1"/>
    <row r="335" ht="54" customHeight="1"/>
    <row r="336" ht="54" customHeight="1"/>
    <row r="337" ht="54" customHeight="1"/>
    <row r="338" ht="54" customHeight="1"/>
    <row r="339" ht="54" customHeight="1"/>
    <row r="340" ht="54" customHeight="1"/>
    <row r="341" ht="54" customHeight="1"/>
    <row r="342" ht="54" customHeight="1"/>
    <row r="343" ht="54" customHeight="1"/>
    <row r="344" ht="54" customHeight="1"/>
    <row r="345" ht="54" customHeight="1"/>
    <row r="346" ht="54" customHeight="1"/>
    <row r="347" ht="54" customHeight="1"/>
    <row r="348" ht="54" customHeight="1"/>
    <row r="349" ht="54" customHeight="1"/>
    <row r="350" ht="54" customHeight="1"/>
    <row r="351" ht="54" customHeight="1"/>
    <row r="352" ht="54" customHeight="1"/>
    <row r="353" ht="54" customHeight="1"/>
    <row r="354" ht="54" customHeight="1"/>
    <row r="355" ht="54" customHeight="1"/>
    <row r="356" ht="54" customHeight="1"/>
    <row r="357" ht="54" customHeight="1"/>
    <row r="358" ht="54" customHeight="1"/>
    <row r="359" ht="72" customHeight="1"/>
    <row r="360" ht="54" customHeight="1"/>
    <row r="361" ht="54" customHeight="1"/>
    <row r="362" ht="54" customHeight="1"/>
    <row r="363" ht="54" customHeight="1"/>
    <row r="364" ht="54" customHeight="1"/>
    <row r="365" ht="54" customHeight="1"/>
    <row r="366" ht="54" customHeight="1"/>
    <row r="367" ht="54" customHeight="1"/>
    <row r="368" ht="72" customHeight="1"/>
    <row r="369" ht="54" customHeight="1"/>
    <row r="370" ht="54" customHeight="1"/>
    <row r="371" ht="54" customHeight="1"/>
    <row r="372" ht="54" customHeight="1"/>
    <row r="373" ht="54" customHeight="1"/>
    <row r="374" ht="54" customHeight="1"/>
    <row r="375" ht="54" customHeight="1"/>
    <row r="376" ht="54" customHeight="1"/>
    <row r="377" ht="54" customHeight="1"/>
    <row r="378" ht="54" customHeight="1"/>
    <row r="379" ht="54" customHeight="1"/>
    <row r="380" ht="54" customHeight="1"/>
    <row r="381" ht="54" customHeight="1"/>
    <row r="382" ht="54" customHeight="1"/>
    <row r="383" ht="54" customHeight="1"/>
    <row r="384" ht="54" customHeight="1"/>
    <row r="385" ht="54" customHeight="1"/>
    <row r="386" ht="54" customHeight="1"/>
    <row r="387" ht="54" customHeight="1"/>
    <row r="388" ht="54" customHeight="1"/>
    <row r="389" ht="54" customHeight="1"/>
    <row r="390" ht="54" customHeight="1"/>
    <row r="391" ht="54" customHeight="1"/>
    <row r="392" ht="54" customHeight="1"/>
    <row r="393" ht="54" customHeight="1"/>
    <row r="394" ht="54" customHeight="1"/>
    <row r="395" ht="54" customHeight="1"/>
    <row r="396" ht="54" customHeight="1"/>
    <row r="397" ht="54" customHeight="1"/>
    <row r="398" ht="54" customHeight="1"/>
    <row r="399" ht="54" customHeight="1"/>
    <row r="400" ht="54" customHeight="1"/>
    <row r="401" ht="54" customHeight="1"/>
    <row r="402" ht="54" customHeight="1"/>
    <row r="403" ht="54" customHeight="1"/>
    <row r="404" ht="54" customHeight="1"/>
    <row r="405" ht="54" customHeight="1"/>
    <row r="406" ht="54" customHeight="1"/>
    <row r="407" ht="54" customHeight="1"/>
    <row r="408" ht="54" customHeight="1"/>
    <row r="409" ht="54" customHeight="1"/>
    <row r="410" ht="54" customHeight="1"/>
    <row r="411" ht="54" customHeight="1"/>
    <row r="412" ht="54" customHeight="1"/>
    <row r="413" ht="76" customHeight="1"/>
    <row r="414" ht="72" customHeight="1"/>
    <row r="415" ht="72" customHeight="1"/>
    <row r="416" ht="72" customHeight="1"/>
    <row r="424" ht="85" customHeight="1"/>
    <row r="425" ht="85" customHeight="1"/>
    <row r="426" ht="85" customHeight="1"/>
    <row r="427" ht="85" customHeight="1"/>
    <row r="429" ht="120" customHeight="1"/>
  </sheetData>
  <autoFilter ref="A5:X25"/>
  <mergeCells count="2">
    <mergeCell ref="A1:X2"/>
    <mergeCell ref="A3:X3"/>
  </mergeCells>
  <conditionalFormatting sqref="S6:S25">
    <cfRule type="containsText" priority="1" operator="containsText" dxfId="0" text="重复"/>
  </conditionalFormatting>
  <conditionalFormatting sqref="K6:K25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25" showDropDown="0" showInputMessage="0" showErrorMessage="0" allowBlank="1" type="list">
      <formula1>"角色,敌人,武器,道具,场景,场景道具,基地资产包,UI,特效,音频"</formula1>
    </dataValidation>
    <dataValidation sqref="K6:K25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5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道具 3D Prefab</t>
        </is>
      </c>
    </row>
    <row r="2" ht="34" customHeight="1">
      <c r="A2" s="250" t="inlineStr">
        <is>
          <t>桌椅、家具、容器和摆放装饰物；本次扫描 3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PRP-BASE-MISSION-COMMAND-CHAIR-3D</t>
        </is>
      </c>
      <c r="B5" s="189" t="inlineStr">
        <is>
          <t>战术指挥椅</t>
        </is>
      </c>
      <c r="C5" s="189" t="inlineStr">
        <is>
          <t>assets/art/props/base_world_3d/runtime/mission_command_chair/prp_base_mission_command_chair_root_top3d_v001.tscn</t>
        </is>
      </c>
      <c r="D5" s="189" t="inlineStr">
        <is>
          <t>assets/art/props/base_world_3d/components/mission_command_chair/prp_base_mission_command_chair_visual_top3d_v003.glb</t>
        </is>
      </c>
      <c r="E5" s="189" t="inlineStr">
        <is>
          <t>assets/art/props/base_world_3d/source/mission_command_chair/prp_base_mission_command_chair_source_v001.blend</t>
        </is>
      </c>
      <c r="F5" s="189" t="inlineStr">
        <is>
          <t>可复用摆放道具Prefab</t>
        </is>
      </c>
      <c r="G5" s="189" t="str"/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最多4材质；独立GLB/PackedScene；无交互碰撞</t>
        </is>
      </c>
      <c r="L5" s="189" t="inlineStr">
        <is>
          <t>-Z</t>
        </is>
      </c>
      <c r="M5" s="189" t="inlineStr">
        <is>
          <t>基地99层美术布置层</t>
        </is>
      </c>
      <c r="N5" s="189" t="inlineStr">
        <is>
          <t>正式美术已接入</t>
        </is>
      </c>
      <c r="O5" s="189" t="inlineStr">
        <is>
          <t>v001</t>
        </is>
      </c>
      <c r="P5" s="190" t="inlineStr">
        <is>
          <t>根节点=战术指挥椅(Node3D)</t>
        </is>
      </c>
    </row>
    <row r="6" ht="66" customHeight="1">
      <c r="A6" s="191" t="inlineStr">
        <is>
          <t>PRP-BASE-WORKSHOP-STOOL-3D</t>
        </is>
      </c>
      <c r="B6" s="192" t="inlineStr">
        <is>
          <t>赛博维修圆凳</t>
        </is>
      </c>
      <c r="C6" s="192" t="inlineStr">
        <is>
          <t>assets/art/props/base_world_3d/runtime/workshop_stool/prp_base_workshop_stool_root_top3d_v001.tscn</t>
        </is>
      </c>
      <c r="D6" s="192" t="inlineStr">
        <is>
          <t>assets/art/props/base_world_3d/components/workshop_stool/prp_base_workshop_stool_visual_top3d_v003.glb</t>
        </is>
      </c>
      <c r="E6" s="192" t="inlineStr">
        <is>
          <t>assets/art/props/base_world_3d/source/workshop_stool/prp_base_workshop_stool_source_v001.blend</t>
        </is>
      </c>
      <c r="F6" s="192" t="inlineStr">
        <is>
          <t>可复用摆放道具Prefab</t>
        </is>
      </c>
      <c r="G6" s="192" t="str"/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最多4材质；独立GLB/PackedScene；无交互碰撞</t>
        </is>
      </c>
      <c r="L6" s="192" t="inlineStr">
        <is>
          <t>-Z</t>
        </is>
      </c>
      <c r="M6" s="192" t="inlineStr">
        <is>
          <t>基地99层美术布置层</t>
        </is>
      </c>
      <c r="N6" s="192" t="inlineStr">
        <is>
          <t>正式美术已接入</t>
        </is>
      </c>
      <c r="O6" s="192" t="inlineStr">
        <is>
          <t>v001</t>
        </is>
      </c>
      <c r="P6" s="193" t="inlineStr">
        <is>
          <t>根节点=赛博维修圆凳(Node3D)</t>
        </is>
      </c>
    </row>
    <row r="7" ht="66" customHeight="1">
      <c r="A7" s="194" t="inlineStr">
        <is>
          <t>PRP-ROOM-FURNITURE-3D</t>
        </is>
      </c>
      <c r="B7" s="195" t="inlineStr">
        <is>
          <t>房间家具3D通用模块</t>
        </is>
      </c>
      <c r="C7" s="195" t="inlineStr">
        <is>
          <t>assets/art/props/dungeon_3d/prp_room_furniture_root_top3d_v001.tscn</t>
        </is>
      </c>
      <c r="D7" s="195" t="str"/>
      <c r="E7" s="195" t="str"/>
      <c r="F7" s="195" t="inlineStr">
        <is>
          <t>可复用摆放道具Prefab</t>
        </is>
      </c>
      <c r="G7" s="195" t="inlineStr">
        <is>
          <t>src/world3d/RoomFurniture3D.gd</t>
        </is>
      </c>
      <c r="H7" s="195" t="inlineStr">
        <is>
          <t>开</t>
        </is>
      </c>
      <c r="I7" s="195" t="inlineStr">
        <is>
          <t>Prefab自身</t>
        </is>
      </c>
      <c r="J7" s="195" t="inlineStr">
        <is>
          <t>脚本生成</t>
        </is>
      </c>
      <c r="K7" s="195" t="inlineStr">
        <is>
          <t>PackedScene/类型与尺寸配置</t>
        </is>
      </c>
      <c r="L7" s="195" t="inlineStr">
        <is>
          <t>未声明</t>
        </is>
      </c>
      <c r="M7" s="195" t="inlineStr">
        <is>
          <t>全部3D房间</t>
        </is>
      </c>
      <c r="N7" s="195" t="inlineStr">
        <is>
          <t>原型已接入</t>
        </is>
      </c>
      <c r="O7" s="195" t="inlineStr">
        <is>
          <t>v001</t>
        </is>
      </c>
      <c r="P7" s="196" t="inlineStr">
        <is>
          <t>根节点=RoomFurniture3D(Area3D)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物品 3D Prefab</t>
        </is>
      </c>
    </row>
    <row r="2" ht="34" customHeight="1">
      <c r="A2" s="250" t="inlineStr">
        <is>
          <t>拥有独立PackedScene的拾取物、消耗品、钥匙和掉落物；本次扫描 0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70" customWidth="1" min="5" max="5"/>
    <col width="48" customWidth="1" min="6" max="6"/>
    <col width="12" customWidth="1" min="7" max="7"/>
  </cols>
  <sheetData>
    <row r="1">
      <c r="A1" s="317" t="inlineStr">
        <is>
          <t>道具账本变更日志</t>
        </is>
      </c>
    </row>
    <row r="2"/>
    <row r="3">
      <c r="A3" s="318" t="inlineStr">
        <is>
          <t>只记录本账本的域内变更；跨域与全局变更记录在主账本《版本记录》</t>
        </is>
      </c>
    </row>
    <row r="5">
      <c r="A5" s="298" t="inlineStr">
        <is>
          <t>台账版本</t>
        </is>
      </c>
      <c r="B5" s="298" t="inlineStr">
        <is>
          <t>日期</t>
        </is>
      </c>
      <c r="C5" s="298" t="inlineStr">
        <is>
          <t>变更类型</t>
        </is>
      </c>
      <c r="D5" s="298" t="inlineStr">
        <is>
          <t>范围</t>
        </is>
      </c>
      <c r="E5" s="298" t="inlineStr">
        <is>
          <t>说明</t>
        </is>
      </c>
      <c r="F5" s="298" t="inlineStr">
        <is>
          <t>兼容性</t>
        </is>
      </c>
      <c r="G5" s="298" t="inlineStr">
        <is>
          <t>负责人</t>
        </is>
      </c>
    </row>
    <row r="6" ht="46" customHeight="1">
      <c r="A6" s="301" t="inlineStr">
        <is>
          <t>v0.1.0</t>
        </is>
      </c>
      <c r="B6" s="301" t="inlineStr">
        <is>
          <t>2026-09-18</t>
        </is>
      </c>
      <c r="C6" s="301" t="inlineStr">
        <is>
          <t>分账本建立</t>
        </is>
      </c>
      <c r="D6" s="301" t="inlineStr">
        <is>
          <t>道具</t>
        </is>
      </c>
      <c r="E6" s="301" t="inlineStr">
        <is>
          <t>由单体账本《ShellStorm2_美术资产台账_v001.xlsx》按大类拆分而来；本账本接管大类=道具，条目内容逐格不变，仅登记位置变化。</t>
        </is>
      </c>
      <c r="F6" s="301" t="inlineStr">
        <is>
          <t>资产条目、AssetID、路径与哈希全部不变；只换文件。旧引用可用 scripts/ledger_registry.py 解析。</t>
        </is>
      </c>
      <c r="G6" s="301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2026-09-18T02:30:02Z</dcterms:created>
  <dcterms:modified xsi:type="dcterms:W3CDTF">2026-09-18T02:30:03Z</dcterms:modified>
</cp:coreProperties>
</file>