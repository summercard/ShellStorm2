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3D-道具" sheetId="4" state="visible" r:id="rId4"/>
    <sheet xmlns:r="http://schemas.openxmlformats.org/officeDocument/2006/relationships" name="3D-物品" sheetId="5" state="visible" r:id="rId5"/>
    <sheet xmlns:r="http://schemas.openxmlformats.org/officeDocument/2006/relationships" name="域变更日志" sheetId="6" state="visible" r:id="rId6"/>
  </sheets>
  <definedNames>
    <definedName name="_xlnm._FilterDatabase" localSheetId="2" hidden="1">'资产主表'!$A$5:$Y$30</definedName>
    <definedName name="_xlnm._FilterDatabase" localSheetId="3" hidden="1">'3D-道具'!$A$4:$P$8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\-mm\-dd\ h:mm:ss"/>
    <numFmt numFmtId="166" formatCode="yyyy-mm-dd h:mm:ss"/>
  </numFmts>
  <fonts count="35">
    <font>
      <name val="Linux Libertine G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8"/>
    </font>
    <font>
      <name val="Linux Libertine G"/>
      <family val="2"/>
      <b val="1"/>
      <color rgb="FFFFFFFF"/>
      <sz val="18"/>
    </font>
    <font>
      <name val="Linux Libertine G"/>
      <family val="2"/>
      <i val="1"/>
      <color rgb="FF79D8E8"/>
      <sz val="10"/>
    </font>
    <font>
      <name val="Arial"/>
      <charset val="1"/>
      <family val="0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Linux Libertine G"/>
      <family val="2"/>
      <b val="1"/>
      <color rgb="FF2E7D32"/>
      <sz val="11"/>
    </font>
    <font>
      <name val="Cambria"/>
      <charset val="1"/>
      <family val="0"/>
      <b val="1"/>
      <color rgb="FF2E7D32"/>
      <sz val="11"/>
    </font>
    <font>
      <name val="Calibri"/>
      <charset val="1"/>
      <family val="0"/>
      <color rgb="FF13202B"/>
      <sz val="9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79D8E8"/>
      <sz val="10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mbria"/>
      <charset val="1"/>
      <family val="0"/>
      <b val="1"/>
      <sz val="11"/>
    </font>
    <font>
      <name val="Calibri"/>
      <charset val="1"/>
      <family val="0"/>
      <b val="1"/>
      <color rgb="FF17563A"/>
      <sz val="11"/>
    </font>
    <font>
      <name val="Linux Libertine G"/>
      <family val="2"/>
      <color rgb="FF15383E"/>
      <sz val="11"/>
    </font>
    <font>
      <name val="Calibri"/>
      <charset val="1"/>
      <family val="0"/>
      <color rgb="FF15383E"/>
      <sz val="11"/>
    </font>
    <font>
      <name val="Arial"/>
      <family val="2"/>
      <sz val="10"/>
    </font>
    <font>
      <name val="Calibri"/>
      <charset val="1"/>
      <family val="0"/>
      <b val="1"/>
      <color rgb="FFFFFFFF"/>
      <sz val="16"/>
    </font>
    <font>
      <name val="Linux Libertine G"/>
      <family val="2"/>
      <b val="1"/>
      <color rgb="FFFFFFFF"/>
      <sz val="16"/>
    </font>
    <font>
      <name val="Linux Libertine G"/>
      <family val="2"/>
      <i val="1"/>
      <color rgb="FF334155"/>
      <sz val="10"/>
    </font>
    <font>
      <name val="Calibri"/>
      <charset val="1"/>
      <family val="0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</fonts>
  <fills count="13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CE6F1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E8F5E9"/>
        <bgColor rgb="FFE4F2F3"/>
      </patternFill>
    </fill>
    <fill>
      <patternFill patternType="solid">
        <fgColor rgb="FFD7EEE5"/>
        <bgColor rgb="FFD9F3E8"/>
      </patternFill>
    </fill>
    <fill>
      <patternFill patternType="solid">
        <fgColor rgb="FFE4F2F3"/>
        <bgColor rgb="FFE8F5E9"/>
      </patternFill>
    </fill>
    <fill>
      <patternFill patternType="solid">
        <fgColor rgb="FF17324D"/>
        <bgColor rgb="FF163246"/>
      </patternFill>
    </fill>
    <fill>
      <patternFill patternType="solid">
        <fgColor rgb="FFDCE6F1"/>
        <bgColor rgb="FFDCE8EC"/>
      </patternFill>
    </fill>
    <fill>
      <patternFill patternType="solid">
        <fgColor rgb="FF2F75B5"/>
        <bgColor rgb="FF156082"/>
      </patternFill>
    </fill>
  </fills>
  <borders count="25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8FC3A1"/>
      </left>
      <right style="thin">
        <color rgb="FF8FC3A1"/>
      </right>
      <top style="thin">
        <color rgb="FF8FC3A1"/>
      </top>
      <bottom style="thin">
        <color rgb="FF8FC3A1"/>
      </bottom>
      <diagonal/>
    </border>
    <border>
      <left style="thin">
        <color rgb="FFAFC9CD"/>
      </left>
      <right style="thin">
        <color rgb="FFAFC9CD"/>
      </right>
      <top style="thin">
        <color rgb="FFAFC9CD"/>
      </top>
      <bottom style="thin">
        <color rgb="FFAFC9CD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thin">
        <color rgb="FFE5E7EB"/>
      </left>
      <right style="thin">
        <color rgb="FFE5E7EB"/>
      </right>
      <top/>
      <bottom style="thin">
        <color rgb="FFD9E2F3"/>
      </bottom>
      <diagonal/>
    </border>
    <border>
      <left style="thin">
        <color rgb="FFE5E7EB"/>
      </left>
      <right/>
      <top/>
      <bottom style="thin">
        <color rgb="FFD9E2F3"/>
      </bottom>
      <diagonal/>
    </border>
    <border>
      <left/>
      <right style="thin">
        <color rgb="FFE5E7EB"/>
      </right>
      <top style="thin">
        <color rgb="FFD9E2F3"/>
      </top>
      <bottom style="thin">
        <color rgb="FFD9E2F3"/>
      </bottom>
      <diagonal/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D9E2F3"/>
      </bottom>
      <diagonal/>
    </border>
    <border>
      <left style="thin">
        <color rgb="FFE5E7EB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E5E7EB"/>
      </right>
      <top style="thin">
        <color rgb="FFD9E2F3"/>
      </top>
      <bottom style="thin">
        <color rgb="FF9FBAD0"/>
      </bottom>
      <diagonal/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9FBAD0"/>
      </bottom>
      <diagonal/>
    </border>
    <border>
      <left style="thin">
        <color rgb="FFE5E7EB"/>
      </left>
      <right/>
      <top style="thin">
        <color rgb="FFD9E2F3"/>
      </top>
      <bottom style="thin">
        <color rgb="FF9FBAD0"/>
      </bottom>
      <diagonal/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D9E2F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0" fillId="4" borderId="0" applyAlignment="1" pivotButton="0" quotePrefix="0" xfId="20">
      <alignment horizontal="general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0" fontId="25" fillId="8" borderId="8" applyAlignment="1" pivotButton="0" quotePrefix="0" xfId="20">
      <alignment horizontal="general" vertical="center" wrapText="1"/>
    </xf>
    <xf numFmtId="0" fontId="26" fillId="9" borderId="9" applyAlignment="1" pivotButton="0" quotePrefix="0" xfId="20">
      <alignment horizontal="general" vertical="center" wrapText="1"/>
    </xf>
    <xf numFmtId="0" fontId="27" fillId="9" borderId="9" applyAlignment="1" pivotButton="0" quotePrefix="0" xfId="20">
      <alignment horizontal="general" vertical="center" wrapText="1"/>
    </xf>
    <xf numFmtId="165" fontId="27" fillId="9" borderId="9" applyAlignment="1" pivotButton="0" quotePrefix="0" xfId="20">
      <alignment horizontal="general" vertical="center" wrapText="1"/>
    </xf>
    <xf numFmtId="0" fontId="2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9" fillId="10" borderId="0" applyAlignment="1" pivotButton="0" quotePrefix="0" xfId="20">
      <alignment horizontal="general" vertical="center"/>
    </xf>
    <xf numFmtId="0" fontId="31" fillId="11" borderId="0" applyAlignment="1" pivotButton="0" quotePrefix="0" xfId="20">
      <alignment horizontal="general" vertical="center" wrapText="1"/>
    </xf>
    <xf numFmtId="0" fontId="22" fillId="12" borderId="10" applyAlignment="1" pivotButton="0" quotePrefix="0" xfId="20">
      <alignment horizontal="center" vertical="center" wrapText="1"/>
    </xf>
    <xf numFmtId="0" fontId="13" fillId="12" borderId="11" applyAlignment="1" pivotButton="0" quotePrefix="0" xfId="20">
      <alignment horizontal="center" vertical="center" wrapText="1"/>
    </xf>
    <xf numFmtId="0" fontId="22" fillId="12" borderId="11" applyAlignment="1" pivotButton="0" quotePrefix="0" xfId="20">
      <alignment horizontal="center" vertical="center" wrapText="1"/>
    </xf>
    <xf numFmtId="0" fontId="13" fillId="12" borderId="12" applyAlignment="1" pivotButton="0" quotePrefix="0" xfId="20">
      <alignment horizontal="center" vertical="center" wrapText="1"/>
    </xf>
    <xf numFmtId="0" fontId="33" fillId="0" borderId="5" applyAlignment="1" pivotButton="0" quotePrefix="0" xfId="20">
      <alignment horizontal="general" vertical="top" wrapText="1"/>
    </xf>
    <xf numFmtId="0" fontId="34" fillId="0" borderId="13" applyAlignment="1" pivotButton="0" quotePrefix="0" xfId="20">
      <alignment horizontal="general" vertical="top" wrapText="1"/>
    </xf>
    <xf numFmtId="0" fontId="33" fillId="0" borderId="13" applyAlignment="1" pivotButton="0" quotePrefix="0" xfId="20">
      <alignment horizontal="general" vertical="top" wrapText="1"/>
    </xf>
    <xf numFmtId="0" fontId="34" fillId="0" borderId="14" applyAlignment="1" pivotButton="0" quotePrefix="0" xfId="20">
      <alignment horizontal="general" vertical="top" wrapText="1"/>
    </xf>
    <xf numFmtId="0" fontId="33" fillId="0" borderId="15" applyAlignment="1" pivotButton="0" quotePrefix="0" xfId="20">
      <alignment horizontal="general" vertical="top" wrapText="1"/>
    </xf>
    <xf numFmtId="0" fontId="34" fillId="0" borderId="16" applyAlignment="1" pivotButton="0" quotePrefix="0" xfId="20">
      <alignment horizontal="general" vertical="top" wrapText="1"/>
    </xf>
    <xf numFmtId="0" fontId="33" fillId="0" borderId="16" applyAlignment="1" pivotButton="0" quotePrefix="0" xfId="20">
      <alignment horizontal="general" vertical="top" wrapText="1"/>
    </xf>
    <xf numFmtId="0" fontId="34" fillId="0" borderId="17" applyAlignment="1" pivotButton="0" quotePrefix="0" xfId="20">
      <alignment horizontal="general" vertical="top" wrapText="1"/>
    </xf>
    <xf numFmtId="0" fontId="33" fillId="0" borderId="18" applyAlignment="1" pivotButton="0" quotePrefix="0" xfId="20">
      <alignment horizontal="general" vertical="top" wrapText="1"/>
    </xf>
    <xf numFmtId="0" fontId="34" fillId="0" borderId="19" applyAlignment="1" pivotButton="0" quotePrefix="0" xfId="20">
      <alignment horizontal="general" vertical="top" wrapText="1"/>
    </xf>
    <xf numFmtId="0" fontId="33" fillId="0" borderId="19" applyAlignment="1" pivotButton="0" quotePrefix="0" xfId="20">
      <alignment horizontal="general" vertical="top" wrapText="1"/>
    </xf>
    <xf numFmtId="0" fontId="34" fillId="0" borderId="20" applyAlignment="1" pivotButton="0" quotePrefix="0" xfId="2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0" fillId="0" borderId="22" pivotButton="0" quotePrefix="0" xfId="0"/>
    <xf numFmtId="0" fontId="0" fillId="0" borderId="2" pivotButton="0" quotePrefix="0" xfId="0"/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0" fillId="0" borderId="24" pivotButton="0" quotePrefix="0" xfId="0"/>
    <xf numFmtId="0" fontId="0" fillId="0" borderId="5" pivotButton="0" quotePrefix="0" xfId="0"/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0" fontId="25" fillId="8" borderId="8" applyAlignment="1" pivotButton="0" quotePrefix="0" xfId="20">
      <alignment horizontal="general" vertical="center" wrapText="1"/>
    </xf>
    <xf numFmtId="0" fontId="26" fillId="9" borderId="9" applyAlignment="1" pivotButton="0" quotePrefix="0" xfId="20">
      <alignment horizontal="general" vertical="center" wrapText="1"/>
    </xf>
    <xf numFmtId="0" fontId="27" fillId="9" borderId="9" applyAlignment="1" pivotButton="0" quotePrefix="0" xfId="20">
      <alignment horizontal="general" vertical="center" wrapText="1"/>
    </xf>
    <xf numFmtId="165" fontId="27" fillId="9" borderId="9" applyAlignment="1" pivotButton="0" quotePrefix="0" xfId="20">
      <alignment horizontal="general" vertical="center" wrapText="1"/>
    </xf>
    <xf numFmtId="0" fontId="28" fillId="0" borderId="0" applyAlignment="1" pivotButton="0" quotePrefix="0" xfId="0">
      <alignment horizontal="general" vertical="bottom"/>
    </xf>
    <xf numFmtId="0" fontId="29" fillId="10" borderId="0" applyAlignment="1" pivotButton="0" quotePrefix="0" xfId="20">
      <alignment horizontal="general" vertical="center"/>
    </xf>
    <xf numFmtId="0" fontId="31" fillId="11" borderId="0" applyAlignment="1" pivotButton="0" quotePrefix="0" xfId="20">
      <alignment horizontal="general" vertical="center" wrapText="1"/>
    </xf>
    <xf numFmtId="0" fontId="22" fillId="12" borderId="10" applyAlignment="1" pivotButton="0" quotePrefix="0" xfId="20">
      <alignment horizontal="center" vertical="center" wrapText="1"/>
    </xf>
    <xf numFmtId="0" fontId="13" fillId="12" borderId="11" applyAlignment="1" pivotButton="0" quotePrefix="0" xfId="20">
      <alignment horizontal="center" vertical="center" wrapText="1"/>
    </xf>
    <xf numFmtId="0" fontId="22" fillId="12" borderId="11" applyAlignment="1" pivotButton="0" quotePrefix="0" xfId="20">
      <alignment horizontal="center" vertical="center" wrapText="1"/>
    </xf>
    <xf numFmtId="0" fontId="13" fillId="12" borderId="12" applyAlignment="1" pivotButton="0" quotePrefix="0" xfId="20">
      <alignment horizontal="center" vertical="center" wrapText="1"/>
    </xf>
    <xf numFmtId="0" fontId="33" fillId="0" borderId="5" applyAlignment="1" pivotButton="0" quotePrefix="0" xfId="20">
      <alignment horizontal="general" vertical="top" wrapText="1"/>
    </xf>
    <xf numFmtId="0" fontId="34" fillId="0" borderId="13" applyAlignment="1" pivotButton="0" quotePrefix="0" xfId="20">
      <alignment horizontal="general" vertical="top" wrapText="1"/>
    </xf>
    <xf numFmtId="0" fontId="33" fillId="0" borderId="13" applyAlignment="1" pivotButton="0" quotePrefix="0" xfId="20">
      <alignment horizontal="general" vertical="top" wrapText="1"/>
    </xf>
    <xf numFmtId="0" fontId="34" fillId="0" borderId="14" applyAlignment="1" pivotButton="0" quotePrefix="0" xfId="20">
      <alignment horizontal="general" vertical="top" wrapText="1"/>
    </xf>
    <xf numFmtId="0" fontId="33" fillId="0" borderId="15" applyAlignment="1" pivotButton="0" quotePrefix="0" xfId="20">
      <alignment horizontal="general" vertical="top" wrapText="1"/>
    </xf>
    <xf numFmtId="0" fontId="34" fillId="0" borderId="16" applyAlignment="1" pivotButton="0" quotePrefix="0" xfId="20">
      <alignment horizontal="general" vertical="top" wrapText="1"/>
    </xf>
    <xf numFmtId="0" fontId="33" fillId="0" borderId="16" applyAlignment="1" pivotButton="0" quotePrefix="0" xfId="20">
      <alignment horizontal="general" vertical="top" wrapText="1"/>
    </xf>
    <xf numFmtId="0" fontId="34" fillId="0" borderId="17" applyAlignment="1" pivotButton="0" quotePrefix="0" xfId="20">
      <alignment horizontal="general" vertical="top" wrapText="1"/>
    </xf>
    <xf numFmtId="0" fontId="33" fillId="0" borderId="18" applyAlignment="1" pivotButton="0" quotePrefix="0" xfId="20">
      <alignment horizontal="general" vertical="top" wrapText="1"/>
    </xf>
    <xf numFmtId="0" fontId="34" fillId="0" borderId="19" applyAlignment="1" pivotButton="0" quotePrefix="0" xfId="20">
      <alignment horizontal="general" vertical="top" wrapText="1"/>
    </xf>
    <xf numFmtId="0" fontId="33" fillId="0" borderId="19" applyAlignment="1" pivotButton="0" quotePrefix="0" xfId="20">
      <alignment horizontal="general" vertical="top" wrapText="1"/>
    </xf>
    <xf numFmtId="0" fontId="34" fillId="0" borderId="20" applyAlignment="1" pivotButton="0" quotePrefix="0" xfId="20">
      <alignment horizontal="general" vertical="top" wrapText="1"/>
    </xf>
    <xf numFmtId="166" fontId="4" fillId="0" borderId="0" applyAlignment="1" pivotButton="0" quotePrefix="0" xfId="20">
      <alignment horizontal="general" vertical="bottom" wrapText="1"/>
    </xf>
    <xf numFmtId="166" fontId="19" fillId="0" borderId="3" applyAlignment="1" pivotButton="0" quotePrefix="0" xfId="2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0">
    <dxf>
      <fill>
        <patternFill patternType="solid">
          <fgColor rgb="FF1F5A78"/>
          <bgColor rgb="FF000000"/>
        </patternFill>
      </fill>
    </dxf>
    <dxf>
      <fill>
        <patternFill patternType="solid">
          <fgColor rgb="FFD7EEE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3202B"/>
          <bgColor rgb="FF000000"/>
        </patternFill>
      </fill>
    </dxf>
    <dxf>
      <fill>
        <patternFill patternType="solid">
          <fgColor rgb="FF17563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4F2F3"/>
          <bgColor rgb="FF000000"/>
        </patternFill>
      </fill>
    </dxf>
    <dxf>
      <fill>
        <patternFill patternType="solid">
          <fgColor rgb="FF15383E"/>
          <bgColor rgb="FF000000"/>
        </patternFill>
      </fill>
    </dxf>
    <dxf>
      <fill>
        <patternFill patternType="solid">
          <fgColor rgb="FFD9F3E8"/>
          <bgColor rgb="FF000000"/>
        </patternFill>
      </fill>
    </dxf>
    <dxf>
      <fill>
        <patternFill patternType="solid">
          <fgColor rgb="FF176C4A"/>
          <bgColor rgb="FF000000"/>
        </patternFill>
      </fill>
    </dxf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  <dxf>
      <font>
        <color rgb="FF000000"/>
      </font>
      <border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>
        <left/>
        <right/>
        <top style="double">
          <color theme="4"/>
        </top>
        <bottom/>
        <diagonal/>
      </border>
    </dxf>
  </dxfs>
  <tableStyles count="1" defaultTableStyle="TableStyleMedium9" defaultPivotStyle="PivotStyleLight16">
    <tableStyle name="TableStyleMedium2" count="7">
      <tableStyleElement type="wholeTable" dxfId="13"/>
      <tableStyleElement type="firstColumnStripe" dxfId="14"/>
      <tableStyleElement type="firstRowStripe" dxfId="15"/>
      <tableStyleElement type="lastColumn" dxfId="16"/>
      <tableStyleElement type="firstColumn" dxfId="17"/>
      <tableStyleElement type="headerRow" dxfId="18"/>
      <tableStyleElement type="totalRow" dxfId="19"/>
    </tableStyle>
  </tableStyles>
  <colors>
    <indexedColors>
      <rgbColor rgb="FF000000"/>
      <rgbColor rgb="FFFFFFFF"/>
      <rgbColor rgb="FFFF0000"/>
      <rgbColor rgb="FF00FF00"/>
      <rgbColor rgb="FF0000FF"/>
      <rgbColor rgb="FFDCE8EC"/>
      <rgbColor rgb="FFFF00FF"/>
      <rgbColor rgb="FF00FFFF"/>
      <rgbColor rgb="FFA61B1B"/>
      <rgbColor rgb="FF17563A"/>
      <rgbColor rgb="FF163246"/>
      <rgbColor rgb="FF808000"/>
      <rgbColor rgb="FF800080"/>
      <rgbColor rgb="FF176C4A"/>
      <rgbColor rgb="FFB9CBD2"/>
      <rgbColor rgb="FF808080"/>
      <rgbColor rgb="FF9FBAD0"/>
      <rgbColor rgb="FF993366"/>
      <rgbColor rgb="FFFFF0D6"/>
      <rgbColor rgb="FFD9F3E8"/>
      <rgbColor rgb="FF660066"/>
      <rgbColor rgb="FFFF8080"/>
      <rgbColor rgb="FF1F5A78"/>
      <rgbColor rgb="FFD9E2F3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79D8E8"/>
      <rgbColor rgb="FFE4F2F3"/>
      <rgbColor rgb="FFD7EEE5"/>
      <rgbColor rgb="FFE8F5E9"/>
      <rgbColor rgb="FFAFC9CD"/>
      <rgbColor rgb="FFE5E7EB"/>
      <rgbColor rgb="FFDCE6F1"/>
      <rgbColor rgb="FFFFD6D6"/>
      <rgbColor rgb="FF2F75B5"/>
      <rgbColor rgb="FF46B1E1"/>
      <rgbColor rgb="FF99CC00"/>
      <rgbColor rgb="FFF2C94C"/>
      <rgbColor rgb="FFFF9900"/>
      <rgbColor rgb="FFFF6600"/>
      <rgbColor rgb="FF446170"/>
      <rgbColor rgb="FF8FC3A1"/>
      <rgbColor rgb="FF17324D"/>
      <rgbColor rgb="FF2E7D32"/>
      <rgbColor rgb="FF13202B"/>
      <rgbColor rgb="FF15383E"/>
      <rgbColor rgb="FF8A4B08"/>
      <rgbColor rgb="FF993366"/>
      <rgbColor rgb="FF334155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AssetMasterTable" displayName="AssetMasterTable" ref="A5:X115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1.48" customWidth="1" style="50" min="1" max="1"/>
    <col width="16.71" customWidth="1" style="50" min="2" max="3"/>
    <col width="3.58" customWidth="1" style="50" min="4" max="4"/>
    <col width="9.550000000000001" customWidth="1" style="50" min="5" max="5"/>
    <col width="35.81" customWidth="1" style="50" min="6" max="6"/>
    <col width="50.13" customWidth="1" style="50" min="7" max="7"/>
    <col width="3.58" customWidth="1" style="50" min="8" max="8"/>
    <col width="25.07" customWidth="1" style="50" min="9" max="10"/>
  </cols>
  <sheetData>
    <row r="1" ht="24.75" customHeight="1" s="51">
      <c r="A1" s="52" t="inlineStr">
        <is>
          <t>SHELLSTORM 2 · 道具美术账本 v0.1</t>
        </is>
      </c>
    </row>
    <row r="2" ht="12" customHeight="1" s="51"/>
    <row r="3" ht="22.5" customHeight="1" s="51">
      <c r="A3" s="53" t="inlineStr">
        <is>
          <t>归属域=道具｜覆盖大类=道具｜AssetID 前缀=ITM / PRP｜主账本（总目录）=assets/registry/ShellStorm2_美术资产台账_v001.xlsx；本账本可独立并行编辑，跨域契约见主账本</t>
        </is>
      </c>
    </row>
    <row r="4" ht="15" customHeight="1" s="51">
      <c r="A4" s="54" t="n"/>
      <c r="B4" s="54" t="n"/>
      <c r="C4" s="54" t="n"/>
      <c r="D4" s="54" t="n"/>
      <c r="E4" s="54" t="n"/>
      <c r="F4" s="54" t="n"/>
      <c r="G4" s="54" t="n"/>
      <c r="H4" s="54" t="n"/>
      <c r="I4" s="54" t="n"/>
      <c r="J4" s="54" t="n"/>
    </row>
    <row r="5" ht="27.6" customHeight="1" s="51">
      <c r="A5" s="55" t="inlineStr">
        <is>
          <t>资产总数</t>
        </is>
      </c>
      <c r="B5" s="55" t="n"/>
      <c r="C5" s="55" t="inlineStr">
        <is>
          <t>已完成/已接入</t>
        </is>
      </c>
      <c r="D5" s="55" t="n"/>
      <c r="E5" s="55" t="inlineStr">
        <is>
          <t>待制作/程序占位</t>
        </is>
      </c>
      <c r="F5" s="55" t="n"/>
      <c r="G5" s="55" t="inlineStr">
        <is>
          <t>重复警报</t>
        </is>
      </c>
      <c r="H5" s="55" t="n"/>
      <c r="I5" s="55" t="inlineStr">
        <is>
          <t>域内专表 / 3D Prefab 分页</t>
        </is>
      </c>
      <c r="J5" s="55" t="n"/>
    </row>
    <row r="6" ht="42" customHeight="1" s="51">
      <c r="A6" s="56">
        <f>COUNTA('资产主表'!$A$6:$A$30)</f>
        <v/>
      </c>
      <c r="B6" s="54" t="n"/>
      <c r="C6" s="56">
        <f>COUNTIF('资产主表'!$K$6:$K$30,"已完成")+COUNTIF('资产主表'!$K$6:$K$30,"原型已接入")+COUNTIF('资产主表'!$K$6:$K$30,"正式美术已接入")+COUNTIF('资产主表'!$K$6:$K$30,"已优化并正式接入")+COUNTIF('资产主表'!$K$6:$K$30,"Blender源已完成")+COUNTIF('资产主表'!$K$6:$K$30,"已导入；优化完成")+COUNTIF('资产主表'!$K$6:$K$30,"白模源已完成；QA PASS")</f>
        <v/>
      </c>
      <c r="D6" s="54" t="n"/>
      <c r="E6" s="56">
        <f>COUNTIF('资产主表'!$K$6:$K$30,"待制作")+COUNTIF('资产主表'!$K$6:$K$30,"程序占位")</f>
        <v/>
      </c>
      <c r="F6" s="54" t="n"/>
      <c r="G6" s="56">
        <f>COUNTIF('资产主表'!$S$6:$S$30,"重复")</f>
        <v/>
      </c>
      <c r="H6" s="54" t="n"/>
      <c r="I6" s="55" t="inlineStr">
        <is>
          <t>域内专表：3D-道具 / 3D-物品　|　3D Prefab 分页：3D-道具 / 3D-物品</t>
        </is>
      </c>
    </row>
    <row r="7" ht="15" customHeight="1" s="51">
      <c r="A7" s="54" t="n"/>
      <c r="B7" s="54" t="n"/>
      <c r="C7" s="54" t="n"/>
      <c r="D7" s="54" t="n"/>
      <c r="E7" s="54" t="n"/>
      <c r="F7" s="54" t="n"/>
      <c r="G7" s="54" t="n"/>
      <c r="H7" s="54" t="n"/>
      <c r="I7" s="54" t="n"/>
      <c r="J7" s="54" t="n"/>
    </row>
    <row r="8" ht="15" customHeight="1" s="51">
      <c r="A8" s="54" t="n"/>
      <c r="B8" s="54" t="n"/>
      <c r="C8" s="54" t="n"/>
      <c r="D8" s="54" t="n"/>
      <c r="E8" s="54" t="n"/>
      <c r="F8" s="54" t="n"/>
      <c r="G8" s="54" t="n"/>
      <c r="H8" s="54" t="n"/>
      <c r="I8" s="54" t="n"/>
      <c r="J8" s="54" t="n"/>
    </row>
    <row r="9" ht="31.5" customHeight="1" s="51">
      <c r="A9" s="57" t="inlineStr">
        <is>
          <t>大类</t>
        </is>
      </c>
      <c r="B9" s="57" t="inlineStr">
        <is>
          <t>资产数</t>
        </is>
      </c>
      <c r="C9" s="57" t="inlineStr">
        <is>
          <t>完成/接入</t>
        </is>
      </c>
      <c r="D9" s="57" t="n"/>
      <c r="E9" s="58" t="inlineStr">
        <is>
          <t>本账本只登记上列大类；跨域搬运资产须同步主账本《分类与编码》并重跑门禁</t>
        </is>
      </c>
      <c r="F9" s="59" t="n"/>
      <c r="G9" s="59" t="n"/>
      <c r="H9" s="59" t="n"/>
      <c r="I9" s="59" t="n"/>
      <c r="J9" s="60" t="n"/>
    </row>
    <row r="10" ht="21.75" customHeight="1" s="51">
      <c r="A10" s="61" t="inlineStr">
        <is>
          <t>道具</t>
        </is>
      </c>
      <c r="B10" s="61">
        <f>COUNTIF('资产主表'!$C$6:$C$30,A10)</f>
        <v/>
      </c>
      <c r="C10" s="61">
        <f>SUMPRODUCT(('资产主表'!$C$6:$C$30=A10)*(('资产主表'!$K$6:$K$30="已完成")+('资产主表'!$K$6:$K$30="原型已接入")+('资产主表'!$K$6:$K$30="正式美术已接入")+('资产主表'!$K$6:$K$30="已优化并正式接入")+('资产主表'!$K$6:$K$30="Blender源已完成")+('资产主表'!$K$6:$K$30="已导入；优化完成")+('资产主表'!$K$6:$K$30="白模源已完成；QA PASS")))</f>
        <v/>
      </c>
      <c r="D10" s="61" t="n"/>
      <c r="E10" s="61" t="n"/>
      <c r="F10" s="61" t="n"/>
      <c r="G10" s="61" t="n"/>
      <c r="H10" s="61" t="n"/>
      <c r="I10" s="61" t="n"/>
      <c r="J10" s="61" t="n"/>
    </row>
    <row r="11" ht="15" customHeight="1" s="51">
      <c r="A11" s="57" t="inlineStr">
        <is>
          <t>合计</t>
        </is>
      </c>
      <c r="B11" s="57">
        <f>COUNTIF('资产主表'!$C$6:$C$30,A11)</f>
        <v/>
      </c>
      <c r="C11" s="57">
        <f>SUMPRODUCT(('资产主表'!$C$6:$C$30=A11)*(('资产主表'!$K$6:$K$30="已完成")+('资产主表'!$K$6:$K$30="原型已接入")+('资产主表'!$K$6:$K$30="正式美术已接入")+('资产主表'!$K$6:$K$30="已优化并正式接入")+('资产主表'!$K$6:$K$30="Blender源已完成")+('资产主表'!$K$6:$K$30="已导入；优化完成")+('资产主表'!$K$6:$K$30="白模源已完成；QA PASS")))</f>
        <v/>
      </c>
      <c r="D11" s="57" t="n"/>
      <c r="E11" s="57" t="n"/>
      <c r="F11" s="57" t="n"/>
      <c r="G11" s="57" t="n"/>
      <c r="H11" s="57" t="n"/>
      <c r="I11" s="57" t="n"/>
      <c r="J11" s="57" t="n"/>
    </row>
    <row r="12" ht="15" customHeight="1" s="51">
      <c r="A12" s="62" t="n"/>
      <c r="B12" s="62" t="n"/>
      <c r="C12" s="62" t="n"/>
      <c r="D12" s="54" t="n"/>
      <c r="E12" s="63" t="n"/>
      <c r="F12" s="62" t="n"/>
      <c r="G12" s="62" t="n"/>
      <c r="H12" s="54" t="n"/>
      <c r="I12" s="54" t="n"/>
      <c r="J12" s="54" t="n"/>
    </row>
    <row r="13" ht="15" customHeight="1" s="51">
      <c r="A13" s="64" t="inlineStr">
        <is>
          <t>域内 3D Prefab 分页统计（快照口径与本账本分页一致；权威清单在各分页表）</t>
        </is>
      </c>
      <c r="B13" s="65" t="n"/>
      <c r="C13" s="65" t="n"/>
      <c r="D13" s="65" t="n"/>
      <c r="E13" s="65" t="n"/>
      <c r="F13" s="65" t="n"/>
      <c r="G13" s="65" t="n"/>
      <c r="H13" s="65" t="n"/>
      <c r="I13" s="65" t="n"/>
      <c r="J13" s="66" t="n"/>
    </row>
    <row r="14" ht="39.55" customHeight="1" s="51">
      <c r="A14" s="55" t="inlineStr">
        <is>
          <t>分页</t>
        </is>
      </c>
      <c r="B14" s="67" t="inlineStr">
        <is>
          <t>Prefab 数</t>
        </is>
      </c>
      <c r="C14" s="55" t="inlineStr">
        <is>
          <t>直接引用 GLB</t>
        </is>
      </c>
      <c r="D14" s="55" t="inlineStr">
        <is>
          <t>有功能脚本</t>
        </is>
      </c>
      <c r="E14" s="55" t="inlineStr">
        <is>
          <t>碰撞开启</t>
        </is>
      </c>
      <c r="F14" s="55" t="inlineStr">
        <is>
          <t>说明</t>
        </is>
      </c>
      <c r="G14" s="62" t="n"/>
      <c r="H14" s="54" t="n"/>
      <c r="I14" s="54" t="n"/>
      <c r="J14" s="54" t="n"/>
    </row>
    <row r="15" ht="15" customHeight="1" s="51">
      <c r="A15" s="68" t="inlineStr">
        <is>
          <t>3D-道具</t>
        </is>
      </c>
      <c r="B15" s="61">
        <f>COUNTA('3D-道具'!$A$5:$A$204)</f>
        <v/>
      </c>
      <c r="C15" s="61">
        <f>COUNTIF('3D-道具'!$D$5:$D$204,"&lt;&gt;")</f>
        <v/>
      </c>
      <c r="D15" s="61">
        <f>COUNTIF('3D-道具'!$G$5:$G$204,"&lt;&gt;")</f>
        <v/>
      </c>
      <c r="E15" s="61">
        <f>COUNTIF('3D-道具'!$H$5:$H$204,"开")</f>
        <v/>
      </c>
      <c r="F15" s="61" t="inlineStr">
        <is>
          <t>一行 = 一个实际存在的 Godot PackedScene</t>
        </is>
      </c>
      <c r="G15" s="61" t="n"/>
      <c r="H15" s="61" t="n"/>
      <c r="I15" s="61" t="n"/>
      <c r="J15" s="61" t="n"/>
    </row>
    <row r="16" ht="15" customHeight="1" s="51">
      <c r="A16" s="68" t="inlineStr">
        <is>
          <t>3D-物品</t>
        </is>
      </c>
      <c r="B16" s="61">
        <f>COUNTA('3D-物品'!$A$5:$A$204)</f>
        <v/>
      </c>
      <c r="C16" s="61">
        <f>COUNTIF('3D-物品'!$D$5:$D$204,"&lt;&gt;")</f>
        <v/>
      </c>
      <c r="D16" s="61">
        <f>COUNTIF('3D-物品'!$G$5:$G$204,"&lt;&gt;")</f>
        <v/>
      </c>
      <c r="E16" s="61">
        <f>COUNTIF('3D-物品'!$H$5:$H$204,"开")</f>
        <v/>
      </c>
      <c r="F16" s="61" t="inlineStr">
        <is>
          <t>一行 = 一个实际存在的 Godot PackedScene</t>
        </is>
      </c>
      <c r="G16" s="61" t="n"/>
      <c r="H16" s="61" t="n"/>
      <c r="I16" s="61" t="n"/>
      <c r="J16" s="61" t="n"/>
    </row>
    <row r="17" ht="15" customHeight="1" s="51">
      <c r="A17" s="57" t="inlineStr">
        <is>
          <t>合计</t>
        </is>
      </c>
      <c r="B17" s="57">
        <f>SUM(B15:B16)</f>
        <v/>
      </c>
      <c r="C17" s="57">
        <f>SUM(C15:C16)</f>
        <v/>
      </c>
      <c r="D17" s="57">
        <f>SUM(D15:D16)</f>
        <v/>
      </c>
      <c r="E17" s="57">
        <f>SUM(E15:E16)</f>
        <v/>
      </c>
      <c r="F17" s="57" t="n"/>
      <c r="G17" s="57" t="n"/>
      <c r="H17" s="57" t="n"/>
      <c r="I17" s="57" t="n"/>
      <c r="J17" s="57" t="n"/>
    </row>
    <row r="18" ht="15" customHeight="1" s="51">
      <c r="A18" s="62" t="n"/>
      <c r="B18" s="62" t="n"/>
      <c r="C18" s="62" t="n"/>
      <c r="D18" s="54" t="n"/>
      <c r="E18" s="54" t="n"/>
      <c r="F18" s="54" t="n"/>
      <c r="G18" s="54" t="n"/>
      <c r="H18" s="54" t="n"/>
      <c r="I18" s="54" t="n"/>
      <c r="J18" s="54" t="n"/>
    </row>
    <row r="19" ht="15" customHeight="1" s="51">
      <c r="A19" s="54" t="n"/>
      <c r="B19" s="54" t="n"/>
      <c r="C19" s="54" t="n"/>
      <c r="D19" s="54" t="n"/>
      <c r="E19" s="54" t="n"/>
      <c r="F19" s="54" t="n"/>
      <c r="G19" s="54" t="n"/>
      <c r="H19" s="54" t="n"/>
      <c r="I19" s="54" t="n"/>
      <c r="J19" s="54" t="n"/>
    </row>
    <row r="20" ht="15" customHeight="1" s="51">
      <c r="A20" s="54" t="n"/>
      <c r="B20" s="54" t="n"/>
      <c r="C20" s="54" t="n"/>
      <c r="D20" s="54" t="n"/>
      <c r="E20" s="54" t="n"/>
      <c r="F20" s="54" t="n"/>
      <c r="G20" s="54" t="n"/>
      <c r="H20" s="54" t="n"/>
      <c r="I20" s="54" t="n"/>
      <c r="J20" s="54" t="n"/>
    </row>
  </sheetData>
  <mergeCells count="5">
    <mergeCell ref="A1:J2"/>
    <mergeCell ref="I6:J6"/>
    <mergeCell ref="A3:J3"/>
    <mergeCell ref="E9:J9"/>
    <mergeCell ref="A13:J1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6.26" customWidth="1" style="50" min="1" max="1"/>
    <col width="74" customWidth="1" style="50" min="2" max="2"/>
    <col width="40.58" customWidth="1" style="50" min="3" max="3"/>
    <col width="28.65" customWidth="1" style="50" min="4" max="6"/>
  </cols>
  <sheetData>
    <row r="1" ht="15" customHeight="1" s="51">
      <c r="A1" s="69" t="inlineStr">
        <is>
          <t>本账本说明 · 道具</t>
        </is>
      </c>
    </row>
    <row r="2" ht="15" customHeight="1" s="51"/>
    <row r="3" ht="15" customHeight="1" s="51">
      <c r="A3" s="53" t="inlineStr">
        <is>
          <t>本表是分账本自描述；机器可读真源为 assets/registry/ledger_index.json，二者不一致时以 JSON 为准</t>
        </is>
      </c>
    </row>
    <row r="4"/>
    <row r="5" ht="15" customHeight="1" s="51">
      <c r="A5" s="57" t="inlineStr">
        <is>
          <t>项</t>
        </is>
      </c>
      <c r="B5" s="57" t="inlineStr">
        <is>
          <t>值</t>
        </is>
      </c>
      <c r="C5" s="57" t="n"/>
      <c r="D5" s="57" t="n"/>
      <c r="E5" s="57" t="n"/>
      <c r="F5" s="57" t="n"/>
    </row>
    <row r="6" ht="30" customHeight="1" s="51">
      <c r="A6" s="61" t="inlineStr">
        <is>
          <t>账本归属域</t>
        </is>
      </c>
      <c r="B6" s="61" t="inlineStr">
        <is>
          <t>道具</t>
        </is>
      </c>
      <c r="C6" s="61" t="n"/>
      <c r="D6" s="61" t="n"/>
      <c r="E6" s="61" t="n"/>
      <c r="F6" s="61" t="n"/>
    </row>
    <row r="7" ht="30" customHeight="1" s="51">
      <c r="A7" s="61" t="inlineStr">
        <is>
          <t>分账本文件</t>
        </is>
      </c>
      <c r="B7" s="68" t="inlineStr">
        <is>
          <t>assets/registry/ledgers/ShellStorm2_道具账本_v001.xlsx</t>
        </is>
      </c>
      <c r="C7" s="61" t="n"/>
      <c r="D7" s="61" t="n"/>
      <c r="E7" s="61" t="n"/>
      <c r="F7" s="61" t="n"/>
    </row>
    <row r="8" ht="30" customHeight="1" s="51">
      <c r="A8" s="61" t="inlineStr">
        <is>
          <t>覆盖大类</t>
        </is>
      </c>
      <c r="B8" s="61" t="inlineStr">
        <is>
          <t>道具</t>
        </is>
      </c>
      <c r="C8" s="61" t="n"/>
      <c r="D8" s="61" t="n"/>
      <c r="E8" s="61" t="n"/>
      <c r="F8" s="61" t="n"/>
    </row>
    <row r="9" ht="30" customHeight="1" s="51">
      <c r="A9" s="68" t="inlineStr">
        <is>
          <t>AssetID 前缀</t>
        </is>
      </c>
      <c r="B9" s="68" t="inlineStr">
        <is>
          <t>ITM / PRP</t>
        </is>
      </c>
      <c r="C9" s="61" t="n"/>
      <c r="D9" s="61" t="n"/>
      <c r="E9" s="61" t="n"/>
      <c r="F9" s="61" t="n"/>
    </row>
    <row r="10" ht="30" customHeight="1" s="51">
      <c r="A10" s="61" t="inlineStr">
        <is>
          <t>域内专表</t>
        </is>
      </c>
      <c r="B10" s="68" t="inlineStr">
        <is>
          <t>3D-道具 / 3D-物品</t>
        </is>
      </c>
      <c r="C10" s="61" t="n"/>
      <c r="D10" s="61" t="n"/>
      <c r="E10" s="61" t="n"/>
      <c r="F10" s="61" t="n"/>
    </row>
    <row r="11" ht="30" customHeight="1" s="51">
      <c r="A11" s="68" t="inlineStr">
        <is>
          <t>3D Prefab 分页</t>
        </is>
      </c>
      <c r="B11" s="68" t="inlineStr">
        <is>
          <t>3D-道具 / 3D-物品</t>
        </is>
      </c>
      <c r="C11" s="61" t="n"/>
      <c r="D11" s="61" t="n"/>
      <c r="E11" s="61" t="n"/>
      <c r="F11" s="61" t="n"/>
    </row>
    <row r="12" ht="30" customHeight="1" s="51">
      <c r="A12" s="61" t="inlineStr">
        <is>
          <t>动画登记表</t>
        </is>
      </c>
      <c r="B12" s="61" t="inlineStr">
        <is>
          <t>无</t>
        </is>
      </c>
      <c r="C12" s="61" t="n"/>
      <c r="D12" s="61" t="n"/>
      <c r="E12" s="61" t="n"/>
      <c r="F12" s="61" t="n"/>
    </row>
    <row r="13" ht="30" customHeight="1" s="51">
      <c r="A13" s="61" t="inlineStr">
        <is>
          <t>主账本（总目录）</t>
        </is>
      </c>
      <c r="B13" s="68" t="inlineStr">
        <is>
          <t>assets/registry/ShellStorm2_美术资产台账_v001.xlsx</t>
        </is>
      </c>
      <c r="C13" s="61" t="n"/>
      <c r="D13" s="61" t="n"/>
      <c r="E13" s="61" t="n"/>
      <c r="F13" s="61" t="n"/>
    </row>
    <row r="14" ht="30" customHeight="1" s="51">
      <c r="A14" s="61" t="inlineStr">
        <is>
          <t>跨域契约</t>
        </is>
      </c>
      <c r="B14" s="61" t="inlineStr">
        <is>
          <t>分类与编码 / 命名与查重 / 版本记录 / Skill 清单 / 3D Prefab 总控 —— 全部只在主账本维护</t>
        </is>
      </c>
      <c r="C14" s="61" t="n"/>
      <c r="D14" s="61" t="n"/>
      <c r="E14" s="61" t="n"/>
      <c r="F14" s="61" t="n"/>
    </row>
    <row r="15" ht="30" customHeight="1" s="51">
      <c r="A15" s="61" t="inlineStr">
        <is>
          <t>首选制作 Skill</t>
        </is>
      </c>
      <c r="B15" s="68" t="inlineStr">
        <is>
          <t>game-prop-model-pipeline</t>
        </is>
      </c>
      <c r="C15" s="61" t="n"/>
      <c r="D15" s="61" t="n"/>
      <c r="E15" s="61" t="n"/>
      <c r="F15" s="61" t="n"/>
    </row>
    <row r="16" ht="30" customHeight="1" s="51">
      <c r="A16" s="61" t="inlineStr">
        <is>
          <t>协作 Skill</t>
        </is>
      </c>
      <c r="B16" s="61" t="inlineStr">
        <is>
          <t>无</t>
        </is>
      </c>
      <c r="C16" s="61" t="n"/>
      <c r="D16" s="61" t="n"/>
      <c r="E16" s="61" t="n"/>
      <c r="F16" s="61" t="n"/>
    </row>
    <row r="17" ht="30" customHeight="1" s="51">
      <c r="A17" s="61" t="inlineStr">
        <is>
          <t>负责人</t>
        </is>
      </c>
      <c r="B17" s="61" t="inlineStr">
        <is>
          <t>待分配</t>
        </is>
      </c>
      <c r="C17" s="61" t="n"/>
      <c r="D17" s="61" t="n"/>
      <c r="E17" s="61" t="n"/>
      <c r="F17" s="61" t="n"/>
    </row>
    <row r="18" ht="30" customHeight="1" s="51">
      <c r="A18" s="61" t="inlineStr">
        <is>
          <t>登记范围</t>
        </is>
      </c>
      <c r="B18" s="61" t="inlineStr">
        <is>
          <t>可拾取、可消耗、可摆放、可交互的独立道具与拥有独立PackedScene的物品。固定设施不在此域（见场景账本），PRP 归属以「大类」列为准。</t>
        </is>
      </c>
      <c r="C18" s="61" t="n"/>
      <c r="D18" s="61" t="n"/>
      <c r="E18" s="61" t="n"/>
      <c r="F18" s="61" t="n"/>
    </row>
    <row r="19" ht="30" customHeight="1" s="51">
      <c r="A19" s="61" t="inlineStr">
        <is>
          <t>编辑边界</t>
        </is>
      </c>
      <c r="B19" s="61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61" t="n"/>
      <c r="D19" s="61" t="n"/>
      <c r="E19" s="61" t="n"/>
      <c r="F19" s="61" t="n"/>
    </row>
    <row r="20" ht="30" customHeight="1" s="51">
      <c r="A20" s="61" t="inlineStr">
        <is>
          <t>登记口径</t>
        </is>
      </c>
      <c r="B20" s="61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61" t="n"/>
      <c r="D20" s="61" t="n"/>
      <c r="E20" s="61" t="n"/>
      <c r="F20" s="61" t="n"/>
    </row>
    <row r="21" ht="30" customHeight="1" s="51">
      <c r="A21" s="61" t="inlineStr">
        <is>
          <t>门禁</t>
        </is>
      </c>
      <c r="B21" s="68" t="inlineStr">
        <is>
          <t>python3 scripts/check_asset_registry.py --scope structure（需 venv python + openpyxl，且在 /tmp 下跑）</t>
        </is>
      </c>
      <c r="C21" s="61" t="n"/>
      <c r="D21" s="61" t="n"/>
      <c r="E21" s="61" t="n"/>
      <c r="F21" s="61" t="n"/>
    </row>
    <row r="22" ht="30" customHeight="1" s="51">
      <c r="A22" s="61" t="inlineStr">
        <is>
          <t>无损基线</t>
        </is>
      </c>
      <c r="B22" s="68" t="inlineStr">
        <is>
          <t>assets/registry/ledger_split_baseline.json；python3 tools/asset_pipeline/verify_ledger_split.py 断言并集与拆分前逐格一致</t>
        </is>
      </c>
      <c r="C22" s="61" t="n"/>
      <c r="D22" s="61" t="n"/>
      <c r="E22" s="61" t="n"/>
      <c r="F22" s="61" t="n"/>
    </row>
    <row r="23" ht="30" customHeight="1" s="51">
      <c r="A23" s="61" t="inlineStr">
        <is>
          <t>快照日期</t>
        </is>
      </c>
      <c r="B23" s="68" t="inlineStr">
        <is>
          <t>2026-09-18</t>
        </is>
      </c>
      <c r="C23" s="61" t="n"/>
      <c r="D23" s="61" t="n"/>
      <c r="E23" s="61" t="n"/>
      <c r="F23" s="61" t="n"/>
    </row>
  </sheetData>
  <mergeCells count="2">
    <mergeCell ref="A3:F3"/>
    <mergeCell ref="A1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9.84" customWidth="1" style="50" min="1" max="1"/>
    <col width="21.48" customWidth="1" style="50" min="2" max="2"/>
    <col width="11.94" customWidth="1" style="50" min="3" max="3"/>
    <col width="21.48" customWidth="1" style="50" min="4" max="4"/>
    <col width="26.26" customWidth="1" style="50" min="5" max="5"/>
    <col width="14.33" customWidth="1" style="50" min="6" max="6"/>
    <col width="29.84" customWidth="1" style="50" min="7" max="7"/>
    <col width="22.68" customWidth="1" style="50" min="8" max="8"/>
    <col width="17.9" customWidth="1" style="50" min="9" max="9"/>
    <col width="21.48" customWidth="1" style="50" min="10" max="10"/>
    <col width="14.33" customWidth="1" style="50" min="11" max="11"/>
    <col width="9.550000000000001" customWidth="1" style="50" min="12" max="12"/>
    <col width="10.74" customWidth="1" style="50" min="13" max="13"/>
    <col width="19.1" customWidth="1" style="50" min="14" max="14"/>
    <col width="42.97" customWidth="1" style="50" min="15" max="15"/>
    <col width="40.58" customWidth="1" style="50" min="16" max="16"/>
    <col width="31.03" customWidth="1" style="50" min="17" max="17"/>
    <col width="50.13" customWidth="1" style="50" min="18" max="18"/>
    <col width="14.33" customWidth="1" style="50" min="19" max="19"/>
    <col width="35.81" customWidth="1" style="50" min="20" max="20"/>
    <col width="14.33" customWidth="1" style="50" min="21" max="21"/>
    <col width="15.51" customWidth="1" style="50" min="22" max="22"/>
    <col width="19.1" customWidth="1" style="50" min="23" max="23"/>
    <col width="62.06" customWidth="1" style="50" min="24" max="24"/>
  </cols>
  <sheetData>
    <row r="1" ht="24.75" customHeight="1" s="51">
      <c r="A1" s="69" t="inlineStr">
        <is>
          <t>资产主表 · 唯一登记源</t>
        </is>
      </c>
    </row>
    <row r="2" ht="12" customHeight="1" s="51"/>
    <row r="3" ht="22.5" customHeight="1" s="51">
      <c r="A3" s="53" t="inlineStr">
        <is>
          <t>查重键由公式生成；S 列出现“重复”时禁止制作，先合并或建立变体父子关系</t>
        </is>
      </c>
    </row>
    <row r="4" ht="15" customHeight="1" s="51">
      <c r="A4" s="54" t="n"/>
      <c r="B4" s="54" t="n"/>
      <c r="C4" s="54" t="n"/>
      <c r="D4" s="54" t="n"/>
      <c r="E4" s="54" t="n"/>
      <c r="F4" s="54" t="n"/>
      <c r="G4" s="54" t="n"/>
      <c r="H4" s="54" t="n"/>
      <c r="I4" s="54" t="n"/>
      <c r="J4" s="54" t="n"/>
      <c r="K4" s="54" t="n"/>
      <c r="L4" s="54" t="n"/>
      <c r="M4" s="54" t="n"/>
      <c r="N4" s="54" t="n"/>
      <c r="O4" s="54" t="n"/>
      <c r="P4" s="54" t="n"/>
      <c r="Q4" s="54" t="n"/>
      <c r="R4" s="54" t="n"/>
      <c r="S4" s="54" t="n"/>
      <c r="T4" s="54" t="n"/>
      <c r="U4" s="54" t="n"/>
      <c r="V4" s="54" t="n"/>
      <c r="W4" s="54" t="n"/>
      <c r="Y4" s="54" t="n"/>
    </row>
    <row r="5" ht="31.5" customHeight="1" s="51">
      <c r="A5" s="70" t="inlineStr">
        <is>
          <t>AssetID</t>
        </is>
      </c>
      <c r="B5" s="71" t="inlineStr">
        <is>
          <t>中文名</t>
        </is>
      </c>
      <c r="C5" s="71" t="inlineStr">
        <is>
          <t>大类</t>
        </is>
      </c>
      <c r="D5" s="71" t="inlineStr">
        <is>
          <t>子类</t>
        </is>
      </c>
      <c r="E5" s="71" t="inlineStr">
        <is>
          <t>逻辑ID/源键</t>
        </is>
      </c>
      <c r="F5" s="71" t="inlineStr">
        <is>
          <t>组件槽</t>
        </is>
      </c>
      <c r="G5" s="71" t="inlineStr">
        <is>
          <t>变体父ID</t>
        </is>
      </c>
      <c r="H5" s="71" t="inlineStr">
        <is>
          <t>视角</t>
        </is>
      </c>
      <c r="I5" s="71" t="inlineStr">
        <is>
          <t>状态/动画</t>
        </is>
      </c>
      <c r="J5" s="71" t="inlineStr">
        <is>
          <t>复用范围</t>
        </is>
      </c>
      <c r="K5" s="71" t="inlineStr">
        <is>
          <t>制作状态</t>
        </is>
      </c>
      <c r="L5" s="71" t="inlineStr">
        <is>
          <t>优先级</t>
        </is>
      </c>
      <c r="M5" s="71" t="inlineStr">
        <is>
          <t>版本</t>
        </is>
      </c>
      <c r="N5" s="71" t="inlineStr">
        <is>
          <t>规格(px)</t>
        </is>
      </c>
      <c r="O5" s="71" t="inlineStr">
        <is>
          <t>文件路径</t>
        </is>
      </c>
      <c r="P5" s="71" t="inlineStr">
        <is>
          <t>源码/策划依据</t>
        </is>
      </c>
      <c r="Q5" s="71" t="inlineStr">
        <is>
          <t>关键词/别名</t>
        </is>
      </c>
      <c r="R5" s="71" t="inlineStr">
        <is>
          <t>查重键</t>
        </is>
      </c>
      <c r="S5" s="71" t="inlineStr">
        <is>
          <t>查重结果</t>
        </is>
      </c>
      <c r="T5" s="72" t="inlineStr">
        <is>
          <t>SHA-256</t>
        </is>
      </c>
      <c r="U5" s="71" t="inlineStr">
        <is>
          <t>负责人</t>
        </is>
      </c>
      <c r="V5" s="71" t="inlineStr">
        <is>
          <t>更新时间</t>
        </is>
      </c>
      <c r="W5" s="71" t="inlineStr">
        <is>
          <t>来源/许可</t>
        </is>
      </c>
      <c r="X5" s="73" t="inlineStr">
        <is>
          <t>源编号（Blender collection）</t>
        </is>
      </c>
      <c r="Y5" s="74" t="inlineStr">
        <is>
          <t>备注</t>
        </is>
      </c>
    </row>
    <row r="6" ht="15" customHeight="1" s="51">
      <c r="A6" s="75" t="inlineStr">
        <is>
          <t>ITM-CONSUMABLE-ITEM-BEACON</t>
        </is>
      </c>
      <c r="B6" s="62" t="inlineStr">
        <is>
          <t>撤离信标</t>
        </is>
      </c>
      <c r="C6" s="62" t="inlineStr">
        <is>
          <t>道具</t>
        </is>
      </c>
      <c r="D6" s="75" t="inlineStr">
        <is>
          <t>consumable</t>
        </is>
      </c>
      <c r="E6" s="75" t="inlineStr">
        <is>
          <t>item_beacon</t>
        </is>
      </c>
      <c r="F6" s="75" t="inlineStr">
        <is>
          <t>root</t>
        </is>
      </c>
      <c r="G6" s="62" t="n"/>
      <c r="H6" s="62" t="inlineStr">
        <is>
          <t>顶视/图标</t>
        </is>
      </c>
      <c r="I6" s="75" t="inlineStr">
        <is>
          <t>default</t>
        </is>
      </c>
      <c r="J6" s="62" t="inlineStr">
        <is>
          <t>世界拾取/UI 图标</t>
        </is>
      </c>
      <c r="K6" s="62" t="inlineStr">
        <is>
          <t>程序占位</t>
        </is>
      </c>
      <c r="L6" s="75" t="inlineStr">
        <is>
          <t>P0</t>
        </is>
      </c>
      <c r="M6" s="75" t="inlineStr">
        <is>
          <t>v001</t>
        </is>
      </c>
      <c r="N6" s="62" t="inlineStr">
        <is>
          <t>世界 24–40 px；UI 32 px</t>
        </is>
      </c>
      <c r="O6" s="62" t="n"/>
      <c r="P6" s="75" t="inlineStr">
        <is>
          <t>src/base/ItemRegistry.gd</t>
        </is>
      </c>
      <c r="Q6" s="62" t="n"/>
      <c r="R6" s="62">
        <f>LOWER(TRIM(C6)&amp;"|"&amp;TRIM(D6)&amp;"|"&amp;TRIM(E6)&amp;"|"&amp;TRIM(F6)&amp;"|"&amp;TRIM(H6)&amp;"|"&amp;TRIM(I6))</f>
        <v/>
      </c>
      <c r="S6" s="62">
        <f>IF(COUNTIF($R$6:$R$30,R6)&gt;1,"重复","唯一")</f>
        <v/>
      </c>
      <c r="T6" s="62" t="n"/>
      <c r="U6" s="62" t="inlineStr">
        <is>
          <t>待分配</t>
        </is>
      </c>
      <c r="V6" s="76" t="n">
        <v>46224</v>
      </c>
      <c r="W6" s="62" t="inlineStr">
        <is>
          <t>原创/待确认</t>
        </is>
      </c>
      <c r="X6" s="77" t="inlineStr">
        <is>
          <t>—</t>
        </is>
      </c>
      <c r="Y6" s="62" t="n"/>
    </row>
    <row r="7" ht="15" customHeight="1" s="51">
      <c r="A7" s="75" t="inlineStr">
        <is>
          <t>ITM-KEY-ITEM-ROOM-KEY</t>
        </is>
      </c>
      <c r="B7" s="62" t="inlineStr">
        <is>
          <t>房间钥匙</t>
        </is>
      </c>
      <c r="C7" s="62" t="inlineStr">
        <is>
          <t>道具</t>
        </is>
      </c>
      <c r="D7" s="75" t="inlineStr">
        <is>
          <t>key</t>
        </is>
      </c>
      <c r="E7" s="75" t="inlineStr">
        <is>
          <t>item_room_key</t>
        </is>
      </c>
      <c r="F7" s="75" t="inlineStr">
        <is>
          <t>root</t>
        </is>
      </c>
      <c r="G7" s="62" t="n"/>
      <c r="H7" s="62" t="inlineStr">
        <is>
          <t>顶视/图标</t>
        </is>
      </c>
      <c r="I7" s="75" t="inlineStr">
        <is>
          <t>default</t>
        </is>
      </c>
      <c r="J7" s="62" t="inlineStr">
        <is>
          <t>世界拾取/UI 图标</t>
        </is>
      </c>
      <c r="K7" s="62" t="inlineStr">
        <is>
          <t>程序占位</t>
        </is>
      </c>
      <c r="L7" s="75" t="inlineStr">
        <is>
          <t>P0</t>
        </is>
      </c>
      <c r="M7" s="75" t="inlineStr">
        <is>
          <t>v001</t>
        </is>
      </c>
      <c r="N7" s="62" t="inlineStr">
        <is>
          <t>世界 24–40 px；UI 32 px</t>
        </is>
      </c>
      <c r="O7" s="62" t="n"/>
      <c r="P7" s="75" t="inlineStr">
        <is>
          <t>src/base/ItemRegistry.gd</t>
        </is>
      </c>
      <c r="Q7" s="62" t="n"/>
      <c r="R7" s="62">
        <f>LOWER(TRIM(C7)&amp;"|"&amp;TRIM(D7)&amp;"|"&amp;TRIM(E7)&amp;"|"&amp;TRIM(F7)&amp;"|"&amp;TRIM(H7)&amp;"|"&amp;TRIM(I7))</f>
        <v/>
      </c>
      <c r="S7" s="62">
        <f>IF(COUNTIF($R$6:$R$30,R7)&gt;1,"重复","唯一")</f>
        <v/>
      </c>
      <c r="T7" s="62" t="n"/>
      <c r="U7" s="62" t="inlineStr">
        <is>
          <t>待分配</t>
        </is>
      </c>
      <c r="V7" s="76" t="n">
        <v>46224</v>
      </c>
      <c r="W7" s="62" t="inlineStr">
        <is>
          <t>原创/待确认</t>
        </is>
      </c>
      <c r="X7" s="77" t="inlineStr">
        <is>
          <t>—</t>
        </is>
      </c>
      <c r="Y7" s="62" t="n"/>
    </row>
    <row r="8" ht="15" customHeight="1" s="51">
      <c r="A8" s="75" t="inlineStr">
        <is>
          <t>ITM-PICKUP-SOUL-ORB</t>
        </is>
      </c>
      <c r="B8" s="62" t="inlineStr">
        <is>
          <t>灵魂球</t>
        </is>
      </c>
      <c r="C8" s="62" t="inlineStr">
        <is>
          <t>道具</t>
        </is>
      </c>
      <c r="D8" s="75" t="inlineStr">
        <is>
          <t>pickup</t>
        </is>
      </c>
      <c r="E8" s="75" t="inlineStr">
        <is>
          <t>soul_orb</t>
        </is>
      </c>
      <c r="F8" s="75" t="inlineStr">
        <is>
          <t>root</t>
        </is>
      </c>
      <c r="G8" s="62" t="n"/>
      <c r="H8" s="62" t="inlineStr">
        <is>
          <t>顶视/图标</t>
        </is>
      </c>
      <c r="I8" s="75" t="inlineStr">
        <is>
          <t>default</t>
        </is>
      </c>
      <c r="J8" s="62" t="inlineStr">
        <is>
          <t>世界拾取/UI 图标</t>
        </is>
      </c>
      <c r="K8" s="62" t="inlineStr">
        <is>
          <t>程序占位</t>
        </is>
      </c>
      <c r="L8" s="75" t="inlineStr">
        <is>
          <t>P1</t>
        </is>
      </c>
      <c r="M8" s="75" t="inlineStr">
        <is>
          <t>v001</t>
        </is>
      </c>
      <c r="N8" s="62" t="inlineStr">
        <is>
          <t>世界 24–40 px；UI 32 px</t>
        </is>
      </c>
      <c r="O8" s="62" t="n"/>
      <c r="P8" s="75" t="inlineStr">
        <is>
          <t>scenes/</t>
        </is>
      </c>
      <c r="Q8" s="62" t="n"/>
      <c r="R8" s="62">
        <f>LOWER(TRIM(C8)&amp;"|"&amp;TRIM(D8)&amp;"|"&amp;TRIM(E8)&amp;"|"&amp;TRIM(F8)&amp;"|"&amp;TRIM(H8)&amp;"|"&amp;TRIM(I8))</f>
        <v/>
      </c>
      <c r="S8" s="62">
        <f>IF(COUNTIF($R$6:$R$30,R8)&gt;1,"重复","唯一")</f>
        <v/>
      </c>
      <c r="T8" s="62" t="n"/>
      <c r="U8" s="62" t="inlineStr">
        <is>
          <t>待分配</t>
        </is>
      </c>
      <c r="V8" s="76" t="n">
        <v>46224</v>
      </c>
      <c r="W8" s="62" t="inlineStr">
        <is>
          <t>原创/待确认</t>
        </is>
      </c>
      <c r="X8" s="77" t="inlineStr">
        <is>
          <t>—</t>
        </is>
      </c>
      <c r="Y8" s="62" t="n"/>
    </row>
    <row r="9" ht="15" customHeight="1" s="51">
      <c r="A9" s="75" t="inlineStr">
        <is>
          <t>ITM-CONTAINER-CONTAINER</t>
        </is>
      </c>
      <c r="B9" s="62" t="inlineStr">
        <is>
          <t>战利品容器</t>
        </is>
      </c>
      <c r="C9" s="62" t="inlineStr">
        <is>
          <t>道具</t>
        </is>
      </c>
      <c r="D9" s="75" t="inlineStr">
        <is>
          <t>container</t>
        </is>
      </c>
      <c r="E9" s="75" t="inlineStr">
        <is>
          <t>container</t>
        </is>
      </c>
      <c r="F9" s="75" t="inlineStr">
        <is>
          <t>root</t>
        </is>
      </c>
      <c r="G9" s="62" t="n"/>
      <c r="H9" s="62" t="inlineStr">
        <is>
          <t>顶视/图标</t>
        </is>
      </c>
      <c r="I9" s="75" t="inlineStr">
        <is>
          <t>default</t>
        </is>
      </c>
      <c r="J9" s="62" t="inlineStr">
        <is>
          <t>世界拾取/UI 图标</t>
        </is>
      </c>
      <c r="K9" s="62" t="inlineStr">
        <is>
          <t>程序占位</t>
        </is>
      </c>
      <c r="L9" s="75" t="inlineStr">
        <is>
          <t>P1</t>
        </is>
      </c>
      <c r="M9" s="75" t="inlineStr">
        <is>
          <t>v001</t>
        </is>
      </c>
      <c r="N9" s="62" t="inlineStr">
        <is>
          <t>世界 24–40 px；UI 32 px</t>
        </is>
      </c>
      <c r="O9" s="62" t="n"/>
      <c r="P9" s="75" t="inlineStr">
        <is>
          <t>scenes/</t>
        </is>
      </c>
      <c r="Q9" s="62" t="n"/>
      <c r="R9" s="62">
        <f>LOWER(TRIM(C9)&amp;"|"&amp;TRIM(D9)&amp;"|"&amp;TRIM(E9)&amp;"|"&amp;TRIM(F9)&amp;"|"&amp;TRIM(H9)&amp;"|"&amp;TRIM(I9))</f>
        <v/>
      </c>
      <c r="S9" s="62">
        <f>IF(COUNTIF($R$6:$R$30,R9)&gt;1,"重复","唯一")</f>
        <v/>
      </c>
      <c r="T9" s="62" t="n"/>
      <c r="U9" s="62" t="inlineStr">
        <is>
          <t>待分配</t>
        </is>
      </c>
      <c r="V9" s="76" t="n">
        <v>46224</v>
      </c>
      <c r="W9" s="62" t="inlineStr">
        <is>
          <t>原创/待确认</t>
        </is>
      </c>
      <c r="X9" s="77" t="inlineStr">
        <is>
          <t>—</t>
        </is>
      </c>
      <c r="Y9" s="62" t="n"/>
    </row>
    <row r="10" ht="229.85" customHeight="1" s="51">
      <c r="A10" s="75" t="inlineStr">
        <is>
          <t>ITM-PICKUP-ROOM-KEY-PICKUP</t>
        </is>
      </c>
      <c r="B10" s="62" t="inlineStr">
        <is>
          <t>房间钥匙掉落</t>
        </is>
      </c>
      <c r="C10" s="62" t="inlineStr">
        <is>
          <t>道具</t>
        </is>
      </c>
      <c r="D10" s="75" t="inlineStr">
        <is>
          <t>pickup</t>
        </is>
      </c>
      <c r="E10" s="75" t="inlineStr">
        <is>
          <t>room_key_pickup</t>
        </is>
      </c>
      <c r="F10" s="75" t="inlineStr">
        <is>
          <t>root</t>
        </is>
      </c>
      <c r="G10" s="62" t="n"/>
      <c r="H10" s="62" t="inlineStr">
        <is>
          <t>顶视/图标</t>
        </is>
      </c>
      <c r="I10" s="75" t="inlineStr">
        <is>
          <t>default</t>
        </is>
      </c>
      <c r="J10" s="62" t="inlineStr">
        <is>
          <t>全部3D房间/清房奖励</t>
        </is>
      </c>
      <c r="K10" s="62" t="inlineStr">
        <is>
          <t>原型已接入</t>
        </is>
      </c>
      <c r="L10" s="75" t="inlineStr">
        <is>
          <t>P1</t>
        </is>
      </c>
      <c r="M10" s="75" t="inlineStr">
        <is>
          <t>v001</t>
        </is>
      </c>
      <c r="N10" s="62" t="inlineStr">
        <is>
          <t>程序模型/0.32s Tween</t>
        </is>
      </c>
      <c r="O10" s="75" t="inlineStr">
        <is>
          <t>src/world3d/RoomKeyPickup3D.gd</t>
        </is>
      </c>
      <c r="P10" s="75" t="inlineStr">
        <is>
          <t>src/world3d/RoomKeyPickup3D.gd</t>
        </is>
      </c>
      <c r="Q10" s="62" t="n"/>
      <c r="R10" s="62">
        <f>LOWER(TRIM(C10)&amp;"|"&amp;TRIM(D10)&amp;"|"&amp;TRIM(E10)&amp;"|"&amp;TRIM(F10)&amp;"|"&amp;TRIM(H10)&amp;"|"&amp;TRIM(I10))</f>
        <v/>
      </c>
      <c r="S10" s="62">
        <f>IF(COUNTIF($R$6:$R$30,R10)&gt;1,"重复","唯一")</f>
        <v/>
      </c>
      <c r="T10" s="75" t="inlineStr">
        <is>
          <t>1f5953cef11cc376d18ecc875a4a88eae6ce3dff05eba2f5479cb006926fb928</t>
        </is>
      </c>
      <c r="U10" s="75" t="inlineStr">
        <is>
          <t>Codex</t>
        </is>
      </c>
      <c r="V10" s="76" t="n">
        <v>46264</v>
      </c>
      <c r="W10" s="62" t="inlineStr">
        <is>
          <t>原创程序几何</t>
        </is>
      </c>
      <c r="X10" s="77" t="inlineStr">
        <is>
          <t>—</t>
        </is>
      </c>
      <c r="Y10" s="62" t="inlineStr">
        <is>
          <t>清房后在玩家附近安全边界生成；同房唯一且返回时可补发；成功拾取先关闭碰撞，再上弹旋转缩小后回收
2026-08-30 AST-02：登记路径规范化 &lt;空&gt; → src/world3d/RoomKeyPickup3D.gd；多实现/源码依据保留在P列。
2026-08-30 AST-02：补齐单一生产路径SHA；验收：verify_full_3d_game_flow；SHA 1f5953cef11c。</t>
        </is>
      </c>
    </row>
    <row r="11" ht="265.65" customHeight="1" s="51">
      <c r="A11" s="75" t="inlineStr">
        <is>
          <t>ITM-PICKUP-BASE-GROUND-ITEM</t>
        </is>
      </c>
      <c r="B11" s="62" t="inlineStr">
        <is>
          <t>地面物品底座</t>
        </is>
      </c>
      <c r="C11" s="62" t="inlineStr">
        <is>
          <t>道具</t>
        </is>
      </c>
      <c r="D11" s="75" t="inlineStr">
        <is>
          <t>pickup_base</t>
        </is>
      </c>
      <c r="E11" s="75" t="inlineStr">
        <is>
          <t>ground_item</t>
        </is>
      </c>
      <c r="F11" s="75" t="inlineStr">
        <is>
          <t>root</t>
        </is>
      </c>
      <c r="G11" s="62" t="n"/>
      <c r="H11" s="62" t="inlineStr">
        <is>
          <t>顶视/图标</t>
        </is>
      </c>
      <c r="I11" s="75" t="inlineStr">
        <is>
          <t>default</t>
        </is>
      </c>
      <c r="J11" s="62" t="inlineStr">
        <is>
          <t>地面掉落/背包投影</t>
        </is>
      </c>
      <c r="K11" s="62" t="inlineStr">
        <is>
          <t>原型已接入</t>
        </is>
      </c>
      <c r="L11" s="75" t="inlineStr">
        <is>
          <t>P2</t>
        </is>
      </c>
      <c r="M11" s="75" t="inlineStr">
        <is>
          <t>v001</t>
        </is>
      </c>
      <c r="N11" s="62" t="inlineStr">
        <is>
          <t>程序模型/0.32s Tween</t>
        </is>
      </c>
      <c r="O11" s="75" t="inlineStr">
        <is>
          <t>src/world3d/GroundLootPickup3D.gd</t>
        </is>
      </c>
      <c r="P11" s="75" t="inlineStr">
        <is>
          <t>src/world3d/GroundLootPickup3D.gd</t>
        </is>
      </c>
      <c r="Q11" s="62" t="n"/>
      <c r="R11" s="62">
        <f>LOWER(TRIM(C11)&amp;"|"&amp;TRIM(D11)&amp;"|"&amp;TRIM(E11)&amp;"|"&amp;TRIM(F11)&amp;"|"&amp;TRIM(H11)&amp;"|"&amp;TRIM(I11))</f>
        <v/>
      </c>
      <c r="S11" s="62">
        <f>IF(COUNTIF($R$6:$R$30,R11)&gt;1,"重复","唯一")</f>
        <v/>
      </c>
      <c r="T11" s="75" t="inlineStr">
        <is>
          <t>14eca357cf5198a232d95231ccbf07e15b67a1428f7d27bf2f32222e59bcb29d</t>
        </is>
      </c>
      <c r="U11" s="75" t="inlineStr">
        <is>
          <t>Codex</t>
        </is>
      </c>
      <c r="V11" s="76" t="n">
        <v>46264</v>
      </c>
      <c r="W11" s="62" t="inlineStr">
        <is>
          <t>原创程序几何</t>
        </is>
      </c>
      <c r="X11" s="77" t="inlineStr">
        <is>
          <t>—</t>
        </is>
      </c>
      <c r="Y11" s="62" t="inlineStr">
        <is>
          <t>与背包投影共用 ItemModelFactory3D；满包时保留，成功接收后播放0.32秒上弹旋转缩小动画
2026-08-30 AST-02：登记路径规范化 &lt;空&gt; → src/world3d/GroundLootPickup3D.gd；多实现/源码依据保留在P列。
2026-08-30 AST-02：补齐单一生产路径SHA；验收：verify_full_3d_game_flow；verify_3d_inventory_weapon_flow；SHA 14eca357cf51。</t>
        </is>
      </c>
    </row>
    <row r="12" ht="249.25" customHeight="1" s="51">
      <c r="A12" s="75" t="inlineStr">
        <is>
          <t>PRP-BASE-BRIEFING</t>
        </is>
      </c>
      <c r="B12" s="62" t="inlineStr">
        <is>
          <t>远征情报终端 / 战术情报指挥桌</t>
        </is>
      </c>
      <c r="C12" s="62" t="inlineStr">
        <is>
          <t>道具</t>
        </is>
      </c>
      <c r="D12" s="75" t="inlineStr">
        <is>
          <t>base_facility</t>
        </is>
      </c>
      <c r="E12" s="75" t="inlineStr">
        <is>
          <t>mission_operations</t>
        </is>
      </c>
      <c r="F12" s="75" t="inlineStr">
        <is>
          <t>root</t>
        </is>
      </c>
      <c r="G12" s="62" t="n"/>
      <c r="H12" s="75" t="inlineStr">
        <is>
          <t>Top3D / local -Z 正面</t>
        </is>
      </c>
      <c r="I12" s="75" t="inlineStr">
        <is>
          <t>default / 独立交互场景</t>
        </is>
      </c>
      <c r="J12" s="75" t="inlineStr">
        <is>
          <t>BaseWorld3D/TowerDescent99F</t>
        </is>
      </c>
      <c r="K12" s="62" t="inlineStr">
        <is>
          <t>已完成</t>
        </is>
      </c>
      <c r="L12" s="75" t="inlineStr">
        <is>
          <t>P1</t>
        </is>
      </c>
      <c r="M12" s="75" t="inlineStr">
        <is>
          <t>v003</t>
        </is>
      </c>
      <c r="N12" s="75" t="inlineStr">
        <is>
          <t>4材质；主体/自发光分离；独立GLB/PackedScene</t>
        </is>
      </c>
      <c r="O12" s="75" t="inlineStr">
        <is>
          <t>assets/art/props/base_world_3d/runtime/mission_operations/prp_base_mission_operations_root_top3d.tscn</t>
        </is>
      </c>
      <c r="P12" s="75" t="inlineStr">
        <is>
          <t>../ShellStorm2-backup/2026-10-11_slimming/original_tree/art_source/props/base_world_3d/source/mission_operations/prp_base_mission_operations_source_v003.blend; src/base3d/BaseFacility3D.gd; src/world3d/TowerDescent3D.gd</t>
        </is>
      </c>
      <c r="Q12" s="75" t="inlineStr">
        <is>
          <t>mission_operations; 战术情报指挥桌; 基地设施; 多巴胺配色; 自发光分离</t>
        </is>
      </c>
      <c r="R12" s="62">
        <f>LOWER(TRIM(C12)&amp;"|"&amp;TRIM(D12)&amp;"|"&amp;TRIM(E12)&amp;"|"&amp;TRIM(F12)&amp;"|"&amp;TRIM(H12)&amp;"|"&amp;TRIM(I12))</f>
        <v/>
      </c>
      <c r="S12" s="62">
        <f>IF(COUNTIF($R$6:$R$30,R12)&gt;1,"重复","唯一")</f>
        <v/>
      </c>
      <c r="T12" s="75" t="inlineStr">
        <is>
          <t>e796114d2ad04dddd182e255cc2aad7bbf531e2876a70d65be787e987c7b21b3</t>
        </is>
      </c>
      <c r="U12" s="75" t="inlineStr">
        <is>
          <t>Codex</t>
        </is>
      </c>
      <c r="V12" s="76" t="n">
        <v>46264</v>
      </c>
      <c r="W12" s="62" t="inlineStr">
        <is>
          <t>用户自制Blender资产</t>
        </is>
      </c>
      <c r="X12" s="77" t="inlineStr">
        <is>
          <t>—</t>
        </is>
      </c>
      <c r="Y12" s="62" t="inlineStr">
        <is>
          <t>正式模型替换程序占位；保留稳定facility_id和交互协议。
2026-08-30 AST-01规范化（原制作状态：正式美术已接入；原大类：3D道具）
2026-08-30 AST-02：合法内容更新；文件为Git已跟踪且修改时间不早于原台账日期；验收：verify_base_facility_framework；verify_base_facility_interaction_zones；SHA 6463ac9d2ebe→ab5196f29c8c。</t>
        </is>
      </c>
    </row>
    <row r="13" ht="249.25" customHeight="1" s="51">
      <c r="A13" s="75" t="inlineStr">
        <is>
          <t>PRP-BASE-WORKSHOP</t>
        </is>
      </c>
      <c r="B13" s="62" t="inlineStr">
        <is>
          <t>枪械工坊 / 赛博维修工作台</t>
        </is>
      </c>
      <c r="C13" s="62" t="inlineStr">
        <is>
          <t>道具</t>
        </is>
      </c>
      <c r="D13" s="75" t="inlineStr">
        <is>
          <t>base_facility</t>
        </is>
      </c>
      <c r="E13" s="75" t="inlineStr">
        <is>
          <t>weapon_workshop</t>
        </is>
      </c>
      <c r="F13" s="75" t="inlineStr">
        <is>
          <t>root</t>
        </is>
      </c>
      <c r="G13" s="62" t="n"/>
      <c r="H13" s="75" t="inlineStr">
        <is>
          <t>Top3D / local -Z 正面</t>
        </is>
      </c>
      <c r="I13" s="75" t="inlineStr">
        <is>
          <t>default / 独立交互场景</t>
        </is>
      </c>
      <c r="J13" s="75" t="inlineStr">
        <is>
          <t>BaseWorld3D/TowerDescent99F</t>
        </is>
      </c>
      <c r="K13" s="62" t="inlineStr">
        <is>
          <t>已完成</t>
        </is>
      </c>
      <c r="L13" s="75" t="inlineStr">
        <is>
          <t>P1</t>
        </is>
      </c>
      <c r="M13" s="75" t="inlineStr">
        <is>
          <t>v003</t>
        </is>
      </c>
      <c r="N13" s="75" t="inlineStr">
        <is>
          <t>4材质；主体/自发光分离；独立GLB/PackedScene</t>
        </is>
      </c>
      <c r="O13" s="75" t="inlineStr">
        <is>
          <t>assets/art/props/base_world_3d/runtime/weapon_workshop/prp_base_weapon_workshop_root_top3d.tscn</t>
        </is>
      </c>
      <c r="P13" s="75" t="inlineStr">
        <is>
          <t>../ShellStorm2-backup/2026-10-11_slimming/original_tree/art_source/props/base_world_3d/source/weapon_workshop/prp_base_weapon_workshop_source_v003.blend; src/base3d/BaseFacility3D.gd; src/world3d/TowerDescent3D.gd</t>
        </is>
      </c>
      <c r="Q13" s="75" t="inlineStr">
        <is>
          <t>weapon_workshop; 赛博维修工作台; 基地设施; 多巴胺配色; 自发光分离</t>
        </is>
      </c>
      <c r="R13" s="62">
        <f>LOWER(TRIM(C13)&amp;"|"&amp;TRIM(D13)&amp;"|"&amp;TRIM(E13)&amp;"|"&amp;TRIM(F13)&amp;"|"&amp;TRIM(H13)&amp;"|"&amp;TRIM(I13))</f>
        <v/>
      </c>
      <c r="S13" s="62">
        <f>IF(COUNTIF($R$6:$R$30,R13)&gt;1,"重复","唯一")</f>
        <v/>
      </c>
      <c r="T13" s="75" t="inlineStr">
        <is>
          <t>64d21d1a04609556593e9a4da3849890298c48337b0ab29c16c138c8120f62e5</t>
        </is>
      </c>
      <c r="U13" s="75" t="inlineStr">
        <is>
          <t>Codex</t>
        </is>
      </c>
      <c r="V13" s="76" t="n">
        <v>46264</v>
      </c>
      <c r="W13" s="62" t="inlineStr">
        <is>
          <t>用户自制Blender资产</t>
        </is>
      </c>
      <c r="X13" s="77" t="inlineStr">
        <is>
          <t>—</t>
        </is>
      </c>
      <c r="Y13" s="62" t="inlineStr">
        <is>
          <t>正式模型替换程序占位；保留稳定facility_id和交互协议。
2026-08-30 AST-01规范化（原制作状态：正式美术已接入；原大类：3D道具）
2026-08-30 AST-02：合法内容更新；文件为Git已跟踪且修改时间不早于原台账日期；验收：verify_base_facility_framework；verify_base_facility_interaction_zones；SHA 0bf7bd460082→207785d3d257。</t>
        </is>
      </c>
    </row>
    <row r="14" ht="149.25" customHeight="1" s="51">
      <c r="A14" s="78" t="inlineStr">
        <is>
          <t>ITM-EQUIPMENT-BACKPACK-3D</t>
        </is>
      </c>
      <c r="B14" s="54" t="inlineStr">
        <is>
          <t>可装备背包3D资产族</t>
        </is>
      </c>
      <c r="C14" s="54" t="inlineStr">
        <is>
          <t>道具</t>
        </is>
      </c>
      <c r="D14" s="78" t="inlineStr">
        <is>
          <t>equipment</t>
        </is>
      </c>
      <c r="E14" s="78" t="inlineStr">
        <is>
          <t>equipment_backpack</t>
        </is>
      </c>
      <c r="F14" s="78" t="inlineStr">
        <is>
          <t>root_3d</t>
        </is>
      </c>
      <c r="G14" s="78" t="n"/>
      <c r="H14" s="54" t="inlineStr">
        <is>
          <t>俯视3D</t>
        </is>
      </c>
      <c r="I14" s="78" t="inlineStr">
        <is>
          <t>asset_family / tier_0_static</t>
        </is>
      </c>
      <c r="J14" s="54" t="inlineStr">
        <is>
          <t>地面拾取/UI图标/角色背部共用</t>
        </is>
      </c>
      <c r="K14" s="54" t="inlineStr">
        <is>
          <t>design_only</t>
        </is>
      </c>
      <c r="L14" s="78" t="inlineStr">
        <is>
          <t>P0</t>
        </is>
      </c>
      <c r="M14" s="78" t="inlineStr">
        <is>
          <t>v001</t>
        </is>
      </c>
      <c r="N14" s="78" t="inlineStr">
        <is>
          <t>资产族索引；小/中/大三款各自独立源、GLB和PackedScene；非独立几何</t>
        </is>
      </c>
      <c r="O14" s="78" t="n"/>
      <c r="P14" s="78" t="inlineStr">
        <is>
          <t>src/world3d/ItemModelFactory3D.gd; src/base/ItemRegistry.gd; tests/verification/verify_backpack_equipment_flow.tscn</t>
        </is>
      </c>
      <c r="Q14" s="54" t="inlineStr">
        <is>
          <t>轻型腰包;战术背包;远征背包;backpack;2格;4格;8格</t>
        </is>
      </c>
      <c r="R14" s="78">
        <f>LOWER(TRIM(C14)&amp;"|"&amp;TRIM(D14)&amp;"|"&amp;TRIM(E14)&amp;"|"&amp;TRIM(F14)&amp;"|"&amp;TRIM(H14)&amp;"|"&amp;TRIM(I14))</f>
        <v/>
      </c>
      <c r="S14" s="54">
        <f>IF(COUNTIF($R$6:$R$30,R14)&gt;1,"重复","唯一")</f>
        <v/>
      </c>
      <c r="T14" s="78" t="n"/>
      <c r="U14" s="78" t="inlineStr">
        <is>
          <t>Codex</t>
        </is>
      </c>
      <c r="V14" s="102" t="n">
        <v>46303</v>
      </c>
      <c r="W14" s="54" t="inlineStr">
        <is>
          <t>原创程序几何</t>
        </is>
      </c>
      <c r="X14" s="77" t="inlineStr">
        <is>
          <t>—</t>
        </is>
      </c>
      <c r="Y14" s="54" t="inlineStr">
        <is>
          <t>保留原AssetID与equipment_backpack逻辑族；三款子资产通过G列归属；父项无生产路径和SHA，不再冒充程序几何。</t>
        </is>
      </c>
    </row>
    <row r="15" ht="620.85" customHeight="1" s="51">
      <c r="A15" s="79" t="inlineStr">
        <is>
          <t>PRP-BASE-VENDING-MACHINE-3D</t>
        </is>
      </c>
      <c r="B15" s="80" t="inlineStr">
        <is>
          <t>基地科幻自动贩卖机</t>
        </is>
      </c>
      <c r="C15" s="80" t="inlineStr">
        <is>
          <t>道具</t>
        </is>
      </c>
      <c r="D15" s="81" t="inlineStr">
        <is>
          <t>base_facility</t>
        </is>
      </c>
      <c r="E15" s="81" t="inlineStr">
        <is>
          <t>base_vending</t>
        </is>
      </c>
      <c r="F15" s="81" t="inlineStr">
        <is>
          <t>root</t>
        </is>
      </c>
      <c r="G15" s="81" t="inlineStr">
        <is>
          <t>PRP-BASE-FACILITY-3D</t>
        </is>
      </c>
      <c r="H15" s="81" t="inlineStr">
        <is>
          <t>Top3D / local -Z 正面</t>
        </is>
      </c>
      <c r="I15" s="81" t="inlineStr">
        <is>
          <t>default / 独立交互场景</t>
        </is>
      </c>
      <c r="J15" s="81" t="inlineStr">
        <is>
          <t>BaseWorld3D/TowerDescent99F</t>
        </is>
      </c>
      <c r="K15" s="80" t="inlineStr">
        <is>
          <t>已完成</t>
        </is>
      </c>
      <c r="L15" s="81" t="inlineStr">
        <is>
          <t>P0</t>
        </is>
      </c>
      <c r="M15" s="81" t="inlineStr">
        <is>
          <t>v002</t>
        </is>
      </c>
      <c r="N15" s="81" t="inlineStr">
        <is>
          <t>4材质；主体/自发光分离；独立GLB/PackedScene</t>
        </is>
      </c>
      <c r="O15" s="81" t="inlineStr">
        <is>
          <t>assets/art/props/base_world_3d/runtime/vending_machine/prp_base_vending_machine_root_top3d.tscn</t>
        </is>
      </c>
      <c r="P15" s="81" t="inlineStr">
        <is>
          <t>../ShellStorm2-backup/2026-10-11_slimming/original_tree/art_source/props/base_world_3d/source/vending_machine/prp_base_vending_machine_source_v001.blend; src/base3d/BaseFacility3D.gd; src/world3d/TowerDescent3D.gd</t>
        </is>
      </c>
      <c r="Q15" s="81" t="inlineStr">
        <is>
          <t>base_vending; 科幻自动贩卖机; 基地设施; 多巴胺配色; 自发光分离</t>
        </is>
      </c>
      <c r="R15" s="80">
        <f>LOWER(TRIM(C15)&amp;"|"&amp;TRIM(D15)&amp;"|"&amp;TRIM(E15)&amp;"|"&amp;TRIM(F15)&amp;"|"&amp;TRIM(H15)&amp;"|"&amp;TRIM(I15))</f>
        <v/>
      </c>
      <c r="S15" s="80">
        <f>IF(COUNTIF($R$6:$R$30,R15)&gt;1,"重复","唯一")</f>
        <v/>
      </c>
      <c r="T15" s="81" t="inlineStr">
        <is>
          <t>1d6e87ee00e7b89c4320fd21ac94831bbb6d6011940e4074311026e72edc3d20</t>
        </is>
      </c>
      <c r="U15" s="81" t="inlineStr">
        <is>
          <t>Codex</t>
        </is>
      </c>
      <c r="V15" s="82" t="n">
        <v>46264</v>
      </c>
      <c r="W15" s="80" t="inlineStr">
        <is>
          <t>用户自制Blender资产</t>
        </is>
      </c>
      <c r="X15" s="77" t="inlineStr">
        <is>
          <t>—</t>
        </is>
      </c>
      <c r="Y15" s="80" t="inlineStr">
        <is>
          <t>正式模型替换程序占位；保留稳定facility_id和交互协议。
2026-08-30 AST-01规范化（原制作状态：正式美术已接入；原大类：3D道具）
2026-08-30 AST-02：合法内容更新；文件为Git已跟踪且修改时间不早于原台账日期；验收：verify_base_facility_framework；verify_base_facility_interaction_zones；SHA 3f7cd7250b0d→0e8574cd7a9a。
2026-09-12：TowerDescent99F的base_vending已迁移到PRP-BASE99-EAST-SUPPLY-24H-STATION-FACILITY-3D；本行旧自动贩卖机继续用于BaseWorld3D。</t>
        </is>
      </c>
    </row>
    <row r="16" ht="684.3" customHeight="1" s="51">
      <c r="A16" s="79" t="inlineStr">
        <is>
          <t>PRP-BASE-LOCKER-STATION-3D</t>
        </is>
      </c>
      <c r="B16" s="80" t="inlineStr">
        <is>
          <t>赛博储物站</t>
        </is>
      </c>
      <c r="C16" s="80" t="inlineStr">
        <is>
          <t>道具</t>
        </is>
      </c>
      <c r="D16" s="81" t="inlineStr">
        <is>
          <t>base_facility</t>
        </is>
      </c>
      <c r="E16" s="81" t="inlineStr">
        <is>
          <t>vault</t>
        </is>
      </c>
      <c r="F16" s="81" t="inlineStr">
        <is>
          <t>root</t>
        </is>
      </c>
      <c r="G16" s="81" t="inlineStr">
        <is>
          <t>PRP-BASE-FACILITY-3D</t>
        </is>
      </c>
      <c r="H16" s="81" t="inlineStr">
        <is>
          <t>Top3D / local -Z 正面</t>
        </is>
      </c>
      <c r="I16" s="81" t="inlineStr">
        <is>
          <t>default / 正式交互设施</t>
        </is>
      </c>
      <c r="J16" s="80" t="inlineStr">
        <is>
          <t>基地99层/保险柜设施</t>
        </is>
      </c>
      <c r="K16" s="80" t="inlineStr">
        <is>
          <t>已完成</t>
        </is>
      </c>
      <c r="L16" s="81" t="inlineStr">
        <is>
          <t>P2</t>
        </is>
      </c>
      <c r="M16" s="81" t="inlineStr">
        <is>
          <t>v004</t>
        </is>
      </c>
      <c r="N16" s="81" t="inlineStr">
        <is>
          <t>4材质；主体/自发光分离；独立GLB/PackedScene</t>
        </is>
      </c>
      <c r="O16" s="81" t="inlineStr">
        <is>
          <t>assets/art/props/base_world_3d/runtime/locker_station/prp_base_locker_station_root_top3d.tscn</t>
        </is>
      </c>
      <c r="P16" s="81" t="inlineStr">
        <is>
          <t>art_source/props/base_world_3d/source/locker_station/prp_base_locker_station_source_v004.blend</t>
        </is>
      </c>
      <c r="Q16" s="81" t="inlineStr">
        <is>
          <t>vault; 保险柜; 赛博储物站; 仓储设施</t>
        </is>
      </c>
      <c r="R16" s="80">
        <f>LOWER(TRIM(C16)&amp;"|"&amp;TRIM(D16)&amp;"|"&amp;TRIM(E16)&amp;"|"&amp;TRIM(F16)&amp;"|"&amp;TRIM(H16)&amp;"|"&amp;TRIM(I16))</f>
        <v/>
      </c>
      <c r="S16" s="80">
        <f>IF(COUNTIF($R$6:$R$30,R16)&gt;1,"重复","唯一")</f>
        <v/>
      </c>
      <c r="T16" s="81" t="inlineStr">
        <is>
          <t>ab8d7b376a484ff1824ad12cc6e43b8d2af89fee96a71599e82c4214ddc9e639</t>
        </is>
      </c>
      <c r="U16" s="81" t="inlineStr">
        <is>
          <t>Codex</t>
        </is>
      </c>
      <c r="V16" s="82" t="n">
        <v>46264</v>
      </c>
      <c r="W16" s="80" t="inlineStr">
        <is>
          <t>用户自制Blender资产</t>
        </is>
      </c>
      <c r="X16" s="77" t="inlineStr">
        <is>
          <t>—</t>
        </is>
      </c>
      <c r="Y16" s="81" t="inlineStr">
        <is>
          <t>2026-08-11接入基地99层正式设施；BaseFacility3D绑定vault并打开VaultMenu；保留交互碰撞与Visual；模型正面为local -Z。
2026-08-30 AST-01规范化（原制作状态：正式美术已接入；原大类：3D道具）
2026-08-30 AST-02：合法内容更新；文件为Git已跟踪且修改时间不早于原台账日期；验收：verify_base_facility_framework；verify_base_facility_interaction_zones；SHA b4aa2b142d31→90b868783b9f。
2026-09-12：TowerDescent99F的vault已迁移到PRP-BASE99-NARROW-BATTERY-CABINET-FACILITY-3D；本行赛博储物站继续用于BaseWorld3D。</t>
        </is>
      </c>
    </row>
    <row r="17" ht="754.45" customHeight="1" s="51">
      <c r="A17" s="79" t="inlineStr">
        <is>
          <t>PRP-BASE-RETRO-TV-STATION-3D</t>
        </is>
      </c>
      <c r="B17" s="80" t="inlineStr">
        <is>
          <t>复古游戏电视站</t>
        </is>
      </c>
      <c r="C17" s="80" t="inlineStr">
        <is>
          <t>道具</t>
        </is>
      </c>
      <c r="D17" s="81" t="inlineStr">
        <is>
          <t>base_facility</t>
        </is>
      </c>
      <c r="E17" s="81" t="inlineStr">
        <is>
          <t>fate_collection</t>
        </is>
      </c>
      <c r="F17" s="81" t="inlineStr">
        <is>
          <t>root</t>
        </is>
      </c>
      <c r="G17" s="81" t="inlineStr">
        <is>
          <t>PRP-BASE-FACILITY-3D</t>
        </is>
      </c>
      <c r="H17" s="81" t="inlineStr">
        <is>
          <t>Top3D / local -Z 正面</t>
        </is>
      </c>
      <c r="I17" s="81" t="inlineStr">
        <is>
          <t>default / 正式交互设施</t>
        </is>
      </c>
      <c r="J17" s="80" t="inlineStr">
        <is>
          <t>基地99层/命运卡收藏室</t>
        </is>
      </c>
      <c r="K17" s="80" t="inlineStr">
        <is>
          <t>已完成</t>
        </is>
      </c>
      <c r="L17" s="81" t="inlineStr">
        <is>
          <t>P2</t>
        </is>
      </c>
      <c r="M17" s="81" t="inlineStr">
        <is>
          <t>v004</t>
        </is>
      </c>
      <c r="N17" s="81" t="inlineStr">
        <is>
          <t>4材质；主体/自发光分离；独立GLB/PackedScene</t>
        </is>
      </c>
      <c r="O17" s="81" t="inlineStr">
        <is>
          <t>assets/art/props/base_world_3d/runtime/retro_tv_station/prp_base_retro_tv_station_root_top3d.tscn</t>
        </is>
      </c>
      <c r="P17" s="81" t="inlineStr">
        <is>
          <t>art_source/props/base_world_3d/source/retro_tv_station/prp_base_retro_tv_station_source_v004.blend</t>
        </is>
      </c>
      <c r="Q17" s="81" t="inlineStr">
        <is>
          <t>fate_collection; 命运卡收藏室; 复古游戏电视站; 收藏设施</t>
        </is>
      </c>
      <c r="R17" s="80">
        <f>LOWER(TRIM(C17)&amp;"|"&amp;TRIM(D17)&amp;"|"&amp;TRIM(E17)&amp;"|"&amp;TRIM(F17)&amp;"|"&amp;TRIM(H17)&amp;"|"&amp;TRIM(I17))</f>
        <v/>
      </c>
      <c r="S17" s="80">
        <f>IF(COUNTIF($R$6:$R$30,R17)&gt;1,"重复","唯一")</f>
        <v/>
      </c>
      <c r="T17" s="81" t="inlineStr">
        <is>
          <t>10c47d81afa2a642754e2f633ee77bbcae8a96b92b2aa7e29da430bd8be97d73</t>
        </is>
      </c>
      <c r="U17" s="81" t="inlineStr">
        <is>
          <t>Codex</t>
        </is>
      </c>
      <c r="V17" s="82" t="n">
        <v>46264</v>
      </c>
      <c r="W17" s="80" t="inlineStr">
        <is>
          <t>用户自制Blender资产</t>
        </is>
      </c>
      <c r="X17" s="77" t="inlineStr">
        <is>
          <t>—</t>
        </is>
      </c>
      <c r="Y17" s="81" t="inlineStr">
        <is>
          <t>2026-08-11接入基地99层正式设施；BaseFacility3D绑定fate_collection并打开FateCardCollectionMenu；保留交互碰撞与Visual；模型正面为local -Z。
2026-08-30 AST-01规范化（原制作状态：正式美术已接入；原大类：3D道具）
2026-08-30 AST-02：合法内容更新；文件为Git已跟踪且修改时间不早于原台账日期；验收：verify_base_facility_framework；verify_base_facility_interaction_zones；SHA fed2c5ff578e→5664a0d62034。
2026-09-12：TowerDescent99F的fate_collection已迁移到PRP-BASE99-LOFT-COMPUTER-WORKSTATION-FACILITY-3D；本行复古电视站继续用于BaseWorld3D。</t>
        </is>
      </c>
    </row>
    <row r="18" ht="410.4" customHeight="1" s="51">
      <c r="A18" s="79" t="inlineStr">
        <is>
          <t>PRP-BASE-WORKSHOP-STOOL-3D</t>
        </is>
      </c>
      <c r="B18" s="80" t="inlineStr">
        <is>
          <t>赛博维修圆凳</t>
        </is>
      </c>
      <c r="C18" s="80" t="inlineStr">
        <is>
          <t>道具</t>
        </is>
      </c>
      <c r="D18" s="81" t="inlineStr">
        <is>
          <t>decor_prop</t>
        </is>
      </c>
      <c r="E18" s="81" t="inlineStr">
        <is>
          <t>workshop_stool</t>
        </is>
      </c>
      <c r="F18" s="81" t="inlineStr">
        <is>
          <t>root</t>
        </is>
      </c>
      <c r="G18" s="80" t="n"/>
      <c r="H18" s="81" t="inlineStr">
        <is>
          <t>Top3D / local -Z 正面</t>
        </is>
      </c>
      <c r="I18" s="81" t="inlineStr">
        <is>
          <t>default / pushable / seated / swivel / driveable</t>
        </is>
      </c>
      <c r="J18" s="80" t="inlineStr">
        <is>
          <t>基地99层美术布置层</t>
        </is>
      </c>
      <c r="K18" s="80" t="inlineStr">
        <is>
          <t>已完成</t>
        </is>
      </c>
      <c r="L18" s="81" t="inlineStr">
        <is>
          <t>P2</t>
        </is>
      </c>
      <c r="M18" s="81" t="inlineStr">
        <is>
          <t>v004</t>
        </is>
      </c>
      <c r="N18" s="80" t="inlineStr">
        <is>
          <t>分体座面旋转与轮脚底座滑行；乘坐限速=角色步速1.3倍；松手惯性衰减；离座防弹射；实体场景碰撞；45°倾倒自动离座，E扶正后可再次乘坐；角色专用碰撞体随刚体同步移动</t>
        </is>
      </c>
      <c r="O18" s="81" t="inlineStr">
        <is>
          <t>assets/art/props/base_world_3d/runtime/workshop_stool/prp_base_workshop_stool_root_top3d.tscn</t>
        </is>
      </c>
      <c r="P18" s="81" t="inlineStr">
        <is>
          <t>art_source/props/base_world_3d/source/workshop_stool/prp_base_workshop_stool_source_v004.blend; assets/art/props/base_world_3d/components/workshop_stool/prp_base_workshop_stool_base_visual_v004.glb; assets/art/props/base_world_3d/components/workshop_stool/prp_base_workshop_stool_swivel_visual_v004.glb</t>
        </is>
      </c>
      <c r="Q18" s="81" t="inlineStr">
        <is>
          <t>workshop_stool; 赛博维修圆凳; 独立座椅; 可移动装饰</t>
        </is>
      </c>
      <c r="R18" s="80">
        <f>LOWER(TRIM(C18)&amp;"|"&amp;TRIM(D18)&amp;"|"&amp;TRIM(E18)&amp;"|"&amp;TRIM(F18)&amp;"|"&amp;TRIM(H18)&amp;"|"&amp;TRIM(I18))</f>
        <v/>
      </c>
      <c r="S18" s="80">
        <f>IF(COUNTIF($R$6:$R$30,R18)&gt;1,"重复","唯一")</f>
        <v/>
      </c>
      <c r="T18" s="81" t="inlineStr">
        <is>
          <t>d55127e32bc890f4ecf4073f052dc8744e237cd4b62e77f672770ae114d4b6f2</t>
        </is>
      </c>
      <c r="U18" s="81" t="inlineStr">
        <is>
          <t>Codex</t>
        </is>
      </c>
      <c r="V18" s="82" t="n">
        <v>46294</v>
      </c>
      <c r="W18" s="80" t="inlineStr">
        <is>
          <t>用户自制Blender资产</t>
        </is>
      </c>
      <c r="X18" s="77" t="inlineStr">
        <is>
          <t>—</t>
        </is>
      </c>
      <c r="Y18" s="80" t="inlineStr">
        <is>
          <t>已从对应设施主体拆出；在场景装饰集合中独立摆放，不绑定facility_id。
2026-08-30 AST-01规范化（原制作状态：正式美术已接入；原大类：3D道具）
2026-08-30 AST-02：合法内容更新；文件为Git已跟踪且修改时间不早于原台账日期；验收：verify_base_facility_framework；verify_base_facility_interaction_zones；SHA a09164b2f643→24c43b83564e。
2026-09-29：99F 基地座椅接入 PushableSeat3D，角色碰撞可推动；E 上下座，方向输入通过刚体受力滑行；场景墙/地面碰撞保留，安全下座查询；verify_pushable_base_chairs 通过。
2026-09-29：维修圆凳 v004 从 v003 Blender 源分离旋转上部与滑行底座，GLB 双件；角色碰撞改走独立 PlayerBlocker 代理以消除离座刚体弹射。乘坐速度=玩家步速×1.3，松手后短距滑行并衰减；Godot 物理回归通过。
2026-09-29：v004 分体 GLB 导入设置补回设施共享色盘后处理；99F 实例验证底座和旋转上部均绑定色盘；离座碰撞与镜头回归通过。
2026-09-29：修复PlayerBlocker旧位置残留；双椅倾角超过45°自动让角色离座，再次E交互扶正；Godot物理回归验证。</t>
        </is>
      </c>
    </row>
    <row r="19" ht="410.4" customHeight="1" s="51">
      <c r="A19" s="79" t="inlineStr">
        <is>
          <t>PRP-BASE-MISSION-COMMAND-CHAIR-3D</t>
        </is>
      </c>
      <c r="B19" s="80" t="inlineStr">
        <is>
          <t>战术指挥椅</t>
        </is>
      </c>
      <c r="C19" s="80" t="inlineStr">
        <is>
          <t>道具</t>
        </is>
      </c>
      <c r="D19" s="81" t="inlineStr">
        <is>
          <t>decor_prop</t>
        </is>
      </c>
      <c r="E19" s="81" t="inlineStr">
        <is>
          <t>mission_command_chair</t>
        </is>
      </c>
      <c r="F19" s="81" t="inlineStr">
        <is>
          <t>root</t>
        </is>
      </c>
      <c r="G19" s="80" t="n"/>
      <c r="H19" s="81" t="inlineStr">
        <is>
          <t>Top3D / local -Z 正面</t>
        </is>
      </c>
      <c r="I19" s="81" t="inlineStr">
        <is>
          <t>default / pushable / seated / swivel / driveable</t>
        </is>
      </c>
      <c r="J19" s="80" t="inlineStr">
        <is>
          <t>基地99层美术布置层</t>
        </is>
      </c>
      <c r="K19" s="80" t="inlineStr">
        <is>
          <t>已完成</t>
        </is>
      </c>
      <c r="L19" s="81" t="inlineStr">
        <is>
          <t>P2</t>
        </is>
      </c>
      <c r="M19" s="81" t="inlineStr">
        <is>
          <t>v004</t>
        </is>
      </c>
      <c r="N19" s="80" t="inlineStr">
        <is>
          <t>分体座面旋转与轮脚底座滑行；乘坐限速=角色步速1.3倍；松手惯性衰减；离座防弹射；实体场景碰撞；45°倾倒自动离座，E扶正后可再次乘坐；角色专用碰撞体随刚体同步移动</t>
        </is>
      </c>
      <c r="O19" s="81" t="inlineStr">
        <is>
          <t>assets/art/props/base_world_3d/runtime/mission_command_chair/prp_base_mission_command_chair_root_top3d.tscn</t>
        </is>
      </c>
      <c r="P19" s="81" t="inlineStr">
        <is>
          <t>art_source/props/base_world_3d/source/mission_command_chair/prp_base_mission_command_chair_source_v004.blend; assets/art/props/base_world_3d/components/mission_command_chair/prp_base_mission_command_chair_base_visual_v004.glb; assets/art/props/base_world_3d/components/mission_command_chair/prp_base_mission_command_chair_swivel_visual_v004.glb</t>
        </is>
      </c>
      <c r="Q19" s="81" t="inlineStr">
        <is>
          <t>mission_command_chair; 战术指挥椅; 独立座椅; 可移动装饰</t>
        </is>
      </c>
      <c r="R19" s="80">
        <f>LOWER(TRIM(C19)&amp;"|"&amp;TRIM(D19)&amp;"|"&amp;TRIM(E19)&amp;"|"&amp;TRIM(F19)&amp;"|"&amp;TRIM(H19)&amp;"|"&amp;TRIM(I19))</f>
        <v/>
      </c>
      <c r="S19" s="80">
        <f>IF(COUNTIF($R$6:$R$30,R19)&gt;1,"重复","唯一")</f>
        <v/>
      </c>
      <c r="T19" s="81" t="inlineStr">
        <is>
          <t>5dfc2145158d6e06ab80d592d868e4d0e9b5020fbecd16413473cf5109d7aa67</t>
        </is>
      </c>
      <c r="U19" s="81" t="inlineStr">
        <is>
          <t>Codex</t>
        </is>
      </c>
      <c r="V19" s="82" t="n">
        <v>46294</v>
      </c>
      <c r="W19" s="80" t="inlineStr">
        <is>
          <t>用户自制Blender资产</t>
        </is>
      </c>
      <c r="X19" s="77" t="inlineStr">
        <is>
          <t>—</t>
        </is>
      </c>
      <c r="Y19" s="80" t="inlineStr">
        <is>
          <t>已从对应设施主体拆出；在场景装饰集合中独立摆放，不绑定facility_id。
2026-08-30 AST-01规范化（原制作状态：正式美术已接入；原大类：3D道具）
2026-08-30 AST-02：合法内容更新；文件为Git已跟踪且修改时间不早于原台账日期；验收：verify_base_facility_framework；verify_base_facility_interaction_zones；SHA f16271a4dc23→a8c70158f3af。
2026-09-29：99F 基地座椅接入 PushableSeat3D，角色碰撞可推动；E 上下座，方向输入通过刚体受力滑行；场景墙/地面碰撞保留，安全下座查询；verify_pushable_base_chairs 通过。
2026-09-29：战术指挥椅 v004 从 v003 Blender 源分离旋转上部与滑行底座，GLB 双件；角色碰撞改走独立 PlayerBlocker 代理以消除离座刚体弹射。乘坐速度=玩家步速×1.3，松手后短距滑行并衰减；Godot 物理回归通过。
2026-09-29：v004 分体 GLB 导入设置补回设施共享色盘后处理；99F 实例验证底座和旋转上部均绑定色盘；离座碰撞与镜头回归通过。
2026-09-29：修复PlayerBlocker旧位置残留；双椅倾角超过45°自动让角色离座，再次E交互扶正；Godot物理回归验证。</t>
        </is>
      </c>
    </row>
    <row r="20" ht="15" customHeight="1" s="51">
      <c r="A20" s="83" t="inlineStr">
        <is>
          <t>PRP-BASE99-EAST-SUPPLY-24H-STATION-FACILITY-3D</t>
        </is>
      </c>
      <c r="B20" s="83" t="inlineStr">
        <is>
          <t>99F SUPPLY24H自动补给机（自动贩卖机）</t>
        </is>
      </c>
      <c r="C20" s="50" t="inlineStr">
        <is>
          <t>道具</t>
        </is>
      </c>
      <c r="D20" s="83" t="inlineStr">
        <is>
          <t>base_facility</t>
        </is>
      </c>
      <c r="E20" s="83" t="inlineStr">
        <is>
          <t>base_vending</t>
        </is>
      </c>
      <c r="F20" s="83" t="inlineStr">
        <is>
          <t>root</t>
        </is>
      </c>
      <c r="G20" s="83" t="inlineStr">
        <is>
          <t>PRP-BASE-FACILITY-3D</t>
        </is>
      </c>
      <c r="H20" s="83" t="inlineStr">
        <is>
          <t>Top3D / 模型包围盒外扩0.8m</t>
        </is>
      </c>
      <c r="I20" s="83" t="inlineStr">
        <is>
          <t>default / 99F正式交互设施</t>
        </is>
      </c>
      <c r="J20" s="83" t="inlineStr">
        <is>
          <t>TowerDescent99F / base_vending</t>
        </is>
      </c>
      <c r="K20" s="50" t="inlineStr">
        <is>
          <t>正式美术已接入</t>
        </is>
      </c>
      <c r="L20" s="83" t="inlineStr">
        <is>
          <t>P1</t>
        </is>
      </c>
      <c r="M20" s="83" t="inlineStr">
        <is>
          <t>v001</t>
        </is>
      </c>
      <c r="N20" s="50" t="inlineStr">
        <is>
          <t>交互盒 4.720001×6.05×4.7m；模型包围盒+0.8m</t>
        </is>
      </c>
      <c r="O20" s="83" t="inlineStr">
        <is>
          <t>assets/art/environments/base_facility_3d/runtime/env_base99_remaining_facilities/east_supply_24h_station/east_supply_24h_station_facility_top3d.tscn</t>
        </is>
      </c>
      <c r="P20" s="83" t="inlineStr">
        <is>
          <t>assets/art/environments/base_facility_3d/runtime/env_base99_remaining_facilities_v021/east_supply_24h_station/east_supply_24h_station_root_top3d_v001.tscn; src/base3d/BaseFacility3D.gd; src/world3d/TowerDescent3D.gd</t>
        </is>
      </c>
      <c r="Q20" s="83" t="inlineStr">
        <is>
          <t>base_vending; 自动贩卖机; SUPPLY24H; BaseFacility3D; 0.8m</t>
        </is>
      </c>
      <c r="R20" s="50">
        <f>LOWER(TRIM(C20)&amp;"|"&amp;TRIM(D20)&amp;"|"&amp;TRIM(E20)&amp;"|"&amp;TRIM(F20)&amp;"|"&amp;TRIM(H20)&amp;"|"&amp;TRIM(I20))</f>
        <v/>
      </c>
      <c r="S20" s="50">
        <f>IF(COUNTIF($R$6:$R$30,R20)&gt;1,"重复","唯一")</f>
        <v/>
      </c>
      <c r="T20" s="83" t="inlineStr">
        <is>
          <t>f1b63a344c49d28c6a5a0a1a5e438c472aaccd36e984d4b44aab002d75c4e3ac</t>
        </is>
      </c>
      <c r="U20" s="83" t="inlineStr">
        <is>
          <t>Codex</t>
        </is>
      </c>
      <c r="V20" s="50" t="n">
        <v>46276</v>
      </c>
      <c r="W20" s="50" t="inlineStr">
        <is>
          <t>用户自制Blender资产</t>
        </is>
      </c>
      <c r="X20" s="83" t="inlineStr">
        <is>
          <t>72</t>
        </is>
      </c>
      <c r="Y20" s="83" t="inlineStr">
        <is>
          <t>2026-09-12台账补登：TowerDescent99F的base_vending已从旧自动贩卖机迁移到SUPPLY24H补给机；包装场景保持源包世界坐标与碰撞，打开BaseVendingMenu，交互区锁定为源包碰撞包围盒+0.8m。BaseWorld3D旧模型保留用于独立基地。</t>
        </is>
      </c>
    </row>
    <row r="21" ht="15" customHeight="1" s="51">
      <c r="A21" s="83" t="inlineStr">
        <is>
          <t>PRP-BASE99-NARROW-BATTERY-CABINET-FACILITY-3D</t>
        </is>
      </c>
      <c r="B21" s="83" t="inlineStr">
        <is>
          <t>99F 窄型电池柜（保险柜）</t>
        </is>
      </c>
      <c r="C21" s="50" t="inlineStr">
        <is>
          <t>道具</t>
        </is>
      </c>
      <c r="D21" s="83" t="inlineStr">
        <is>
          <t>base_facility</t>
        </is>
      </c>
      <c r="E21" s="83" t="inlineStr">
        <is>
          <t>vault</t>
        </is>
      </c>
      <c r="F21" s="83" t="inlineStr">
        <is>
          <t>root</t>
        </is>
      </c>
      <c r="G21" s="83" t="inlineStr">
        <is>
          <t>PRP-BASE-FACILITY-3D</t>
        </is>
      </c>
      <c r="H21" s="83" t="inlineStr">
        <is>
          <t>Top3D / 模型包围盒外扩0.8m</t>
        </is>
      </c>
      <c r="I21" s="83" t="inlineStr">
        <is>
          <t>default / 99F正式交互设施</t>
        </is>
      </c>
      <c r="J21" s="83" t="inlineStr">
        <is>
          <t>TowerDescent99F / vault</t>
        </is>
      </c>
      <c r="K21" s="50" t="inlineStr">
        <is>
          <t>正式美术已接入</t>
        </is>
      </c>
      <c r="L21" s="83" t="inlineStr">
        <is>
          <t>P1</t>
        </is>
      </c>
      <c r="M21" s="83" t="inlineStr">
        <is>
          <t>v001</t>
        </is>
      </c>
      <c r="N21" s="50" t="inlineStr">
        <is>
          <t>交互盒 3.18×4.82×2.39m；模型包围盒+0.8m</t>
        </is>
      </c>
      <c r="O21" s="83" t="inlineStr">
        <is>
          <t>assets/art/environments/base_facility_3d/runtime/env_base99_remaining_facilities/narrow_battery_cabinet/narrow_battery_cabinet_facility_top3d.tscn</t>
        </is>
      </c>
      <c r="P21" s="83" t="inlineStr">
        <is>
          <t>assets/art/environments/base_facility_3d/runtime/env_base99_remaining_facilities_v021/narrow_battery_cabinet/narrow_battery_cabinet_root_top3d_v001.tscn; src/base3d/BaseFacility3D.gd; src/world3d/TowerDescent3D.gd</t>
        </is>
      </c>
      <c r="Q21" s="83" t="inlineStr">
        <is>
          <t>vault; 保险柜; 窄型电池柜; BaseFacility3D; 0.8m</t>
        </is>
      </c>
      <c r="R21" s="50">
        <f>LOWER(TRIM(C21)&amp;"|"&amp;TRIM(D21)&amp;"|"&amp;TRIM(E21)&amp;"|"&amp;TRIM(F21)&amp;"|"&amp;TRIM(H21)&amp;"|"&amp;TRIM(I21))</f>
        <v/>
      </c>
      <c r="S21" s="50">
        <f>IF(COUNTIF($R$6:$R$30,R21)&gt;1,"重复","唯一")</f>
        <v/>
      </c>
      <c r="T21" s="83" t="inlineStr">
        <is>
          <t>77cce4279a46a2ca32984cec8f9a232d3d50ff00198a5aaa9484e82fc9933e5d</t>
        </is>
      </c>
      <c r="U21" s="83" t="inlineStr">
        <is>
          <t>Codex</t>
        </is>
      </c>
      <c r="V21" s="50" t="n">
        <v>46276</v>
      </c>
      <c r="W21" s="50" t="inlineStr">
        <is>
          <t>用户自制Blender资产</t>
        </is>
      </c>
      <c r="X21" s="83" t="inlineStr">
        <is>
          <t>47</t>
        </is>
      </c>
      <c r="Y21" s="83" t="inlineStr">
        <is>
          <t>2026-09-12：TowerDescent99F的vault迁移到47_窄型电池柜_资产包；包装场景保持源包世界坐标与碰撞，打开VaultMenu，交互区锁定为源包碰撞包围盒+0.8m。BaseWorld3D的赛博储物站映射保留。</t>
        </is>
      </c>
    </row>
    <row r="22" ht="15" customHeight="1" s="51">
      <c r="A22" s="83" t="inlineStr">
        <is>
          <t>PRP-BASE99-WEAPON-WORKSHOP-STATION-FACILITY-3D</t>
        </is>
      </c>
      <c r="B22" s="83" t="inlineStr">
        <is>
          <t>99F 武器工作台（怪物档案室）</t>
        </is>
      </c>
      <c r="C22" s="50" t="inlineStr">
        <is>
          <t>道具</t>
        </is>
      </c>
      <c r="D22" s="83" t="inlineStr">
        <is>
          <t>base_facility</t>
        </is>
      </c>
      <c r="E22" s="83" t="inlineStr">
        <is>
          <t>monster_archive</t>
        </is>
      </c>
      <c r="F22" s="83" t="inlineStr">
        <is>
          <t>root</t>
        </is>
      </c>
      <c r="G22" s="83" t="inlineStr">
        <is>
          <t>PRP-BASE-FACILITY-3D</t>
        </is>
      </c>
      <c r="H22" s="83" t="inlineStr">
        <is>
          <t>Top3D / 模型包围盒外扩0.8m</t>
        </is>
      </c>
      <c r="I22" s="83" t="inlineStr">
        <is>
          <t>default / 99F正式交互设施</t>
        </is>
      </c>
      <c r="J22" s="83" t="inlineStr">
        <is>
          <t>TowerDescent99F / monster_archive</t>
        </is>
      </c>
      <c r="K22" s="50" t="inlineStr">
        <is>
          <t>正式美术已接入</t>
        </is>
      </c>
      <c r="L22" s="83" t="inlineStr">
        <is>
          <t>P1</t>
        </is>
      </c>
      <c r="M22" s="83" t="inlineStr">
        <is>
          <t>v001</t>
        </is>
      </c>
      <c r="N22" s="50" t="inlineStr">
        <is>
          <t>交互盒 3.523101×5.31×7.35m；模型包围盒+0.8m</t>
        </is>
      </c>
      <c r="O22" s="83" t="inlineStr">
        <is>
          <t>assets/art/environments/base_facility_3d/runtime/env_base99_remaining_facilities/weapon_workshop_station/weapon_workshop_station_facility_top3d.tscn</t>
        </is>
      </c>
      <c r="P22" s="83" t="inlineStr">
        <is>
          <t>assets/art/environments/base_facility_3d/runtime/env_base99_remaining_facilities_v021/weapon_workshop_station/weapon_workshop_station_root_top3d_v003.tscn; src/base3d/BaseFacility3D.gd; src/world3d/TowerDescent3D.gd</t>
        </is>
      </c>
      <c r="Q22" s="83" t="inlineStr">
        <is>
          <t>monster_archive; 怪物档案室; 49_02_游戏输出; BaseFacility3D; 0.8m</t>
        </is>
      </c>
      <c r="R22" s="50">
        <f>LOWER(TRIM(C22)&amp;"|"&amp;TRIM(D22)&amp;"|"&amp;TRIM(E22)&amp;"|"&amp;TRIM(F22)&amp;"|"&amp;TRIM(H22)&amp;"|"&amp;TRIM(I22))</f>
        <v/>
      </c>
      <c r="S22" s="50">
        <f>IF(COUNTIF($R$6:$R$30,R22)&gt;1,"重复","唯一")</f>
        <v/>
      </c>
      <c r="T22" s="83" t="inlineStr">
        <is>
          <t>54d8b92ae5e448613fd9f9971cd56a1fe26deb76fdfae70a9e2adcdfbefc2f02</t>
        </is>
      </c>
      <c r="U22" s="83" t="inlineStr">
        <is>
          <t>Codex</t>
        </is>
      </c>
      <c r="V22" s="50" t="n">
        <v>46276</v>
      </c>
      <c r="W22" s="50" t="inlineStr">
        <is>
          <t>用户自制Blender资产</t>
        </is>
      </c>
      <c r="X22" s="83" t="inlineStr">
        <is>
          <t>49</t>
        </is>
      </c>
      <c r="Y22" s="83" t="inlineStr">
        <is>
          <t>2026-09-12：TowerDescent99F新增monster_archive实体入口，绑定49_02_游戏输出_整合模型_v020；包装场景保持源包世界坐标与碰撞，打开MonsterArchiveMenu，交互区锁定为源包碰撞包围盒+0.8m。</t>
        </is>
      </c>
    </row>
    <row r="23" ht="15" customHeight="1" s="51">
      <c r="A23" s="83" t="inlineStr">
        <is>
          <t>PRP-BASE99-LOFT-COMPUTER-WORKSTATION-FACILITY-3D</t>
        </is>
      </c>
      <c r="B23" s="83" t="inlineStr">
        <is>
          <t>99F 双屏电脑工位（命运卡收藏室）</t>
        </is>
      </c>
      <c r="C23" s="50" t="inlineStr">
        <is>
          <t>道具</t>
        </is>
      </c>
      <c r="D23" s="83" t="inlineStr">
        <is>
          <t>base_facility</t>
        </is>
      </c>
      <c r="E23" s="83" t="inlineStr">
        <is>
          <t>fate_collection</t>
        </is>
      </c>
      <c r="F23" s="83" t="inlineStr">
        <is>
          <t>root</t>
        </is>
      </c>
      <c r="G23" s="83" t="inlineStr">
        <is>
          <t>PRP-BASE-FACILITY-3D</t>
        </is>
      </c>
      <c r="H23" s="83" t="inlineStr">
        <is>
          <t>Top3D / 模型包围盒外扩0.8m</t>
        </is>
      </c>
      <c r="I23" s="83" t="inlineStr">
        <is>
          <t>default / 99F正式交互设施</t>
        </is>
      </c>
      <c r="J23" s="83" t="inlineStr">
        <is>
          <t>TowerDescent99F / fate_collection</t>
        </is>
      </c>
      <c r="K23" s="50" t="inlineStr">
        <is>
          <t>正式美术已接入</t>
        </is>
      </c>
      <c r="L23" s="83" t="inlineStr">
        <is>
          <t>P1</t>
        </is>
      </c>
      <c r="M23" s="83" t="inlineStr">
        <is>
          <t>v001</t>
        </is>
      </c>
      <c r="N23" s="50" t="inlineStr">
        <is>
          <t>交互盒 9.134999×4.64×3.005m；模型包围盒+0.8m</t>
        </is>
      </c>
      <c r="O23" s="83" t="inlineStr">
        <is>
          <t>assets/art/environments/base_facility_3d/runtime/env_base99_remaining_facilities/loft_computer_workstation/loft_computer_workstation_facility_top3d.tscn</t>
        </is>
      </c>
      <c r="P23" s="83" t="inlineStr">
        <is>
          <t>assets/art/environments/base_facility_3d/runtime/env_base99_remaining_facilities_v021/loft_computer_workstation/loft_computer_workstation_root_top3d_v002.tscn; src/base3d/BaseFacility3D.gd; src/world3d/TowerDescent3D.gd</t>
        </is>
      </c>
      <c r="Q23" s="83" t="inlineStr">
        <is>
          <t>fate_collection; 命运卡收藏室; 42__02_游戏输出; BaseFacility3D; 0.8m</t>
        </is>
      </c>
      <c r="R23" s="50">
        <f>LOWER(TRIM(C23)&amp;"|"&amp;TRIM(D23)&amp;"|"&amp;TRIM(E23)&amp;"|"&amp;TRIM(F23)&amp;"|"&amp;TRIM(H23)&amp;"|"&amp;TRIM(I23))</f>
        <v/>
      </c>
      <c r="S23" s="50">
        <f>IF(COUNTIF($R$6:$R$30,R23)&gt;1,"重复","唯一")</f>
        <v/>
      </c>
      <c r="T23" s="83" t="inlineStr">
        <is>
          <t>3ae4028754d49b8790f7852121f7f12fcbafaa84e3eee4a9a35994cf6ace2d07</t>
        </is>
      </c>
      <c r="U23" s="83" t="inlineStr">
        <is>
          <t>Codex</t>
        </is>
      </c>
      <c r="V23" s="50" t="n">
        <v>46276</v>
      </c>
      <c r="W23" s="50" t="inlineStr">
        <is>
          <t>用户自制Blender资产</t>
        </is>
      </c>
      <c r="X23" s="83" t="inlineStr">
        <is>
          <t>42</t>
        </is>
      </c>
      <c r="Y23" s="83" t="inlineStr">
        <is>
          <t>2026-09-12：TowerDescent99F的fate_collection迁移到42__02_游戏输出_整合模型；包装场景保持源包世界坐标与碰撞，打开FateCardCollectionMenu，交互区锁定为源包碰撞包围盒+0.8m。BaseWorld3D的复古电视站映射保留。</t>
        </is>
      </c>
    </row>
    <row r="24" ht="15" customHeight="1" s="51">
      <c r="A24" s="83" t="inlineStr">
        <is>
          <t>PRP-BASE99-MEDICAL-CABINET-FACILITY-3D</t>
        </is>
      </c>
      <c r="B24" s="83" t="inlineStr">
        <is>
          <t>99F MEDICAL医疗柜（状态恢复舱）</t>
        </is>
      </c>
      <c r="C24" s="50" t="inlineStr">
        <is>
          <t>道具</t>
        </is>
      </c>
      <c r="D24" s="83" t="inlineStr">
        <is>
          <t>base_facility</t>
        </is>
      </c>
      <c r="E24" s="83" t="inlineStr">
        <is>
          <t>base_recovery</t>
        </is>
      </c>
      <c r="F24" s="83" t="inlineStr">
        <is>
          <t>root</t>
        </is>
      </c>
      <c r="G24" s="83" t="inlineStr">
        <is>
          <t>PRP-BASE-FACILITY-3D</t>
        </is>
      </c>
      <c r="H24" s="83" t="inlineStr">
        <is>
          <t>Top3D / 模型包围盒外扩0.8m</t>
        </is>
      </c>
      <c r="I24" s="83" t="inlineStr">
        <is>
          <t>default / 99F正式交互设施</t>
        </is>
      </c>
      <c r="J24" s="83" t="inlineStr">
        <is>
          <t>TowerDescent99F / base_recovery</t>
        </is>
      </c>
      <c r="K24" s="50" t="inlineStr">
        <is>
          <t>正式美术已接入</t>
        </is>
      </c>
      <c r="L24" s="83" t="inlineStr">
        <is>
          <t>P1</t>
        </is>
      </c>
      <c r="M24" s="83" t="inlineStr">
        <is>
          <t>v001</t>
        </is>
      </c>
      <c r="N24" s="50" t="inlineStr">
        <is>
          <t>交互盒 3.18×4.93×2.39m；模型包围盒+0.8m</t>
        </is>
      </c>
      <c r="O24" s="83" t="inlineStr">
        <is>
          <t>assets/art/environments/base_facility_3d/runtime/env_base99_remaining_facilities/medical_cabinet/medical_cabinet_facility_top3d.tscn</t>
        </is>
      </c>
      <c r="P24" s="83" t="inlineStr">
        <is>
          <t>assets/art/environments/base_facility_3d/runtime/env_base99_remaining_facilities_v021/medical_cabinet/medical_cabinet_root_top3d_v001.tscn; src/base3d/BaseFacility3D.gd; src/world3d/TowerDescent3D.gd</t>
        </is>
      </c>
      <c r="Q24" s="83" t="inlineStr">
        <is>
          <t>base_recovery; 状态恢复舱; MEDICAL医疗柜; BaseFacility3D; 0.8m</t>
        </is>
      </c>
      <c r="R24" s="50">
        <f>LOWER(TRIM(C24)&amp;"|"&amp;TRIM(D24)&amp;"|"&amp;TRIM(E24)&amp;"|"&amp;TRIM(F24)&amp;"|"&amp;TRIM(H24)&amp;"|"&amp;TRIM(I24))</f>
        <v/>
      </c>
      <c r="S24" s="50">
        <f>IF(COUNTIF($R$6:$R$30,R24)&gt;1,"重复","唯一")</f>
        <v/>
      </c>
      <c r="T24" s="83" t="inlineStr">
        <is>
          <t>e30407ccfc3b4e5d48a1236d388ca91ba1862458b43c206a84d3c861e8e6b6c8</t>
        </is>
      </c>
      <c r="U24" s="83" t="inlineStr">
        <is>
          <t>Codex</t>
        </is>
      </c>
      <c r="V24" s="50" t="n">
        <v>46276</v>
      </c>
      <c r="W24" s="50" t="inlineStr">
        <is>
          <t>用户自制Blender资产</t>
        </is>
      </c>
      <c r="X24" s="83" t="inlineStr">
        <is>
          <t>45</t>
        </is>
      </c>
      <c r="Y24" s="83" t="inlineStr">
        <is>
          <t>2026-09-12：TowerDescent99F的base_recovery迁移到45_MEDICAL医疗柜_资产包；包装场景保持源包世界坐标与碰撞，打开BaseRecoveryMenu，交互区锁定为源包碰撞包围盒+0.8m。</t>
        </is>
      </c>
    </row>
    <row r="25" ht="15" customHeight="1" s="51">
      <c r="A25" s="83" t="inlineStr">
        <is>
          <t>PRP-BASE99-LOFT-LOUNGE-SOFA-FACILITY-3D</t>
        </is>
      </c>
      <c r="B25" s="83" t="inlineStr">
        <is>
          <t>99F 墨绿三人沙发（角色衣柜）</t>
        </is>
      </c>
      <c r="C25" s="50" t="inlineStr">
        <is>
          <t>道具</t>
        </is>
      </c>
      <c r="D25" s="83" t="inlineStr">
        <is>
          <t>base_facility</t>
        </is>
      </c>
      <c r="E25" s="83" t="inlineStr">
        <is>
          <t>avatar_wardrobe</t>
        </is>
      </c>
      <c r="F25" s="83" t="inlineStr">
        <is>
          <t>root</t>
        </is>
      </c>
      <c r="G25" s="83" t="inlineStr">
        <is>
          <t>PRP-BASE-FACILITY-3D</t>
        </is>
      </c>
      <c r="H25" s="83" t="inlineStr">
        <is>
          <t>Top3D / 模型包围盒外扩0.8m</t>
        </is>
      </c>
      <c r="I25" s="83" t="inlineStr">
        <is>
          <t>default / 99F正式交互设施</t>
        </is>
      </c>
      <c r="J25" s="83" t="inlineStr">
        <is>
          <t>TowerDescent99F / avatar_wardrobe</t>
        </is>
      </c>
      <c r="K25" s="50" t="inlineStr">
        <is>
          <t>正式美术已接入</t>
        </is>
      </c>
      <c r="L25" s="83" t="inlineStr">
        <is>
          <t>P1</t>
        </is>
      </c>
      <c r="M25" s="83" t="inlineStr">
        <is>
          <t>v001</t>
        </is>
      </c>
      <c r="N25" s="50" t="inlineStr">
        <is>
          <t>交互盒 6.42×3.431646×3.481379m；模型包围盒+0.8m</t>
        </is>
      </c>
      <c r="O25" s="83" t="inlineStr">
        <is>
          <t>assets/art/environments/base_facility_3d/runtime/env_base99_remaining_facilities/loft_lounge_sofa/loft_lounge_sofa_facility_top3d.tscn</t>
        </is>
      </c>
      <c r="P25" s="83" t="inlineStr">
        <is>
          <t>assets/art/environments/base_facility_3d/runtime/env_base99_remaining_facilities_v021/loft_lounge_sofa/loft_lounge_sofa_root_top3d_v002.tscn; src/base3d/BaseFacility3D.gd; src/world3d/TowerDescent3D.gd</t>
        </is>
      </c>
      <c r="Q25" s="83" t="inlineStr">
        <is>
          <t>avatar_wardrobe; 角色衣柜; 墨绿三人休闲沙发; BaseFacility3D; 0.8m</t>
        </is>
      </c>
      <c r="R25" s="50">
        <f>LOWER(TRIM(C25)&amp;"|"&amp;TRIM(D25)&amp;"|"&amp;TRIM(E25)&amp;"|"&amp;TRIM(F25)&amp;"|"&amp;TRIM(H25)&amp;"|"&amp;TRIM(I25))</f>
        <v/>
      </c>
      <c r="S25" s="50">
        <f>IF(COUNTIF($R$6:$R$30,R25)&gt;1,"重复","唯一")</f>
        <v/>
      </c>
      <c r="T25" s="83" t="inlineStr">
        <is>
          <t>6ccb6a810717b40f8f1de56e3de87fdcebebc66ae4c187d4ff30e909eed5afd7</t>
        </is>
      </c>
      <c r="U25" s="83" t="inlineStr">
        <is>
          <t>Codex</t>
        </is>
      </c>
      <c r="V25" s="50" t="n">
        <v>46276</v>
      </c>
      <c r="W25" s="50" t="inlineStr">
        <is>
          <t>用户自制Blender资产</t>
        </is>
      </c>
      <c r="X25" s="83" t="inlineStr">
        <is>
          <t>36</t>
        </is>
      </c>
      <c r="Y25" s="83" t="inlineStr">
        <is>
          <t>2026-09-12：TowerDescent99F的avatar_wardrobe迁移到36_墨绿三人休闲沙发_资产包；包装场景保持源包世界坐标与碰撞，打开WardrobeMenu3D，交互区锁定为源包碰撞包围盒+0.8m。</t>
        </is>
      </c>
    </row>
    <row r="26" ht="410.4" customHeight="1" s="51">
      <c r="A26" s="79" t="inlineStr">
        <is>
          <t>PRP-BASE99-TELESCOPIC-LADDER-3D</t>
        </is>
      </c>
      <c r="B26" s="80" t="inlineStr">
        <is>
          <t>99F东阁楼双段伸缩直梯</t>
        </is>
      </c>
      <c r="C26" s="80" t="inlineStr">
        <is>
          <t>道具</t>
        </is>
      </c>
      <c r="D26" s="81" t="inlineStr">
        <is>
          <t>decor_prop</t>
        </is>
      </c>
      <c r="E26" s="81" t="inlineStr">
        <is>
          <t>base99_rooftop_telescopic_ladder</t>
        </is>
      </c>
      <c r="F26" s="81" t="inlineStr">
        <is>
          <t>root</t>
        </is>
      </c>
      <c r="G26" s="80" t="n"/>
      <c r="H26" s="81" t="inlineStr">
        <is>
          <t>Top3D / 固定位置</t>
        </is>
      </c>
      <c r="I26" s="81" t="inlineStr">
        <is>
          <t>retracted / deploying / deployed / climbing</t>
        </is>
      </c>
      <c r="J26" s="80" t="inlineStr">
        <is>
          <t>TowerDescent99F / base100_rooftop</t>
        </is>
      </c>
      <c r="K26" s="80" t="inlineStr">
        <is>
          <t>正式美术已接入</t>
        </is>
      </c>
      <c r="L26" s="81" t="inlineStr">
        <is>
          <t>P1</t>
        </is>
      </c>
      <c r="M26" s="81" t="inlineStr">
        <is>
          <t>v002</t>
        </is>
      </c>
      <c r="N26" s="80" t="inlineStr">
        <is>
          <t>双段6m直梯；上端E放下；展开后两端E自动攀爬、反向输入折返；顶部穿东门至100F平台、底部落99F阁楼；场景实体碰撞；展开状态存档</t>
        </is>
      </c>
      <c r="O26" s="81" t="inlineStr">
        <is>
          <t>assets/art/props/base_world_3d/runtime/base99_telescopic_ladder/prp_base99_telescopic_ladder_root_top3d.tscn</t>
        </is>
      </c>
      <c r="P26" s="81" t="inlineStr">
        <is>
          <t>art_source/props/base_world_3d/source/base99_telescopic_ladder/prp_base99_telescopic_ladder_source_v002.blend; assets/art/props/base_world_3d/components/base99_telescopic_ladder/prp_base99_telescopic_ladder_upper_visual_top3d.glb; assets/art/props/base_world_3d/components/base99_telescopic_ladder/prp_base99_telescopic_ladder_lower_visual_top3d.glb; src/base3d/Base99TelescopicLadder3D.gd; src/player3d/states/Player3DClimbingState.gd</t>
        </is>
      </c>
      <c r="Q26" s="81" t="inlineStr">
        <is>
          <t>99F;100F;伸缩直梯;可使用道具;攀爬;双段梯</t>
        </is>
      </c>
      <c r="R26" s="80">
        <f>LOWER(TRIM(C26)&amp;"|"&amp;TRIM(D26)&amp;"|"&amp;TRIM(E26)&amp;"|"&amp;TRIM(F26)&amp;"|"&amp;TRIM(H26)&amp;"|"&amp;TRIM(I26))</f>
        <v/>
      </c>
      <c r="S26" s="80">
        <f>IF(COUNTIF($R$6:$R$30,R26)&gt;1,"重复","唯一")</f>
        <v/>
      </c>
      <c r="T26" s="81" t="inlineStr">
        <is>
          <t>26a53eee81db5dd6f5ce6a0dc7fe80b8de20044d64a7948b643adf503af98e83</t>
        </is>
      </c>
      <c r="U26" s="81" t="inlineStr">
        <is>
          <t>Codex</t>
        </is>
      </c>
      <c r="V26" s="82" t="n">
        <v>46294</v>
      </c>
      <c r="W26" s="80" t="inlineStr">
        <is>
          <t>用户指定Blender资产</t>
        </is>
      </c>
      <c r="X26" s="77" t="inlineStr">
        <is>
          <t>99F-100F-EAST-LADDER</t>
        </is>
      </c>
      <c r="Y26" s="80" t="inlineStr">
        <is>
          <t>2026-09-29：梯子贴合99F东墙并朝向阁楼；上端跨东门落100F平台。Blender v002 直接复用基地母版的四种既有材质，不新增或调整材质参数。展开一次后永久保持并写入基地存档。</t>
        </is>
      </c>
    </row>
    <row r="27" ht="410.4" customHeight="1" s="51">
      <c r="A27" s="79" t="inlineStr">
        <is>
          <t>PRP-BASE99-RADIO-3D</t>
        </is>
      </c>
      <c r="B27" s="80" t="inlineStr">
        <is>
          <t>99F阁楼收音机</t>
        </is>
      </c>
      <c r="C27" s="80" t="inlineStr">
        <is>
          <t>道具</t>
        </is>
      </c>
      <c r="D27" s="81" t="inlineStr">
        <is>
          <t>decor_prop</t>
        </is>
      </c>
      <c r="E27" s="81" t="inlineStr">
        <is>
          <t>base99_radio</t>
        </is>
      </c>
      <c r="F27" s="81" t="inlineStr">
        <is>
          <t>root</t>
        </is>
      </c>
      <c r="G27" s="80" t="n"/>
      <c r="H27" s="81" t="inlineStr">
        <is>
          <t>Top3D / local -Z 正面</t>
        </is>
      </c>
      <c r="I27" s="81" t="inlineStr">
        <is>
          <t>off / music_a / music_b</t>
        </is>
      </c>
      <c r="J27" s="80" t="inlineStr">
        <is>
          <t>基地99层美术布置层 / env_base_facility_art_layout_top3d</t>
        </is>
      </c>
      <c r="K27" s="80" t="inlineStr">
        <is>
          <t>正式美术已接入</t>
        </is>
      </c>
      <c r="L27" s="81" t="inlineStr">
        <is>
          <t>P1</t>
        </is>
      </c>
      <c r="M27" s="81" t="inlineStr">
        <is>
          <t>v005.1</t>
        </is>
      </c>
      <c r="N27" s="80" t="inlineStr">
        <is>
          <t>宽0.828m × 深0.456m × 高0.822m；599面/1190三角形&lt;800面；机身铜橙金属、天线与提手等范围外几何签名保持；单根三节斜金属天线29.35度；四材质公共色盘外链/PaletteUV/Closest；StatusLight为顶面偏前侧12边低模凸帽，直径0.2m，替换旧灯且不重复，避开提手/天线；off红常亮、A/B同绿常亮、离开99F红待机；发光能量1.5；ItemRoot/Visual/ItemRoot/StatusLight实际导入路径稳定；左键/E关→A→B→关及Music逻辑不变；root scale=1，bounds不变；可见性门禁=True；原生1280x720像素证据=outputs/base99_radio_v005/pixel_metrics_runtime.json。 runtime v005.1：模型/Blender/GLB保持v005；新增独立VFX音符附件，预算另计。独立radio child纯视觉持续附件；5预制QuadMesh槽位/10三角形；Godot生成四分/八分/双八分音符纹理，无字体依赖；billboard当前相机；淡青绿/暖金unshaded无emission；2.5发/s、寿命1.8s、上飘1.1m、横摆0.09m、尺度0.88~1.06、淡入0.16s、末0.45s淡出；本地挂点Y1.42m；无碰撞/灯光/音频；真实playing驱动，A/B连续，off/离99/exit同步清空；不进任何战斗池。 空间声音契约v001：唯一AudioStreamPlayer3D；Music总线；unit_size=18.0m；max_distance=78.0m；attenuation_model=inverse_square；99F正式边界Rect2(-50,-35,100,80)内source volume=0dB；边界外起始-18dB并按4dB/m继续衰减，最低-42dB；不复制播放；收音机离开99F停播/返回后手动开启，模型摆位、音符表现与音乐控制不变。</t>
        </is>
      </c>
      <c r="O27" s="81" t="inlineStr">
        <is>
          <t>assets/art/props/base_world_3d/runtime/base99_radio/prp_base99_radio_root_top3d.tscn</t>
        </is>
      </c>
      <c r="P27" s="81" t="inlineStr">
        <is>
          <t>art_source/props/base_world_3d/source/base99_radio/prp_base99_radio_source_v005.blend; art_source/props/base_world_3d/source/base99_radio/export/v005/prp_base99_radio_optimized_v005.blend; assets/art/props/base_world_3d/components/base99_radio/prp_base99_radio_visual_top3d.glb; src/base3d/Base99Radio3D.gd; outputs/base99_radio_v005/asset_manifest.json; outputs/base99_radio_v005/final_acceptance.json; assets/art/vfx/environment_3d/radio_music_notes/vfx_radio_music_notes_root_top3d.tscn; src/vfx/VfxRadioMusicNotes3D.gd; tests/verification/verify_base99_radio_music_notes.tscn</t>
        </is>
      </c>
      <c r="Q27" s="81" t="inlineStr">
        <is>
          <t>base99_radio; 99F阁楼收音机; 收音机; 可交互道具; 基地音乐A; 基地音乐B; Music</t>
        </is>
      </c>
      <c r="R27" s="80">
        <f>LOWER(TRIM(C27)&amp;"|"&amp;TRIM(D27)&amp;"|"&amp;TRIM(E27)&amp;"|"&amp;TRIM(F27)&amp;"|"&amp;TRIM(H27)&amp;"|"&amp;TRIM(I27))</f>
        <v/>
      </c>
      <c r="S27" s="80">
        <f>IF(COUNTIF($R$6:$R$30,R27)&gt;1,"重复","唯一")</f>
        <v/>
      </c>
      <c r="T27" s="81" t="inlineStr">
        <is>
          <t>0f60c1333330feaaef984b64539c73d284fd13fd3b89cd3df5497394c85442ca</t>
        </is>
      </c>
      <c r="U27" s="81" t="inlineStr">
        <is>
          <t>Codex</t>
        </is>
      </c>
      <c r="V27" s="82" t="n">
        <v>46303</v>
      </c>
      <c r="W27" s="80" t="inlineStr">
        <is>
          <t>用户指定Blender资产</t>
        </is>
      </c>
      <c r="X27" s="77" t="inlineStr">
        <is>
          <t>BASE99-RADIO-INTERACTIVE</t>
        </is>
      </c>
      <c r="Y27" s="80" t="inlineStr">
        <is>
          <t>v005局部状态灯深化；旧v004源/优化保留；顶面偏前侧12边凸帽直径0.2m；599面/1190三角；结构/UV/公共色盘与交互结果详见当前final_acceptance；正常玩家及全阁楼红绿可辨门禁=True，像素详见pixel_metrics_runtime.json；音乐/摆位/范围外几何不变；GLB SHA-256=0b2cf2fcba9832ce8b37b62185e016f294ee834555439b71b11c543e0244851d；source SHA-256=d707298407d52dd5ce36c7f6de3fdef71dcfbfdac986cadf6d250318a3628a12；optimized SHA-256=448f30da74d0e118a032842e9eed2d49e8befcfcce24cb6f386547011b492ec1 【runtime v005.1】主体模型v005未重做；收音机持有MusicNotes持续视觉附件；验收=outputs/base99_radio_music_notes/final_acceptance.json；空间声音契约v001：唯一AudioStreamPlayer3D；Music总线；unit_size=18.0m；max_distance=78.0m；attenuation_model=inverse_square；99F正式边界Rect2(-50,-35,100,80)内source volume=0dB；边界外起始-18dB并按4dB/m继续衰减，最低-42dB；不复制播放；收音机离开99F停播/返回后手动开启，模型摆位、音符表现与音乐控制不变。 验收=outputs/base99_radio_sound_v001/sound_acceptance.json。</t>
        </is>
      </c>
    </row>
    <row r="28" ht="64" customHeight="1" s="51">
      <c r="A28" s="78" t="inlineStr">
        <is>
          <t>ITM-EQUIPMENT-BACKPACK-SMALL-3D</t>
        </is>
      </c>
      <c r="B28" s="54" t="inlineStr">
        <is>
          <t>小号粉色圆顶背包</t>
        </is>
      </c>
      <c r="C28" s="54" t="inlineStr">
        <is>
          <t>道具</t>
        </is>
      </c>
      <c r="D28" s="78" t="inlineStr">
        <is>
          <t>equipment</t>
        </is>
      </c>
      <c r="E28" s="78" t="inlineStr">
        <is>
          <t>equipment_backpack_2</t>
        </is>
      </c>
      <c r="F28" s="78" t="inlineStr">
        <is>
          <t>root_3d</t>
        </is>
      </c>
      <c r="G28" s="78" t="inlineStr">
        <is>
          <t>ITM-EQUIPMENT-BACKPACK-3D</t>
        </is>
      </c>
      <c r="H28" s="54" t="inlineStr">
        <is>
          <t>俯视3D / local +Z正面</t>
        </is>
      </c>
      <c r="I28" s="78" t="inlineStr">
        <is>
          <t>tier_0_static</t>
        </is>
      </c>
      <c r="J28" s="54" t="inlineStr">
        <is>
          <t>仅表现；地面拾取/UI图标/角色BackpackSocket共用；容量和存档规则不变</t>
        </is>
      </c>
      <c r="K28" s="54" t="inlineStr">
        <is>
          <t>待制作</t>
        </is>
      </c>
      <c r="L28" s="78" t="inlineStr">
        <is>
          <t>P0</t>
        </is>
      </c>
      <c r="M28" s="78" t="inlineStr">
        <is>
          <t>v001</t>
        </is>
      </c>
      <c r="N28" s="78" t="inlineStr">
        <is>
          <t>0.56×0.28×0.60m；整包中心原点；&lt;=500三角；无背部肩带；场景四材质/公共色盘</t>
        </is>
      </c>
      <c r="O28" s="78" t="n"/>
      <c r="P28" s="78" t="inlineStr">
        <is>
          <t>src/world3d/ItemModelFactory3D.gd; tests/verification/verify_backpack_equipment_flow.tscn</t>
        </is>
      </c>
      <c r="Q28" s="54" t="inlineStr">
        <is>
          <t>backpack;小号粉色圆顶背包</t>
        </is>
      </c>
      <c r="R28" s="78">
        <f>LOWER(TRIM(C28)&amp;"|"&amp;TRIM(D28)&amp;"|"&amp;TRIM(E28)&amp;"|"&amp;TRIM(F28)&amp;"|"&amp;TRIM(H28)&amp;"|"&amp;TRIM(I28))</f>
        <v/>
      </c>
      <c r="S28" s="54">
        <f>IF(COUNTIF($R$6:$R$30,R28)&gt;1,"重复","唯一")</f>
        <v/>
      </c>
      <c r="T28" s="78" t="n"/>
      <c r="U28" s="78" t="inlineStr">
        <is>
          <t>WorkBuddy</t>
        </is>
      </c>
      <c r="V28" s="102" t="n">
        <v>46303</v>
      </c>
      <c r="W28" s="54" t="inlineStr">
        <is>
          <t>用户参考图重建；项目公共色盘</t>
        </is>
      </c>
      <c r="X28" s="77" t="inlineStr">
        <is>
          <t>PRP_小号粉色圆顶背包_中文资产管理</t>
        </is>
      </c>
      <c r="Y28" s="54" t="inlineStr">
        <is>
          <t>新增身份，非历史已有ID；尺寸经用户批准；静态闭合表现；以asset_contract.json冻结。</t>
        </is>
      </c>
    </row>
    <row r="29" ht="64" customHeight="1" s="51">
      <c r="A29" s="78" t="inlineStr">
        <is>
          <t>ITM-EQUIPMENT-BACKPACK-MEDIUM-3D</t>
        </is>
      </c>
      <c r="B29" s="54" t="inlineStr">
        <is>
          <t>中号黄色单扣背包</t>
        </is>
      </c>
      <c r="C29" s="54" t="inlineStr">
        <is>
          <t>道具</t>
        </is>
      </c>
      <c r="D29" s="78" t="inlineStr">
        <is>
          <t>equipment</t>
        </is>
      </c>
      <c r="E29" s="78" t="inlineStr">
        <is>
          <t>equipment_backpack_4</t>
        </is>
      </c>
      <c r="F29" s="78" t="inlineStr">
        <is>
          <t>root_3d</t>
        </is>
      </c>
      <c r="G29" s="78" t="inlineStr">
        <is>
          <t>ITM-EQUIPMENT-BACKPACK-3D</t>
        </is>
      </c>
      <c r="H29" s="54" t="inlineStr">
        <is>
          <t>俯视3D / local +Z正面</t>
        </is>
      </c>
      <c r="I29" s="78" t="inlineStr">
        <is>
          <t>tier_0_static</t>
        </is>
      </c>
      <c r="J29" s="54" t="inlineStr">
        <is>
          <t>仅表现；地面拾取/UI图标/角色BackpackSocket共用；容量和存档规则不变</t>
        </is>
      </c>
      <c r="K29" s="54" t="inlineStr">
        <is>
          <t>待制作</t>
        </is>
      </c>
      <c r="L29" s="78" t="inlineStr">
        <is>
          <t>P0</t>
        </is>
      </c>
      <c r="M29" s="78" t="inlineStr">
        <is>
          <t>v001</t>
        </is>
      </c>
      <c r="N29" s="78" t="inlineStr">
        <is>
          <t>0.66×0.33×0.74m；整包中心原点；&lt;=500三角；无背部肩带；场景四材质/公共色盘</t>
        </is>
      </c>
      <c r="O29" s="78" t="n"/>
      <c r="P29" s="78" t="inlineStr">
        <is>
          <t>src/world3d/ItemModelFactory3D.gd; tests/verification/verify_backpack_equipment_flow.tscn</t>
        </is>
      </c>
      <c r="Q29" s="54" t="inlineStr">
        <is>
          <t>backpack;中号黄色单扣背包</t>
        </is>
      </c>
      <c r="R29" s="78">
        <f>LOWER(TRIM(C29)&amp;"|"&amp;TRIM(D29)&amp;"|"&amp;TRIM(E29)&amp;"|"&amp;TRIM(F29)&amp;"|"&amp;TRIM(H29)&amp;"|"&amp;TRIM(I29))</f>
        <v/>
      </c>
      <c r="S29" s="54">
        <f>IF(COUNTIF($R$6:$R$30,R29)&gt;1,"重复","唯一")</f>
        <v/>
      </c>
      <c r="T29" s="78" t="n"/>
      <c r="U29" s="78" t="inlineStr">
        <is>
          <t>WorkBuddy</t>
        </is>
      </c>
      <c r="V29" s="102" t="n">
        <v>46303</v>
      </c>
      <c r="W29" s="54" t="inlineStr">
        <is>
          <t>用户参考图重建；项目公共色盘</t>
        </is>
      </c>
      <c r="X29" s="77" t="inlineStr">
        <is>
          <t>PRP_中号黄色单扣背包_中文资产管理</t>
        </is>
      </c>
      <c r="Y29" s="54" t="inlineStr">
        <is>
          <t>新增身份，非历史已有ID；尺寸经用户批准；静态闭合表现；以asset_contract.json冻结。</t>
        </is>
      </c>
    </row>
    <row r="30" ht="64" customHeight="1" s="51">
      <c r="A30" s="78" t="inlineStr">
        <is>
          <t>ITM-EQUIPMENT-BACKPACK-LARGE-3D</t>
        </is>
      </c>
      <c r="B30" s="54" t="inlineStr">
        <is>
          <t>大号青色卷铺盖背包</t>
        </is>
      </c>
      <c r="C30" s="54" t="inlineStr">
        <is>
          <t>道具</t>
        </is>
      </c>
      <c r="D30" s="78" t="inlineStr">
        <is>
          <t>equipment</t>
        </is>
      </c>
      <c r="E30" s="78" t="inlineStr">
        <is>
          <t>equipment_backpack_8</t>
        </is>
      </c>
      <c r="F30" s="78" t="inlineStr">
        <is>
          <t>root_3d</t>
        </is>
      </c>
      <c r="G30" s="78" t="inlineStr">
        <is>
          <t>ITM-EQUIPMENT-BACKPACK-3D</t>
        </is>
      </c>
      <c r="H30" s="54" t="inlineStr">
        <is>
          <t>俯视3D / local +Z正面</t>
        </is>
      </c>
      <c r="I30" s="78" t="inlineStr">
        <is>
          <t>tier_0_static</t>
        </is>
      </c>
      <c r="J30" s="54" t="inlineStr">
        <is>
          <t>仅表现；地面拾取/UI图标/角色BackpackSocket共用；容量和存档规则不变</t>
        </is>
      </c>
      <c r="K30" s="54" t="inlineStr">
        <is>
          <t>待制作</t>
        </is>
      </c>
      <c r="L30" s="78" t="inlineStr">
        <is>
          <t>P0</t>
        </is>
      </c>
      <c r="M30" s="78" t="inlineStr">
        <is>
          <t>v001</t>
        </is>
      </c>
      <c r="N30" s="78" t="inlineStr">
        <is>
          <t>0.76×0.38×0.88m；整包中心原点；&lt;=500三角；无背部肩带；场景四材质/公共色盘</t>
        </is>
      </c>
      <c r="O30" s="78" t="n"/>
      <c r="P30" s="78" t="inlineStr">
        <is>
          <t>src/world3d/ItemModelFactory3D.gd; tests/verification/verify_backpack_equipment_flow.tscn</t>
        </is>
      </c>
      <c r="Q30" s="54" t="inlineStr">
        <is>
          <t>backpack;大号青色卷铺盖背包</t>
        </is>
      </c>
      <c r="R30" s="78">
        <f>LOWER(TRIM(C30)&amp;"|"&amp;TRIM(D30)&amp;"|"&amp;TRIM(E30)&amp;"|"&amp;TRIM(F30)&amp;"|"&amp;TRIM(H30)&amp;"|"&amp;TRIM(I30))</f>
        <v/>
      </c>
      <c r="S30" s="54">
        <f>IF(COUNTIF($R$6:$R$30,R30)&gt;1,"重复","唯一")</f>
        <v/>
      </c>
      <c r="T30" s="78" t="n"/>
      <c r="U30" s="78" t="inlineStr">
        <is>
          <t>WorkBuddy</t>
        </is>
      </c>
      <c r="V30" s="102" t="n">
        <v>46303</v>
      </c>
      <c r="W30" s="54" t="inlineStr">
        <is>
          <t>用户参考图重建；项目公共色盘</t>
        </is>
      </c>
      <c r="X30" s="77" t="inlineStr">
        <is>
          <t>PRP_大号青色卷铺盖背包_中文资产管理</t>
        </is>
      </c>
      <c r="Y30" s="54" t="inlineStr">
        <is>
          <t>新增身份，非历史已有ID；尺寸经用户批准；静态闭合表现；以asset_contract.json冻结。</t>
        </is>
      </c>
    </row>
    <row r="79" ht="154.5" customHeight="1" s="51"/>
    <row r="113" ht="154.5" customHeight="1" s="51"/>
    <row r="120" ht="154.5" customHeight="1" s="51"/>
    <row r="123" ht="154.5" customHeight="1" s="51"/>
    <row r="124" ht="33.75" customHeight="1" s="51"/>
    <row r="125" ht="33.75" customHeight="1" s="51"/>
    <row r="126" ht="33.75" customHeight="1" s="51"/>
    <row r="127" ht="33.75" customHeight="1" s="51"/>
    <row r="128" ht="154.5" customHeight="1" s="51"/>
    <row r="129" ht="33.75" customHeight="1" s="51"/>
    <row r="130" ht="33.75" customHeight="1" s="51"/>
    <row r="131" ht="33.75" customHeight="1" s="51"/>
    <row r="132" ht="33.75" customHeight="1" s="51"/>
    <row r="133" ht="33.75" customHeight="1" s="51"/>
    <row r="134" ht="33.75" customHeight="1" s="51"/>
    <row r="135" ht="33.75" customHeight="1" s="51"/>
    <row r="136" ht="33.75" customHeight="1" s="51"/>
    <row r="137" ht="33.75" customHeight="1" s="51"/>
    <row r="138" ht="33.75" customHeight="1" s="51"/>
    <row r="139" ht="33.75" customHeight="1" s="51"/>
    <row r="143" ht="154.5" customHeight="1" s="51"/>
    <row r="146" ht="43.5" customHeight="1" s="51"/>
    <row r="147" ht="43.5" customHeight="1" s="51"/>
    <row r="148" ht="43.5" customHeight="1" s="51"/>
    <row r="149" ht="43.5" customHeight="1" s="51"/>
    <row r="150" ht="43.5" customHeight="1" s="51"/>
    <row r="151" ht="43.5" customHeight="1" s="51"/>
    <row r="152" ht="43.5" customHeight="1" s="51"/>
    <row r="153" ht="43.5" customHeight="1" s="51"/>
    <row r="154" ht="43.5" customHeight="1" s="51"/>
    <row r="155" ht="43.5" customHeight="1" s="51"/>
    <row r="156" ht="132" customHeight="1" s="51"/>
    <row r="157" ht="117.75" customHeight="1" s="51"/>
    <row r="158" ht="117.75" customHeight="1" s="51"/>
    <row r="159" ht="117.75" customHeight="1" s="51"/>
    <row r="160" ht="117.75" customHeight="1" s="51"/>
    <row r="161" ht="132" customHeight="1" s="51"/>
    <row r="162" ht="132" customHeight="1" s="51"/>
    <row r="163" ht="154.5" customHeight="1" s="51"/>
    <row r="164" ht="132" customHeight="1" s="51"/>
    <row r="165" ht="132" customHeight="1" s="51"/>
    <row r="166" ht="132" customHeight="1" s="51"/>
    <row r="167" ht="154.5" customHeight="1" s="51"/>
    <row r="168" ht="219.75" customHeight="1" s="51"/>
    <row r="169" ht="219.75" customHeight="1" s="51"/>
    <row r="172" ht="42" customHeight="1" s="51"/>
    <row r="173" ht="42" customHeight="1" s="51"/>
    <row r="174" ht="43.5" customHeight="1" s="51"/>
    <row r="175" ht="43.5" customHeight="1" s="51"/>
    <row r="176" ht="43.5" customHeight="1" s="51"/>
    <row r="177" ht="43.5" customHeight="1" s="51"/>
    <row r="178" ht="43.5" customHeight="1" s="51"/>
    <row r="179" ht="43.5" customHeight="1" s="51"/>
    <row r="180" ht="43.5" customHeight="1" s="51"/>
    <row r="181" ht="43.5" customHeight="1" s="51"/>
    <row r="182" ht="43.5" customHeight="1" s="51"/>
    <row r="183" ht="43.5" customHeight="1" s="51"/>
    <row r="184" ht="43.5" customHeight="1" s="51"/>
    <row r="185" ht="43.5" customHeight="1" s="51"/>
    <row r="186" ht="43.5" customHeight="1" s="51"/>
    <row r="187" ht="43.5" customHeight="1" s="51"/>
    <row r="188" ht="43.5" customHeight="1" s="51"/>
    <row r="189" ht="43.5" customHeight="1" s="51"/>
    <row r="190" ht="43.5" customHeight="1" s="51"/>
    <row r="191" ht="43.5" customHeight="1" s="51"/>
    <row r="192" ht="43.5" customHeight="1" s="51"/>
    <row r="193" ht="43.5" customHeight="1" s="51"/>
    <row r="194" ht="43.5" customHeight="1" s="51"/>
    <row r="195" ht="43.5" customHeight="1" s="51"/>
    <row r="196" ht="43.5" customHeight="1" s="51"/>
    <row r="197" ht="43.5" customHeight="1" s="51"/>
    <row r="198" ht="43.5" customHeight="1" s="51"/>
    <row r="199" ht="43.5" customHeight="1" s="51"/>
    <row r="200" ht="43.5" customHeight="1" s="51"/>
    <row r="201" ht="43.5" customHeight="1" s="51"/>
    <row r="202" ht="43.5" customHeight="1" s="51"/>
    <row r="203" ht="43.5" customHeight="1" s="51"/>
    <row r="204" ht="43.5" customHeight="1" s="51"/>
    <row r="240" ht="255" customHeight="1" s="51"/>
    <row r="281" ht="66" customHeight="1" s="51"/>
    <row r="282" ht="66" customHeight="1" s="51"/>
    <row r="283" ht="66" customHeight="1" s="51"/>
    <row r="284" ht="66" customHeight="1" s="51"/>
    <row r="285" ht="66" customHeight="1" s="51"/>
    <row r="286" ht="66" customHeight="1" s="51"/>
    <row r="287" ht="55.5" customHeight="1" s="51"/>
    <row r="301" ht="132" customHeight="1" s="51"/>
    <row r="302" ht="54" customHeight="1" s="51"/>
    <row r="303" ht="54" customHeight="1" s="51"/>
    <row r="304" ht="54" customHeight="1" s="51"/>
    <row r="305" ht="54" customHeight="1" s="51"/>
    <row r="306" ht="54" customHeight="1" s="51"/>
    <row r="307" ht="54" customHeight="1" s="51"/>
    <row r="308" ht="54" customHeight="1" s="51"/>
    <row r="309" ht="54" customHeight="1" s="51"/>
    <row r="310" ht="54" customHeight="1" s="51"/>
    <row r="311" ht="72" customHeight="1" s="51"/>
    <row r="312" ht="54" customHeight="1" s="51"/>
    <row r="313" ht="54" customHeight="1" s="51"/>
    <row r="314" ht="54" customHeight="1" s="51"/>
    <row r="315" ht="54" customHeight="1" s="51"/>
    <row r="316" ht="54" customHeight="1" s="51"/>
    <row r="317" ht="54" customHeight="1" s="51"/>
    <row r="318" ht="54" customHeight="1" s="51"/>
    <row r="319" ht="54" customHeight="1" s="51"/>
    <row r="320" ht="54" customHeight="1" s="51"/>
    <row r="321" ht="54" customHeight="1" s="51"/>
    <row r="322" ht="54" customHeight="1" s="51"/>
    <row r="323" ht="54" customHeight="1" s="51"/>
    <row r="324" ht="54" customHeight="1" s="51"/>
    <row r="325" ht="54" customHeight="1" s="51"/>
    <row r="326" ht="54" customHeight="1" s="51"/>
    <row r="327" ht="54" customHeight="1" s="51"/>
    <row r="328" ht="54" customHeight="1" s="51"/>
    <row r="329" ht="54" customHeight="1" s="51"/>
    <row r="330" ht="54" customHeight="1" s="51"/>
    <row r="331" ht="54" customHeight="1" s="51"/>
    <row r="332" ht="54" customHeight="1" s="51"/>
    <row r="333" ht="54" customHeight="1" s="51"/>
    <row r="334" ht="54" customHeight="1" s="51"/>
    <row r="335" ht="54" customHeight="1" s="51"/>
    <row r="336" ht="54" customHeight="1" s="51"/>
    <row r="337" ht="54" customHeight="1" s="51"/>
    <row r="338" ht="54" customHeight="1" s="51"/>
    <row r="339" ht="54" customHeight="1" s="51"/>
    <row r="340" ht="54" customHeight="1" s="51"/>
    <row r="341" ht="54" customHeight="1" s="51"/>
    <row r="342" ht="54" customHeight="1" s="51"/>
    <row r="343" ht="54" customHeight="1" s="51"/>
    <row r="344" ht="54" customHeight="1" s="51"/>
    <row r="345" ht="54" customHeight="1" s="51"/>
    <row r="346" ht="54" customHeight="1" s="51"/>
    <row r="347" ht="54" customHeight="1" s="51"/>
    <row r="348" ht="54" customHeight="1" s="51"/>
    <row r="349" ht="54" customHeight="1" s="51"/>
    <row r="350" ht="54" customHeight="1" s="51"/>
    <row r="351" ht="54" customHeight="1" s="51"/>
    <row r="352" ht="54" customHeight="1" s="51"/>
    <row r="353" ht="54" customHeight="1" s="51"/>
    <row r="354" ht="54" customHeight="1" s="51"/>
    <row r="355" ht="54" customHeight="1" s="51"/>
    <row r="356" ht="54" customHeight="1" s="51"/>
    <row r="357" ht="54" customHeight="1" s="51"/>
    <row r="358" ht="54" customHeight="1" s="51"/>
    <row r="359" ht="72" customHeight="1" s="51"/>
    <row r="360" ht="54" customHeight="1" s="51"/>
    <row r="361" ht="54" customHeight="1" s="51"/>
    <row r="362" ht="54" customHeight="1" s="51"/>
    <row r="363" ht="54" customHeight="1" s="51"/>
    <row r="364" ht="54" customHeight="1" s="51"/>
    <row r="365" ht="54" customHeight="1" s="51"/>
    <row r="366" ht="54" customHeight="1" s="51"/>
    <row r="367" ht="54" customHeight="1" s="51"/>
    <row r="368" ht="72" customHeight="1" s="51"/>
    <row r="369" ht="54" customHeight="1" s="51"/>
    <row r="370" ht="54" customHeight="1" s="51"/>
    <row r="371" ht="54" customHeight="1" s="51"/>
    <row r="372" ht="54" customHeight="1" s="51"/>
    <row r="373" ht="54" customHeight="1" s="51"/>
    <row r="374" ht="54" customHeight="1" s="51"/>
    <row r="375" ht="54" customHeight="1" s="51"/>
    <row r="376" ht="54" customHeight="1" s="51"/>
    <row r="377" ht="54" customHeight="1" s="51"/>
    <row r="378" ht="54" customHeight="1" s="51"/>
    <row r="379" ht="54" customHeight="1" s="51"/>
    <row r="380" ht="54" customHeight="1" s="51"/>
    <row r="381" ht="54" customHeight="1" s="51"/>
    <row r="382" ht="54" customHeight="1" s="51"/>
    <row r="383" ht="54" customHeight="1" s="51"/>
    <row r="384" ht="54" customHeight="1" s="51"/>
    <row r="385" ht="54" customHeight="1" s="51"/>
    <row r="386" ht="54" customHeight="1" s="51"/>
    <row r="387" ht="54" customHeight="1" s="51"/>
    <row r="388" ht="54" customHeight="1" s="51"/>
    <row r="389" ht="54" customHeight="1" s="51"/>
    <row r="390" ht="54" customHeight="1" s="51"/>
    <row r="391" ht="54" customHeight="1" s="51"/>
    <row r="392" ht="54" customHeight="1" s="51"/>
    <row r="393" ht="54" customHeight="1" s="51"/>
    <row r="394" ht="54" customHeight="1" s="51"/>
    <row r="395" ht="54" customHeight="1" s="51"/>
    <row r="396" ht="54" customHeight="1" s="51"/>
    <row r="397" ht="54" customHeight="1" s="51"/>
    <row r="398" ht="54" customHeight="1" s="51"/>
    <row r="399" ht="54" customHeight="1" s="51"/>
    <row r="400" ht="54" customHeight="1" s="51"/>
    <row r="401" ht="54" customHeight="1" s="51"/>
    <row r="402" ht="54" customHeight="1" s="51"/>
    <row r="403" ht="54" customHeight="1" s="51"/>
    <row r="404" ht="54" customHeight="1" s="51"/>
    <row r="405" ht="54" customHeight="1" s="51"/>
    <row r="406" ht="54" customHeight="1" s="51"/>
    <row r="407" ht="54" customHeight="1" s="51"/>
    <row r="408" ht="54" customHeight="1" s="51"/>
    <row r="409" ht="54" customHeight="1" s="51"/>
    <row r="410" ht="54" customHeight="1" s="51"/>
    <row r="411" ht="54" customHeight="1" s="51"/>
    <row r="412" ht="54" customHeight="1" s="51"/>
    <row r="413" ht="75.75" customHeight="1" s="51"/>
    <row r="414" ht="72" customHeight="1" s="51"/>
    <row r="415" ht="72" customHeight="1" s="51"/>
    <row r="416" ht="72" customHeight="1" s="51"/>
    <row r="424" ht="84.75" customHeight="1" s="51"/>
    <row r="425" ht="84.75" customHeight="1" s="51"/>
    <row r="426" ht="84.75" customHeight="1" s="51"/>
    <row r="427" ht="84.75" customHeight="1" s="51"/>
    <row r="429" ht="120" customHeight="1" s="51"/>
  </sheetData>
  <autoFilter ref="A5:Y30"/>
  <mergeCells count="2">
    <mergeCell ref="A1:X2"/>
    <mergeCell ref="A3:X3"/>
  </mergeCells>
  <conditionalFormatting sqref="S6:S25">
    <cfRule type="containsText" rank="0" priority="2" equalAverage="0" operator="containsText" aboveAverage="0" dxfId="10" text="重复" percent="0" bottom="0">
      <formula>NOT(ISERROR(SEARCH("重复",S6)))</formula>
    </cfRule>
  </conditionalFormatting>
  <conditionalFormatting sqref="K6:K25">
    <cfRule type="containsText" rank="0" priority="3" equalAverage="0" operator="containsText" aboveAverage="0" dxfId="11" text="已完成" percent="0" bottom="0">
      <formula>NOT(ISERROR(SEARCH("已完成",K6)))</formula>
    </cfRule>
    <cfRule type="containsText" rank="0" priority="4" equalAverage="0" operator="containsText" aboveAverage="0" dxfId="12" text="待制作" percent="0" bottom="0">
      <formula>NOT(ISERROR(SEARCH("待制作",K6)))</formula>
    </cfRule>
  </conditionalFormatting>
  <dataValidations count="3">
    <dataValidation sqref="C6:C30" showDropDown="0" showInputMessage="0" showErrorMessage="0" allowBlank="1" type="list">
      <formula1>"角色,敌人,武器,道具,场景,场景道具,基地资产包,UI,特效,音频"</formula1>
      <formula2>0</formula2>
    </dataValidation>
    <dataValidation sqref="K6:K30" showDropDown="0" showInputMessage="0" showErrorMessage="0" allowBlank="1" type="list">
      <formula1>"待制作,程序占位,已完成,原型已接入,弃用,旧资产已从正式基地移除,正式美术已接入,已优化并正式接入,Blender源已完成,已导入；优化完成,已从运行场景移除,白盒组件"</formula1>
      <formula2>0</formula2>
    </dataValidation>
    <dataValidation sqref="L6:L30" showDropDown="0" showInputMessage="0" showErrorMessage="0" allowBlank="1" type="list">
      <formula1>"P0,P1,P2,P3"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Q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35.81" customWidth="1" style="50" min="1" max="1"/>
    <col width="25.07" customWidth="1" style="50" min="2" max="2"/>
    <col width="52.52" customWidth="1" style="50" min="3" max="3"/>
    <col width="50.13" customWidth="1" style="50" min="4" max="4"/>
    <col width="45.35" customWidth="1" style="50" min="5" max="5"/>
    <col width="32.22" customWidth="1" style="50" min="6" max="6"/>
    <col width="42.97" customWidth="1" style="50" min="7" max="7"/>
    <col width="11.94" customWidth="1" style="50" min="8" max="8"/>
    <col width="14.33" customWidth="1" style="50" min="9" max="9"/>
    <col width="21.48" customWidth="1" style="50" min="10" max="10"/>
    <col width="31.03" customWidth="1" style="50" min="11" max="11"/>
    <col width="28.65" customWidth="1" style="50" min="12" max="13"/>
    <col width="26.26" customWidth="1" style="50" min="14" max="14"/>
    <col width="11.94" customWidth="1" style="50" min="15" max="15"/>
    <col width="52.52" customWidth="1" style="50" min="16" max="16"/>
  </cols>
  <sheetData>
    <row r="1" ht="30" customHeight="1" s="51">
      <c r="A1" s="84" t="inlineStr">
        <is>
          <t>ShellStorm2 · 道具 3D Prefab</t>
        </is>
      </c>
    </row>
    <row r="2" ht="33.75" customHeight="1" s="51">
      <c r="A2" s="85" t="inlineStr">
        <is>
          <t>桌椅、家具、容器、收音机和摆放装饰物；本次扫描 4 个独立Prefab。</t>
        </is>
      </c>
    </row>
    <row r="3"/>
    <row r="4" ht="30" customHeight="1" s="51">
      <c r="A4" s="86" t="inlineStr">
        <is>
          <t>AssetID</t>
        </is>
      </c>
      <c r="B4" s="87" t="inlineStr">
        <is>
          <t>中文名</t>
        </is>
      </c>
      <c r="C4" s="88" t="inlineStr">
        <is>
          <t>Prefab路径</t>
        </is>
      </c>
      <c r="D4" s="88" t="inlineStr">
        <is>
          <t>GLB模型路径</t>
        </is>
      </c>
      <c r="E4" s="88" t="inlineStr">
        <is>
          <t>Blender源文件</t>
        </is>
      </c>
      <c r="F4" s="87" t="inlineStr">
        <is>
          <t>功能说明</t>
        </is>
      </c>
      <c r="G4" s="87" t="inlineStr">
        <is>
          <t>功能脚本路径</t>
        </is>
      </c>
      <c r="H4" s="87" t="inlineStr">
        <is>
          <t>碰撞开关</t>
        </is>
      </c>
      <c r="I4" s="87" t="inlineStr">
        <is>
          <t>碰撞归属</t>
        </is>
      </c>
      <c r="J4" s="87" t="inlineStr">
        <is>
          <t>碰撞方式</t>
        </is>
      </c>
      <c r="K4" s="87" t="inlineStr">
        <is>
          <t>标准尺寸</t>
        </is>
      </c>
      <c r="L4" s="87" t="inlineStr">
        <is>
          <t>原点与朝向</t>
        </is>
      </c>
      <c r="M4" s="87" t="inlineStr">
        <is>
          <t>使用位置</t>
        </is>
      </c>
      <c r="N4" s="87" t="inlineStr">
        <is>
          <t>制作状态</t>
        </is>
      </c>
      <c r="O4" s="87" t="inlineStr">
        <is>
          <t>版本</t>
        </is>
      </c>
      <c r="P4" s="89" t="inlineStr">
        <is>
          <t>备注</t>
        </is>
      </c>
    </row>
    <row r="5" ht="66" customHeight="1" s="51">
      <c r="A5" s="90" t="inlineStr">
        <is>
          <t>PRP-BASE-MISSION-COMMAND-CHAIR-3D</t>
        </is>
      </c>
      <c r="B5" s="91" t="inlineStr">
        <is>
          <t>战术指挥椅</t>
        </is>
      </c>
      <c r="C5" s="92" t="inlineStr">
        <is>
          <t>assets/art/props/base_world_3d/runtime/mission_command_chair/prp_base_mission_command_chair_root_top3d_v001.tscn</t>
        </is>
      </c>
      <c r="D5" s="92" t="inlineStr">
        <is>
          <t>assets/art/props/base_world_3d/components/mission_command_chair/prp_base_mission_command_chair_visual_top3d_v003.glb</t>
        </is>
      </c>
      <c r="E5" s="92" t="inlineStr">
        <is>
          <t>../ShellStorm2-backup/2026-10-11_slimming/original_tree/art_source/props/base_world_3d/source/mission_command_chair/prp_base_mission_command_chair_source_v001.blend</t>
        </is>
      </c>
      <c r="F5" s="91" t="inlineStr">
        <is>
          <t>可复用摆放道具Prefab</t>
        </is>
      </c>
      <c r="G5" s="92" t="n"/>
      <c r="H5" s="91" t="inlineStr">
        <is>
          <t>无</t>
        </is>
      </c>
      <c r="I5" s="91" t="inlineStr">
        <is>
          <t>无</t>
        </is>
      </c>
      <c r="J5" s="91" t="inlineStr">
        <is>
          <t>无</t>
        </is>
      </c>
      <c r="K5" s="91" t="inlineStr">
        <is>
          <t>最多4材质；独立GLB/PackedScene；无交互碰撞</t>
        </is>
      </c>
      <c r="L5" s="92" t="inlineStr">
        <is>
          <t>-Z</t>
        </is>
      </c>
      <c r="M5" s="91" t="inlineStr">
        <is>
          <t>基地99层美术布置层</t>
        </is>
      </c>
      <c r="N5" s="91" t="inlineStr">
        <is>
          <t>正式美术已接入</t>
        </is>
      </c>
      <c r="O5" s="92" t="inlineStr">
        <is>
          <t>v001</t>
        </is>
      </c>
      <c r="P5" s="93" t="inlineStr">
        <is>
          <t>根节点=战术指挥椅(Node3D)</t>
        </is>
      </c>
    </row>
    <row r="6" ht="66" customHeight="1" s="51">
      <c r="A6" s="94" t="inlineStr">
        <is>
          <t>PRP-BASE-WORKSHOP-STOOL-3D</t>
        </is>
      </c>
      <c r="B6" s="95" t="inlineStr">
        <is>
          <t>赛博维修圆凳</t>
        </is>
      </c>
      <c r="C6" s="96" t="inlineStr">
        <is>
          <t>assets/art/props/base_world_3d/runtime/workshop_stool/prp_base_workshop_stool_root_top3d_v001.tscn</t>
        </is>
      </c>
      <c r="D6" s="96" t="inlineStr">
        <is>
          <t>assets/art/props/base_world_3d/components/workshop_stool/prp_base_workshop_stool_visual_top3d_v003.glb</t>
        </is>
      </c>
      <c r="E6" s="96" t="inlineStr">
        <is>
          <t>../ShellStorm2-backup/2026-10-11_slimming/original_tree/art_source/props/base_world_3d/source/workshop_stool/prp_base_workshop_stool_source_v001.blend</t>
        </is>
      </c>
      <c r="F6" s="95" t="inlineStr">
        <is>
          <t>可复用摆放道具Prefab</t>
        </is>
      </c>
      <c r="G6" s="96" t="n"/>
      <c r="H6" s="95" t="inlineStr">
        <is>
          <t>无</t>
        </is>
      </c>
      <c r="I6" s="95" t="inlineStr">
        <is>
          <t>无</t>
        </is>
      </c>
      <c r="J6" s="95" t="inlineStr">
        <is>
          <t>无</t>
        </is>
      </c>
      <c r="K6" s="95" t="inlineStr">
        <is>
          <t>最多4材质；独立GLB/PackedScene；无交互碰撞</t>
        </is>
      </c>
      <c r="L6" s="96" t="inlineStr">
        <is>
          <t>-Z</t>
        </is>
      </c>
      <c r="M6" s="95" t="inlineStr">
        <is>
          <t>基地99层美术布置层</t>
        </is>
      </c>
      <c r="N6" s="95" t="inlineStr">
        <is>
          <t>正式美术已接入</t>
        </is>
      </c>
      <c r="O6" s="96" t="inlineStr">
        <is>
          <t>v001</t>
        </is>
      </c>
      <c r="P6" s="97" t="inlineStr">
        <is>
          <t>根节点=赛博维修圆凳(Node3D)</t>
        </is>
      </c>
    </row>
    <row r="7" ht="66" customHeight="1" s="51">
      <c r="A7" s="98" t="inlineStr">
        <is>
          <t>PRP-ROOM-FURNITURE-3D</t>
        </is>
      </c>
      <c r="B7" s="99" t="inlineStr">
        <is>
          <t>房间家具3D通用模块</t>
        </is>
      </c>
      <c r="C7" s="100" t="inlineStr">
        <is>
          <t>assets/art/props/dungeon_3d/prp_room_furniture_root_top3d_v001.tscn</t>
        </is>
      </c>
      <c r="D7" s="100" t="n"/>
      <c r="E7" s="100" t="n"/>
      <c r="F7" s="99" t="inlineStr">
        <is>
          <t>可复用摆放道具Prefab</t>
        </is>
      </c>
      <c r="G7" s="100" t="inlineStr">
        <is>
          <t>src/world3d/RoomFurniture3D.gd</t>
        </is>
      </c>
      <c r="H7" s="99" t="inlineStr">
        <is>
          <t>开</t>
        </is>
      </c>
      <c r="I7" s="100" t="inlineStr">
        <is>
          <t>Prefab自身</t>
        </is>
      </c>
      <c r="J7" s="99" t="inlineStr">
        <is>
          <t>脚本生成</t>
        </is>
      </c>
      <c r="K7" s="100" t="inlineStr">
        <is>
          <t>PackedScene/类型与尺寸配置</t>
        </is>
      </c>
      <c r="L7" s="99" t="inlineStr">
        <is>
          <t>未声明</t>
        </is>
      </c>
      <c r="M7" s="99" t="inlineStr">
        <is>
          <t>全部3D房间</t>
        </is>
      </c>
      <c r="N7" s="99" t="inlineStr">
        <is>
          <t>原型已接入</t>
        </is>
      </c>
      <c r="O7" s="100" t="inlineStr">
        <is>
          <t>v001</t>
        </is>
      </c>
      <c r="P7" s="101" t="inlineStr">
        <is>
          <t>根节点=RoomFurniture3D(Area3D)</t>
        </is>
      </c>
    </row>
    <row r="8" ht="66" customHeight="1" s="51">
      <c r="A8" s="94" t="inlineStr">
        <is>
          <t>PRP-BASE99-RADIO-3D</t>
        </is>
      </c>
      <c r="B8" s="95" t="inlineStr">
        <is>
          <t>99F阁楼收音机</t>
        </is>
      </c>
      <c r="C8" s="96" t="inlineStr">
        <is>
          <t>assets/art/props/base_world_3d/runtime/base99_radio/prp_base99_radio_root_top3d.tscn</t>
        </is>
      </c>
      <c r="D8" s="96" t="inlineStr">
        <is>
          <t>assets/art/props/base_world_3d/components/base99_radio/prp_base99_radio_visual_top3d.glb</t>
        </is>
      </c>
      <c r="E8" s="96" t="inlineStr">
        <is>
          <t>art_source/props/base_world_3d/source/base99_radio/prp_base99_radio_source_v005.blend</t>
        </is>
      </c>
      <c r="F8" s="95" t="inlineStr">
        <is>
          <t>可复用摆放道具Prefab；左键/E循环关→基地音乐A→基地音乐B→关；AudioStreamPlayer3D走Music总线</t>
        </is>
      </c>
      <c r="G8" s="96" t="inlineStr">
        <is>
          <t>src/base3d/Base99Radio3D.gd</t>
        </is>
      </c>
      <c r="H8" s="95" t="inlineStr">
        <is>
          <t>开</t>
        </is>
      </c>
      <c r="I8" s="95" t="inlineStr">
        <is>
          <t>Prefab自身</t>
        </is>
      </c>
      <c r="J8" s="95" t="inlineStr">
        <is>
          <t>独立WorldCollision + InteractionHitArea</t>
        </is>
      </c>
      <c r="K8" s="95" t="inlineStr">
        <is>
          <t>宽0.828m × 深0.456m × 高0.822m；599面/1190三角形&lt;800面；机身铜橙金属、天线与提手等范围外几何签名保持；单根三节斜金属天线29.35度；四材质公共色盘外链/PaletteUV/Closest；StatusLight为顶面偏前侧12边低模凸帽，直径0.2m，替换旧灯且不重复，避开提手/天线；off红常亮、A/B同绿常亮、离开99F红待机；发光能量1.5；ItemRoot/Visual/ItemRoot/StatusLight实际导入路径稳定；左键/E关→A→B→关及Music逻辑不变；root scale=1，bounds不变；可见性门禁=True；原生1280x720像素证据=outputs/base99_radio_v005/pixel_metrics_runtime.json。 runtime补丁：独立radio child纯视觉持续附件；5预制QuadMesh槽位/10三角形；Godot生成四分/八分/双八分音符纹理，无字体依赖；billboard当前相机；淡青绿/暖金unshaded无emission；2.5发/s、寿命1.8s、上飘1.1m、横摆0.09m、尺度0.88~1.06、淡入0.16s、末0.45s淡出；本地挂点Y1.42m；无碰撞/灯光/音频；真实playing驱动，A/B连续，off/离99/exit同步清空；不进任何战斗池。；空间声音契约v001：唯一AudioStreamPlayer3D；Music总线；unit_size=18.0m；max_distance=78.0m；attenuation_model=inverse_square；99F正式边界Rect2(-50,-35,100,80)内source volume=0dB；边界外起始-18dB并按4dB/m继续衰减，最低-42dB；不复制播放；收音机离开99F停播/返回后手动开启，模型摆位、音符表现与音乐控制不变。</t>
        </is>
      </c>
      <c r="L8" s="96" t="inlineStr">
        <is>
          <t>底面Y=0；根ItemRoot居中；local -Z正面；scale=1</t>
        </is>
      </c>
      <c r="M8" s="95" t="inlineStr">
        <is>
          <t>99F阁楼北墙/床左侧46号BATTERY柜顶；layout=(-1.95,6.97,-13.87143)，yaw=10度</t>
        </is>
      </c>
      <c r="N8" s="95" t="inlineStr">
        <is>
          <t>正式美术已接入</t>
        </is>
      </c>
      <c r="O8" s="96" t="inlineStr">
        <is>
          <t>v005.1</t>
        </is>
      </c>
      <c r="P8" s="97" t="inlineStr">
        <is>
          <t>ItemRoot/Visual/StatusLight接口不变；StatusLight顶面偏前侧12边低模凸帽；单一灯，无billboard/UI/bloom；源=d707298407d52dd5ce36c7f6de3fdef71dcfbfdac986cadf6d250318a3628a12；优化=448f30da74d0e118a032842e9eed2d49e8befcfcce24cb6f386547011b492ec1；GLB=0b2cf2fcba9832ce8b37b62185e016f294ee834555439b71b11c543e0244851d；Prefab=97b35c66bd00f9662a12f8b8359023c4cf714bd9e434cb804c20bf9ea83ee90c；证据=outputs/base99_radio_v005/；runtime v005.1，model v005；附件=VFX-RADIO-MUSIC-NOTES-3D；Prefab SHA=0f60c1333330feaaef984b64539c73d284fd13fd3b89cd3df5497394c85442ca；空间声音契约=空间声音契约v001：唯一AudioStreamPlayer3D；Music总线；unit_size=18.0m；max_distance=78.0m；attenuation_model=inverse_square；99F正式边界Rect2(-50,-35,100,80)内source volume=0dB；边界外起始-18dB并按4dB/m继续衰减，最低-42dB；不复制播放；收音机离开99F停播/返回后手动开启，模型摆位、音符表现与音乐控制不变。；验收=outputs/base99_radio_sound_v001/sound_acceptance.json；账本证据=outputs/base99_radio_sound_v001/ledger_evidence.json</t>
        </is>
      </c>
      <c r="Q8" s="50" t="n"/>
    </row>
  </sheetData>
  <autoFilter ref="A4:P8"/>
  <mergeCells count="2">
    <mergeCell ref="A1:P1"/>
    <mergeCell ref="A2:P2"/>
  </mergeCells>
  <dataValidations count="3">
    <dataValidation sqref="H5:H250" showDropDown="0" showInputMessage="0" showErrorMessage="0" allowBlank="0" type="list" errorStyle="stop" operator="between">
      <formula1>"开,关,无"</formula1>
      <formula2>0</formula2>
    </dataValidation>
    <dataValidation sqref="I5:I250" showDropDown="0" showInputMessage="0" showErrorMessage="0" allowBlank="0" type="list" errorStyle="stop" operator="between">
      <formula1>"Prefab自身,外部脚本,混合,无"</formula1>
      <formula2>0</formula2>
    </dataValidation>
    <dataValidation sqref="N5:N25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35.81" customWidth="1" style="50" min="1" max="1"/>
    <col width="25.07" customWidth="1" style="50" min="2" max="2"/>
    <col width="52.52" customWidth="1" style="50" min="3" max="3"/>
    <col width="50.13" customWidth="1" style="50" min="4" max="4"/>
    <col width="45.35" customWidth="1" style="50" min="5" max="5"/>
    <col width="32.22" customWidth="1" style="50" min="6" max="6"/>
    <col width="42.97" customWidth="1" style="50" min="7" max="7"/>
    <col width="11.94" customWidth="1" style="50" min="8" max="8"/>
    <col width="14.33" customWidth="1" style="50" min="9" max="9"/>
    <col width="21.48" customWidth="1" style="50" min="10" max="10"/>
    <col width="31.03" customWidth="1" style="50" min="11" max="11"/>
    <col width="28.65" customWidth="1" style="50" min="12" max="13"/>
    <col width="26.26" customWidth="1" style="50" min="14" max="14"/>
    <col width="11.94" customWidth="1" style="50" min="15" max="15"/>
    <col width="52.52" customWidth="1" style="50" min="16" max="16"/>
  </cols>
  <sheetData>
    <row r="1" ht="30" customHeight="1" s="51">
      <c r="A1" s="84" t="inlineStr">
        <is>
          <t>ShellStorm2 · 物品 3D Prefab</t>
        </is>
      </c>
    </row>
    <row r="2" ht="33.75" customHeight="1" s="51">
      <c r="A2" s="85" t="inlineStr">
        <is>
          <t>独立物品PackedScene；3款背包已登记，等待制作与验收。</t>
        </is>
      </c>
    </row>
    <row r="3"/>
    <row r="4" ht="30" customHeight="1" s="51">
      <c r="A4" s="86" t="inlineStr">
        <is>
          <t>AssetID</t>
        </is>
      </c>
      <c r="B4" s="87" t="inlineStr">
        <is>
          <t>中文名</t>
        </is>
      </c>
      <c r="C4" s="88" t="inlineStr">
        <is>
          <t>Prefab路径</t>
        </is>
      </c>
      <c r="D4" s="88" t="inlineStr">
        <is>
          <t>GLB模型路径</t>
        </is>
      </c>
      <c r="E4" s="88" t="inlineStr">
        <is>
          <t>Blender源文件</t>
        </is>
      </c>
      <c r="F4" s="87" t="inlineStr">
        <is>
          <t>功能说明</t>
        </is>
      </c>
      <c r="G4" s="87" t="inlineStr">
        <is>
          <t>功能脚本路径</t>
        </is>
      </c>
      <c r="H4" s="87" t="inlineStr">
        <is>
          <t>碰撞开关</t>
        </is>
      </c>
      <c r="I4" s="87" t="inlineStr">
        <is>
          <t>碰撞归属</t>
        </is>
      </c>
      <c r="J4" s="87" t="inlineStr">
        <is>
          <t>碰撞方式</t>
        </is>
      </c>
      <c r="K4" s="87" t="inlineStr">
        <is>
          <t>标准尺寸</t>
        </is>
      </c>
      <c r="L4" s="87" t="inlineStr">
        <is>
          <t>原点与朝向</t>
        </is>
      </c>
      <c r="M4" s="87" t="inlineStr">
        <is>
          <t>使用位置</t>
        </is>
      </c>
      <c r="N4" s="87" t="inlineStr">
        <is>
          <t>制作状态</t>
        </is>
      </c>
      <c r="O4" s="87" t="inlineStr">
        <is>
          <t>版本</t>
        </is>
      </c>
      <c r="P4" s="89" t="inlineStr">
        <is>
          <t>备注</t>
        </is>
      </c>
    </row>
    <row r="5" ht="64" customHeight="1" s="51">
      <c r="A5" s="86" t="inlineStr">
        <is>
          <t>ITM-EQUIPMENT-BACKPACK-SMALL-3D</t>
        </is>
      </c>
      <c r="B5" s="87" t="inlineStr">
        <is>
          <t>小号粉色圆顶背包</t>
        </is>
      </c>
      <c r="C5" s="88" t="inlineStr">
        <is>
          <t>assets/art/items_weapons/props/backpack_small/runtime/prp_backpack_small_root_top3d.tscn</t>
        </is>
      </c>
      <c r="D5" s="88" t="inlineStr">
        <is>
          <t>assets/art/items_weapons/props/backpack_small/components/prp_backpack_small_visual_top3d.glb</t>
        </is>
      </c>
      <c r="E5" s="88" t="inlineStr">
        <is>
          <t>art_source/items_weapons/props/backpack_small/source/prp_backpack_small_source_v001.blend</t>
        </is>
      </c>
      <c r="F5" s="87" t="inlineStr">
        <is>
          <t>仅表现；地面拾取/UI图标/角色BackpackSocket共用；容量和存档规则不变</t>
        </is>
      </c>
      <c r="G5" s="87" t="inlineStr">
        <is>
          <t>src/world3d/ItemModelFactory3D.gd</t>
        </is>
      </c>
      <c r="H5" s="87" t="inlineStr">
        <is>
          <t>无</t>
        </is>
      </c>
      <c r="I5" s="87" t="inlineStr">
        <is>
          <t>无</t>
        </is>
      </c>
      <c r="J5" s="87" t="inlineStr">
        <is>
          <t>无</t>
        </is>
      </c>
      <c r="K5" s="87" t="inlineStr">
        <is>
          <t>0.56×0.28×0.60m</t>
        </is>
      </c>
      <c r="L5" s="87" t="inlineStr">
        <is>
          <t>整包包围盒中心原点；Godot +Z前袋朝外，+Y向上；Blender -Y前袋朝外，+Z向上</t>
        </is>
      </c>
      <c r="M5" s="87" t="inlineStr">
        <is>
          <t>世界掉落/UI图标/玩家BackpackSocket</t>
        </is>
      </c>
      <c r="N5" s="87" t="inlineStr">
        <is>
          <t>待制作</t>
        </is>
      </c>
      <c r="O5" s="87" t="inlineStr">
        <is>
          <t>v001</t>
        </is>
      </c>
      <c r="P5" s="89" t="inlineStr">
        <is>
          <t>真实PackedScene骨架已创建；视觉制作及验收待完成；禁止视为正式资产。</t>
        </is>
      </c>
    </row>
    <row r="6" ht="64" customHeight="1" s="51">
      <c r="A6" s="86" t="inlineStr">
        <is>
          <t>ITM-EQUIPMENT-BACKPACK-MEDIUM-3D</t>
        </is>
      </c>
      <c r="B6" s="87" t="inlineStr">
        <is>
          <t>中号黄色单扣背包</t>
        </is>
      </c>
      <c r="C6" s="88" t="inlineStr">
        <is>
          <t>assets/art/items_weapons/props/backpack_medium/runtime/prp_backpack_medium_root_top3d.tscn</t>
        </is>
      </c>
      <c r="D6" s="88" t="inlineStr">
        <is>
          <t>assets/art/items_weapons/props/backpack_medium/components/prp_backpack_medium_visual_top3d.glb</t>
        </is>
      </c>
      <c r="E6" s="88" t="inlineStr">
        <is>
          <t>art_source/items_weapons/props/backpack_medium/source/prp_backpack_medium_source_v001.blend</t>
        </is>
      </c>
      <c r="F6" s="87" t="inlineStr">
        <is>
          <t>仅表现；地面拾取/UI图标/角色BackpackSocket共用；容量和存档规则不变</t>
        </is>
      </c>
      <c r="G6" s="87" t="inlineStr">
        <is>
          <t>src/world3d/ItemModelFactory3D.gd</t>
        </is>
      </c>
      <c r="H6" s="87" t="inlineStr">
        <is>
          <t>无</t>
        </is>
      </c>
      <c r="I6" s="87" t="inlineStr">
        <is>
          <t>无</t>
        </is>
      </c>
      <c r="J6" s="87" t="inlineStr">
        <is>
          <t>无</t>
        </is>
      </c>
      <c r="K6" s="87" t="inlineStr">
        <is>
          <t>0.66×0.33×0.74m</t>
        </is>
      </c>
      <c r="L6" s="87" t="inlineStr">
        <is>
          <t>整包包围盒中心原点；Godot +Z前袋朝外，+Y向上；Blender -Y前袋朝外，+Z向上</t>
        </is>
      </c>
      <c r="M6" s="87" t="inlineStr">
        <is>
          <t>世界掉落/UI图标/玩家BackpackSocket</t>
        </is>
      </c>
      <c r="N6" s="87" t="inlineStr">
        <is>
          <t>待制作</t>
        </is>
      </c>
      <c r="O6" s="87" t="inlineStr">
        <is>
          <t>v001</t>
        </is>
      </c>
      <c r="P6" s="89" t="inlineStr">
        <is>
          <t>真实PackedScene骨架已创建；视觉制作及验收待完成；禁止视为正式资产。</t>
        </is>
      </c>
    </row>
    <row r="7" ht="64" customHeight="1" s="51">
      <c r="A7" s="86" t="inlineStr">
        <is>
          <t>ITM-EQUIPMENT-BACKPACK-LARGE-3D</t>
        </is>
      </c>
      <c r="B7" s="87" t="inlineStr">
        <is>
          <t>大号青色卷铺盖背包</t>
        </is>
      </c>
      <c r="C7" s="88" t="inlineStr">
        <is>
          <t>assets/art/items_weapons/props/backpack_large/runtime/prp_backpack_large_root_top3d.tscn</t>
        </is>
      </c>
      <c r="D7" s="88" t="inlineStr">
        <is>
          <t>assets/art/items_weapons/props/backpack_large/components/prp_backpack_large_visual_top3d.glb</t>
        </is>
      </c>
      <c r="E7" s="88" t="inlineStr">
        <is>
          <t>art_source/items_weapons/props/backpack_large/source/prp_backpack_large_source_v001.blend</t>
        </is>
      </c>
      <c r="F7" s="87" t="inlineStr">
        <is>
          <t>仅表现；地面拾取/UI图标/角色BackpackSocket共用；容量和存档规则不变</t>
        </is>
      </c>
      <c r="G7" s="87" t="inlineStr">
        <is>
          <t>src/world3d/ItemModelFactory3D.gd</t>
        </is>
      </c>
      <c r="H7" s="87" t="inlineStr">
        <is>
          <t>无</t>
        </is>
      </c>
      <c r="I7" s="87" t="inlineStr">
        <is>
          <t>无</t>
        </is>
      </c>
      <c r="J7" s="87" t="inlineStr">
        <is>
          <t>无</t>
        </is>
      </c>
      <c r="K7" s="87" t="inlineStr">
        <is>
          <t>0.76×0.38×0.88m</t>
        </is>
      </c>
      <c r="L7" s="87" t="inlineStr">
        <is>
          <t>整包包围盒中心原点；Godot +Z前袋朝外，+Y向上；Blender -Y前袋朝外，+Z向上</t>
        </is>
      </c>
      <c r="M7" s="87" t="inlineStr">
        <is>
          <t>世界掉落/UI图标/玩家BackpackSocket</t>
        </is>
      </c>
      <c r="N7" s="87" t="inlineStr">
        <is>
          <t>待制作</t>
        </is>
      </c>
      <c r="O7" s="87" t="inlineStr">
        <is>
          <t>v001</t>
        </is>
      </c>
      <c r="P7" s="89" t="inlineStr">
        <is>
          <t>真实PackedScene骨架已创建；视觉制作及验收待完成；禁止视为正式资产。</t>
        </is>
      </c>
    </row>
  </sheetData>
  <mergeCells count="2">
    <mergeCell ref="A1:P1"/>
    <mergeCell ref="A2:P2"/>
  </mergeCells>
  <dataValidations count="3">
    <dataValidation sqref="H5:H250" showDropDown="0" showInputMessage="0" showErrorMessage="0" allowBlank="0" type="list" errorStyle="stop" operator="between">
      <formula1>"开,关,无"</formula1>
      <formula2>0</formula2>
    </dataValidation>
    <dataValidation sqref="I5:I250" showDropDown="0" showInputMessage="0" showErrorMessage="0" allowBlank="0" type="list" errorStyle="stop" operator="between">
      <formula1>"Prefab自身,外部脚本,混合,无"</formula1>
      <formula2>0</formula2>
    </dataValidation>
    <dataValidation sqref="N5:N25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50" min="1" max="1"/>
    <col width="15.51" customWidth="1" style="50" min="2" max="2"/>
    <col width="28.65" customWidth="1" style="50" min="3" max="3"/>
    <col width="33.42" customWidth="1" style="50" min="4" max="4"/>
    <col width="83.55" customWidth="1" style="50" min="5" max="5"/>
    <col width="57.29" customWidth="1" style="50" min="6" max="6"/>
    <col width="14.33" customWidth="1" style="50" min="7" max="7"/>
  </cols>
  <sheetData>
    <row r="1" ht="15" customHeight="1" s="51">
      <c r="A1" s="69" t="inlineStr">
        <is>
          <t>道具账本变更日志</t>
        </is>
      </c>
    </row>
    <row r="2" ht="15" customHeight="1" s="51"/>
    <row r="3" ht="15" customHeight="1" s="51">
      <c r="A3" s="53" t="inlineStr">
        <is>
          <t>只记录本账本的域内变更；跨域与全局变更记录在主账本《版本记录》</t>
        </is>
      </c>
    </row>
    <row r="4"/>
    <row r="5" ht="15" customHeight="1" s="51">
      <c r="A5" s="57" t="inlineStr">
        <is>
          <t>台账版本</t>
        </is>
      </c>
      <c r="B5" s="57" t="inlineStr">
        <is>
          <t>日期</t>
        </is>
      </c>
      <c r="C5" s="57" t="inlineStr">
        <is>
          <t>变更类型</t>
        </is>
      </c>
      <c r="D5" s="57" t="inlineStr">
        <is>
          <t>范围</t>
        </is>
      </c>
      <c r="E5" s="57" t="inlineStr">
        <is>
          <t>说明</t>
        </is>
      </c>
      <c r="F5" s="57" t="inlineStr">
        <is>
          <t>兼容性</t>
        </is>
      </c>
      <c r="G5" s="57" t="inlineStr">
        <is>
          <t>负责人</t>
        </is>
      </c>
    </row>
    <row r="6" ht="45.75" customHeight="1" s="51">
      <c r="A6" s="68" t="inlineStr">
        <is>
          <t>v0.1.0</t>
        </is>
      </c>
      <c r="B6" s="68" t="inlineStr">
        <is>
          <t>2026-09-18</t>
        </is>
      </c>
      <c r="C6" s="61" t="inlineStr">
        <is>
          <t>分账本建立</t>
        </is>
      </c>
      <c r="D6" s="61" t="inlineStr">
        <is>
          <t>道具</t>
        </is>
      </c>
      <c r="E6" s="61" t="inlineStr">
        <is>
          <t>由单体账本《ShellStorm2_美术资产台账_v001.xlsx》按大类拆分而来；本账本接管大类=道具，条目内容逐格不变，仅登记位置变化。</t>
        </is>
      </c>
      <c r="F6" s="61" t="inlineStr">
        <is>
          <t>资产条目、AssetID、路径与哈希全部不变；只换文件。旧引用可用 scripts/ledger_registry.py 解析。</t>
        </is>
      </c>
      <c r="G6" s="61" t="inlineStr">
        <is>
          <t>摩斯拉</t>
        </is>
      </c>
    </row>
    <row r="7">
      <c r="A7" s="68" t="inlineStr">
        <is>
          <t>v0.1.1</t>
        </is>
      </c>
      <c r="B7" s="68" t="inlineStr">
        <is>
          <t>2026-09-29</t>
        </is>
      </c>
      <c r="C7" s="61" t="inlineStr">
        <is>
          <t>99F座椅乘坐与驾驶</t>
        </is>
      </c>
      <c r="D7" s="61" t="inlineStr">
        <is>
          <t>道具 / 基地座椅</t>
        </is>
      </c>
      <c r="E7" s="61" t="inlineStr">
        <is>
          <t>维修圆凳与战术指挥椅改为可推刚体、可乘坐驾驶；与场景碰撞交互。</t>
        </is>
      </c>
      <c r="F7" s="61" t="inlineStr">
        <is>
          <t>更新两条既有资产的状态、规格、v003 源、SHA、备注和日期；AssetID 与运行时路径不变。</t>
        </is>
      </c>
      <c r="G7" s="61" t="inlineStr">
        <is>
          <t>Codex</t>
        </is>
      </c>
    </row>
    <row r="8">
      <c r="A8" s="68" t="inlineStr">
        <is>
          <t>v0.1.2</t>
        </is>
      </c>
      <c r="B8" s="68" t="inlineStr">
        <is>
          <t>2026-09-29</t>
        </is>
      </c>
      <c r="C8" s="61" t="inlineStr">
        <is>
          <t>99F旋转椅分体与离座防弹射</t>
        </is>
      </c>
      <c r="D8" s="61" t="inlineStr">
        <is>
          <t>道具 / 基地座椅</t>
        </is>
      </c>
      <c r="E8" s="61" t="inlineStr">
        <is>
          <t>两把椅子从 v003 源派生 v004；轮脚底座物理滑行、座面/靠背独立转向；乘坐1.3倍步速与松手惯性。</t>
        </is>
      </c>
      <c r="F8" s="61" t="inlineStr">
        <is>
          <t>更新两条既有资产的版本、双GLB来源、物理规格、SHA与备注；AssetID和运行时PackedScene路径不变。</t>
        </is>
      </c>
      <c r="G8" s="61" t="inlineStr">
        <is>
          <t>Codex</t>
        </is>
      </c>
    </row>
    <row r="9">
      <c r="A9" s="68" t="inlineStr">
        <is>
          <t>v0.1.3</t>
        </is>
      </c>
      <c r="B9" s="68" t="inlineStr">
        <is>
          <t>2026-09-29</t>
        </is>
      </c>
      <c r="C9" s="61" t="inlineStr">
        <is>
          <t>99F座椅材质与上下座回归</t>
        </is>
      </c>
      <c r="D9" s="61" t="inlineStr">
        <is>
          <t>道具 / 基地座椅</t>
        </is>
      </c>
      <c r="E9" s="61" t="inlineStr">
        <is>
          <t>两把椅子的分体视觉恢复共享材质；验证上下座碰撞、镜头高度及座中射击。</t>
        </is>
      </c>
      <c r="F9" s="61" t="inlineStr">
        <is>
          <t>更新既有资产记录与验收契约；保留 AssetID 和稳定 PackedScene 路径。</t>
        </is>
      </c>
      <c r="G9" s="61" t="inlineStr">
        <is>
          <t>Codex</t>
        </is>
      </c>
    </row>
    <row r="10">
      <c r="A10" s="68" t="inlineStr">
        <is>
          <t>v0.1.4</t>
        </is>
      </c>
      <c r="B10" s="68" t="inlineStr">
        <is>
          <t>2026-09-29</t>
        </is>
      </c>
      <c r="C10" s="61" t="inlineStr">
        <is>
          <t>99F双段伸缩直梯正式接入</t>
        </is>
      </c>
      <c r="D10" s="61" t="inlineStr">
        <is>
          <t>道具 / 基地交互道具</t>
        </is>
      </c>
      <c r="E10" s="61" t="inlineStr">
        <is>
          <t>新增伸缩直梯 AssetID；双段GLB、固定碰撞、展开动画、攀爬状态与存档接入。</t>
        </is>
      </c>
      <c r="F10" s="61" t="inlineStr">
        <is>
          <t>更新资产主表与运行时事实源；既有历史资源保留。</t>
        </is>
      </c>
      <c r="G10" s="61" t="inlineStr">
        <is>
          <t>Codex</t>
        </is>
      </c>
    </row>
    <row r="11">
      <c r="A11" s="68" t="inlineStr">
        <is>
          <t>v0.1.5</t>
        </is>
      </c>
      <c r="B11" s="68" t="inlineStr">
        <is>
          <t>2026-10-05</t>
        </is>
      </c>
      <c r="C11" s="61" t="inlineStr">
        <is>
          <t>99F阁楼收音机正式接入</t>
        </is>
      </c>
      <c r="D11" s="61" t="inlineStr">
        <is>
          <t>道具 / 场景可交互道具</t>
        </is>
      </c>
      <c r="E11" s="61" t="inlineStr">
        <is>
          <t>更新 PRP-BASE99-RADIO-3D 至 v005：顶面偏前侧12边凸起状态灯、600面/1200三角、正式 GLB/源/优化/PackedScene 哈希及正常玩家镜头像素验收证据。</t>
        </is>
      </c>
      <c r="F11" s="61" t="inlineStr">
        <is>
          <t>更新资产主表、3D-道具分页、总览公式、DV和无损基线；既有椅子/梯子行保持不变。模型StatusLight命名误报单独保留，未宣称模型门禁全过。</t>
        </is>
      </c>
      <c r="G11" s="61" t="inlineStr">
        <is>
          <t>Codex</t>
        </is>
      </c>
    </row>
    <row r="12">
      <c r="A12" s="68" t="inlineStr">
        <is>
          <t>v0.1.6</t>
        </is>
      </c>
      <c r="B12" s="68" t="inlineStr">
        <is>
          <t>2026-10-05</t>
        </is>
      </c>
      <c r="C12" s="61" t="inlineStr">
        <is>
          <t>99F阁楼收音机v002低模改造</t>
        </is>
      </c>
      <c r="D12" s="61" t="inlineStr">
        <is>
          <t>道具 / 场景可交互道具</t>
        </is>
      </c>
      <c r="E12" s="61" t="inlineStr">
        <is>
          <t>更新 PRP-BASE99-RADIO-3D 至 v002；598面/1116三角形；保留v001回滚源；稳定Prefab路径与ItemRoot/Visual/StatusLight接口不变。</t>
        </is>
      </c>
      <c r="F12" s="61" t="inlineStr">
        <is>
          <t>同步Prefab版本与GLB SHA；更新规格、源路径、哈希和无损基线；不改脚本、正式场景摆位和音乐逻辑。</t>
        </is>
      </c>
      <c r="G12" s="61" t="inlineStr">
        <is>
          <t>Codex</t>
        </is>
      </c>
    </row>
    <row r="13">
      <c r="A13" s="68" t="inlineStr">
        <is>
          <t>v0.1.7</t>
        </is>
      </c>
      <c r="B13" s="68" t="inlineStr">
        <is>
          <t>2026-10-06</t>
        </is>
      </c>
      <c r="C13" s="61" t="inlineStr">
        <is>
          <t>99F阁楼收音机v003尺寸与材质摆位</t>
        </is>
      </c>
      <c r="D13" s="61" t="inlineStr">
        <is>
          <t>道具 / 场景可交互道具</t>
        </is>
      </c>
      <c r="E13" s="61" t="inlineStr">
        <is>
          <t>更新radio到v003：各轴2倍，598面/1116三角形；深墨绿/铜棕；46号BATTERY柜顶10度斜摆；保留v001/v002。</t>
        </is>
      </c>
      <c r="F13" s="61" t="inlineStr">
        <is>
          <t>稳定路径、off/A/B交互不变；同步碰撞/音源/Tooltip；真实运行时承载与输入验收；更新仅radio指纹和3D-道具摘要。</t>
        </is>
      </c>
      <c r="G13" s="61" t="inlineStr">
        <is>
          <t>WorkBuddy</t>
        </is>
      </c>
    </row>
    <row r="14">
      <c r="A14" s="68" t="inlineStr">
        <is>
          <t>v0.1.8</t>
        </is>
      </c>
      <c r="B14" s="68" t="inlineStr">
        <is>
          <t>2026-10-07</t>
        </is>
      </c>
      <c r="C14" s="61" t="inlineStr">
        <is>
          <t>99F收音机v004铜橙金属与常驻红绿灯</t>
        </is>
      </c>
      <c r="D14" s="61" t="inlineStr">
        <is>
          <t>道具 / decor_prop</t>
        </is>
      </c>
      <c r="E14" s="61" t="inlineStr">
        <is>
          <t>646面/1264三角；替换单根斜伸缩天线；off红、A/B同绿，离楼停止音乐但红灯待机；旧源与摆位不改</t>
        </is>
      </c>
      <c r="F14" s="61" t="inlineStr">
        <is>
          <t>仅更新radio登记指纹、3D-道具摘要；严检UV和真实窗口交互截图通过</t>
        </is>
      </c>
      <c r="G14" s="61" t="inlineStr">
        <is>
          <t>WorkBuddy</t>
        </is>
      </c>
    </row>
    <row r="15">
      <c r="A15" s="68" t="inlineStr">
        <is>
          <t>v0.1.9</t>
        </is>
      </c>
      <c r="B15" s="68" t="inlineStr">
        <is>
          <t>2026-10-07</t>
        </is>
      </c>
      <c r="C15" s="61" t="inlineStr">
        <is>
          <t>99F收音机v005顶面偏前侧凸起状态灯</t>
        </is>
      </c>
      <c r="D15" s="61" t="inlineStr">
        <is>
          <t>道具 / decor_prop</t>
        </is>
      </c>
      <c r="E15" s="61" t="inlineStr">
        <is>
          <t>586面/1156三角；StatusLight替换为直径0.14m、12边低模顶面凸帽；off红、A/B同绿、离楼红待机；音乐与摆位规则不变</t>
        </is>
      </c>
      <c r="F15" s="61" t="inlineStr">
        <is>
          <t>源/优化/GLB/Prefab独立重导；Blender严格结构UV材质通过；Godot真实状态交互通过；正常俯视镜头量化证据已归档</t>
        </is>
      </c>
      <c r="G15" s="61" t="inlineStr">
        <is>
          <t>WorkBuddy</t>
        </is>
      </c>
    </row>
    <row r="16">
      <c r="A16" s="68" t="inlineStr">
        <is>
          <t>v0.1.10</t>
        </is>
      </c>
      <c r="B16" s="68" t="inlineStr">
        <is>
          <t>2026-10-07</t>
        </is>
      </c>
      <c r="C16" s="61" t="inlineStr">
        <is>
          <t>99F收音机v005顶面偏前侧凸起状态灯</t>
        </is>
      </c>
      <c r="D16" s="61" t="inlineStr">
        <is>
          <t>道具 / decor_prop</t>
        </is>
      </c>
      <c r="E16" s="61" t="inlineStr">
        <is>
          <t>586面/1156三角；StatusLight替换为直径0.14m、12边低模顶面凸帽；off红、A/B同绿、离楼红待机；音乐与摆位规则不变</t>
        </is>
      </c>
      <c r="F16" s="61" t="inlineStr">
        <is>
          <t>源/优化/GLB/Prefab独立重导；Blender严格结构UV材质通过；Godot真实状态交互通过；正常俯视镜头量化证据已归档</t>
        </is>
      </c>
      <c r="G16" s="61" t="inlineStr">
        <is>
          <t>WorkBuddy</t>
        </is>
      </c>
    </row>
    <row r="17">
      <c r="A17" s="68" t="inlineStr">
        <is>
          <t>v0.1.11</t>
        </is>
      </c>
      <c r="B17" s="68" t="inlineStr">
        <is>
          <t>2026-10-07</t>
        </is>
      </c>
      <c r="C17" s="61" t="inlineStr">
        <is>
          <t>99F收音机v005顶面偏前侧凸起状态灯</t>
        </is>
      </c>
      <c r="D17" s="61" t="inlineStr">
        <is>
          <t>道具 / decor_prop</t>
        </is>
      </c>
      <c r="E17" s="61" t="inlineStr">
        <is>
          <t>586面/1156三角；StatusLight替换为直径0.14m、12边低模顶面凸帽；off红、A/B同绿、离楼红待机；音乐与摆位规则不变</t>
        </is>
      </c>
      <c r="F17" s="61" t="inlineStr">
        <is>
          <t>源/优化/GLB/Prefab独立重导；Blender严格结构UV材质通过；Godot真实状态交互通过；正常俯视镜头量化证据已归档</t>
        </is>
      </c>
      <c r="G17" s="61" t="inlineStr">
        <is>
          <t>WorkBuddy</t>
        </is>
      </c>
    </row>
    <row r="18">
      <c r="A18" s="68" t="inlineStr">
        <is>
          <t>v0.1.12</t>
        </is>
      </c>
      <c r="B18" s="68" t="inlineStr">
        <is>
          <t>2026-10-07</t>
        </is>
      </c>
      <c r="C18" s="61" t="inlineStr">
        <is>
          <t>99F收音机v005顶面偏前侧凸起状态灯</t>
        </is>
      </c>
      <c r="D18" s="61" t="inlineStr">
        <is>
          <t>道具 / decor_prop</t>
        </is>
      </c>
      <c r="E18" s="61" t="inlineStr">
        <is>
          <t>600面/1200三角；StatusLight替换为直径0.16m、12边低模顶面凸帽；off红、A/B同绿、离楼红待机；近景红绿通过；正常玩家全阁楼远景可辨性未通过</t>
        </is>
      </c>
      <c r="F18" s="61" t="inlineStr">
        <is>
          <t>源/优化/GLB/Prefab独立重导；结构/UV/公共色盘导入契约通过；0.16m同镜头截图已归档；完整交互回归受范围外 CharacterMotionLibrary3D.gd:81 编译错误阻塞；full props存在13条非本次sha mismatch</t>
        </is>
      </c>
      <c r="G18" s="61" t="inlineStr">
        <is>
          <t>WorkBuddy</t>
        </is>
      </c>
    </row>
    <row r="19">
      <c r="A19" s="68" t="inlineStr">
        <is>
          <t>v0.1.13</t>
        </is>
      </c>
      <c r="B19" s="68" t="n">
        <v>46303</v>
      </c>
      <c r="C19" s="61" t="inlineStr">
        <is>
          <t>运行时补丁</t>
        </is>
      </c>
      <c r="D19" s="61" t="inlineStr">
        <is>
          <t>道具 · 资产主表</t>
        </is>
      </c>
      <c r="E19" s="61" t="inlineStr">
        <is>
          <t>PRP-BASE99-RADIO-3D runtime v005.1，模型v005不变；更新Prefab哈希与播放音符附件规格。</t>
        </is>
      </c>
      <c r="F19" s="61" t="inlineStr">
        <is>
          <t>稳定ID/路径不变；主体v005几何与灯帽不变；不改点击或玩法</t>
        </is>
      </c>
      <c r="G19" s="61" t="inlineStr">
        <is>
          <t>CodeBuddy</t>
        </is>
      </c>
    </row>
    <row r="20">
      <c r="A20" s="68" t="inlineStr">
        <is>
          <t>v0.1.14</t>
        </is>
      </c>
      <c r="B20" s="68" t="n">
        <v>46303</v>
      </c>
      <c r="C20" s="61" t="inlineStr">
        <is>
          <t>更新Prefab专表</t>
        </is>
      </c>
      <c r="D20" s="61" t="inlineStr">
        <is>
          <t>道具 · 3D-道具</t>
        </is>
      </c>
      <c r="E20" s="61" t="inlineStr">
        <is>
          <t>收音机runtime v005.1规格与Prefab哈希；源/优化/GLB/灯帽未改。专表独立事务。</t>
        </is>
      </c>
      <c r="F20" s="61" t="inlineStr">
        <is>
          <t>稳定ID/路径不变；主体v005几何与灯帽不变；不改点击或玩法</t>
        </is>
      </c>
      <c r="G20" s="61" t="inlineStr">
        <is>
          <t>CodeBuddy</t>
        </is>
      </c>
    </row>
    <row r="21" ht="64" customHeight="1" s="51">
      <c r="A21" s="68" t="inlineStr">
        <is>
          <t>v0.1.15</t>
        </is>
      </c>
      <c r="B21" s="68" t="inlineStr">
        <is>
          <t>2026-10-08</t>
        </is>
      </c>
      <c r="C21" s="61" t="inlineStr">
        <is>
          <t>三款无肩带背包：register</t>
        </is>
      </c>
      <c r="D21" s="61" t="inlineStr">
        <is>
          <t>道具 / equipment</t>
        </is>
      </c>
      <c r="E21" s="61" t="inlineStr">
        <is>
          <t>ITM-EQUIPMENT-BACKPACK-SMALL-3D,ITM-EQUIPMENT-BACKPACK-MEDIUM-3D,ITM-EQUIPMENT-BACKPACK-LARGE-3D</t>
        </is>
      </c>
      <c r="F21" s="61" t="inlineStr">
        <is>
          <t>仅授权背包；其他资产内容和指纹不变。</t>
        </is>
      </c>
      <c r="G21" s="61" t="inlineStr">
        <is>
          <t>WorkBuddy</t>
        </is>
      </c>
    </row>
    <row r="22" ht="64" customHeight="1" s="51">
      <c r="A22" s="68" t="inlineStr">
        <is>
          <t>v0.1.16</t>
        </is>
      </c>
      <c r="B22" s="68" t="inlineStr">
        <is>
          <t>2026-10-08</t>
        </is>
      </c>
      <c r="C22" s="61" t="inlineStr">
        <is>
          <t>三款无肩带背包：prefab</t>
        </is>
      </c>
      <c r="D22" s="61" t="inlineStr">
        <is>
          <t>道具 / equipment</t>
        </is>
      </c>
      <c r="E22" s="61" t="inlineStr">
        <is>
          <t>ITM-EQUIPMENT-BACKPACK-SMALL-3D,ITM-EQUIPMENT-BACKPACK-MEDIUM-3D,ITM-EQUIPMENT-BACKPACK-LARGE-3D</t>
        </is>
      </c>
      <c r="F22" s="61" t="inlineStr">
        <is>
          <t>仅授权背包；其他资产内容和指纹不变。</t>
        </is>
      </c>
      <c r="G22" s="61" t="inlineStr">
        <is>
          <t>WorkBuddy</t>
        </is>
      </c>
    </row>
    <row r="23">
      <c r="A23" s="68" t="inlineStr">
        <is>
          <t>v0.1.17</t>
        </is>
      </c>
      <c r="B23" s="103" t="n">
        <v>46304</v>
      </c>
      <c r="C23" s="61" t="inlineStr">
        <is>
          <t>99F收音机空间声音v001</t>
        </is>
      </c>
      <c r="D23" s="61" t="inlineStr">
        <is>
          <t>道具 / 场景可交互道具</t>
        </is>
      </c>
      <c r="E23" s="61" t="inlineStr">
        <is>
          <t>PRP-BASE99-RADIO-3D runtime v005.1 增加可量化3D空间声音契约：空间声音契约v001：唯一AudioStreamPlayer3D；Music总线；unit_size=18.0m；max_distance=78.0m；attenuation_model=inverse_square；99F正式边界Rect2(-50,-35,100,80)内source volume=0dB；边界外起始-18dB并按4dB/m继续衰减，最低-42dB；不复制播放；收音机离开99F停播/返回后手动开启，模型摆位、音符表现与音乐控制不变。</t>
        </is>
      </c>
      <c r="F23" s="61" t="inlineStr">
        <is>
          <t>仅更新资产主表第27行、3D-道具第8行、域变更日志和baseline；不改模型、摆位、音符表现、音乐控制或唯一AudioStreamPlayer3D结构。新sound test通过；原radio headless鼠标路径与music notes超时按原始日志单独记录。</t>
        </is>
      </c>
      <c r="G23" s="61" t="inlineStr">
        <is>
          <t>CodeBuddy</t>
        </is>
      </c>
    </row>
  </sheetData>
  <mergeCells count="2">
    <mergeCell ref="A3:G3"/>
    <mergeCell ref="A1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2026-09-18T02:30:02Z</dcterms:created>
  <dcterms:modified xmlns:dcterms="http://purl.org/dc/terms/" xmlns:xsi="http://www.w3.org/2001/XMLSchema-instance" xsi:type="dcterms:W3CDTF">2026-10-11T14:48:01Z</dcterms:modified>
  <cp:revision>0</cp:revision>
</cp:coreProperties>
</file>