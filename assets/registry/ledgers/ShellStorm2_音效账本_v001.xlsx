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ee1c34780e47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6d79c0ece0f4f2e"/>
    <x:sheet xmlns:r="http://schemas.openxmlformats.org/officeDocument/2006/relationships" name="账本说明" sheetId="2" r:id="Ra2fde5111ba14409"/>
    <x:sheet xmlns:r="http://schemas.openxmlformats.org/officeDocument/2006/relationships" name="资产主表" sheetId="3" r:id="R613f4ce670214325"/>
    <x:sheet xmlns:r="http://schemas.openxmlformats.org/officeDocument/2006/relationships" name="域变更日志" sheetId="4" r:id="Rfd5e05166c724b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yyyy-mm-dd h:mm:ss"/>
    <x:numFmt numFmtId="200" formatCode="General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164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wrapText="1"/>
    </x:xf>
    <x:xf numFmtId="164" fontId="23" fillId="24" borderId="6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b9ad682ad41bb" /><Relationship Type="http://schemas.openxmlformats.org/officeDocument/2006/relationships/theme" Target="/xl/theme/theme1.xml" Id="R0356fc48221341fe" /><Relationship Type="http://schemas.openxmlformats.org/officeDocument/2006/relationships/sharedStrings" Target="/xl/sharedStrings.xml" Id="R7eb251b8860d4b7c" /><Relationship Type="http://schemas.openxmlformats.org/officeDocument/2006/relationships/worksheet" Target="/xl/worksheets/sheet1.xml" Id="R06d79c0ece0f4f2e" /><Relationship Type="http://schemas.openxmlformats.org/officeDocument/2006/relationships/worksheet" Target="/xl/worksheets/sheet2.xml" Id="Ra2fde5111ba14409" /><Relationship Type="http://schemas.openxmlformats.org/officeDocument/2006/relationships/worksheet" Target="/xl/worksheets/sheet3.xml" Id="R613f4ce670214325" /><Relationship Type="http://schemas.openxmlformats.org/officeDocument/2006/relationships/worksheet" Target="/xl/worksheets/sheet4.xml" Id="Rfd5e05166c724b37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aa5f9e776c149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str">
        <x:v>SHELLSTORM 2 · 音效资产账本 v0.1</x:v>
      </x:c>
    </x:row>
    <x:row r="2" ht="12" customHeight="1"/>
    <x:row r="3" ht="23" customHeight="1">
      <x:c r="A3" s="318" t="str">
        <x:v>归属域=音效｜覆盖大类=音效｜AssetID 前缀=AUD｜主账本（总目录）=assets/registry/ShellStorm2_美术资产台账_v001.xlsx；本账本可独立并行编辑，跨域契约见主账本</x:v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域内专表 / 3D Prefab 分页</x:t>
        </x:is>
      </x:c>
      <x:c r="J5" s="320" t="n"/>
    </x:row>
    <x:row r="6" ht="42" customHeight="1">
      <x:c r="A6" s="321" t="n">
        <x:f>COUNTA('资产主表'!$A$6:$A$53)</x:f>
        <x:v>48</x:v>
      </x:c>
      <x:c r="B6" s="354" t="n"/>
      <x:c r="C6" s="321" t="n">
        <x:f>COUNTIF('资产主表'!$K$6:$K$53,"已完成")+COUNTIF('资产主表'!$K$6:$K$53,"原型已接入")+COUNTIF('资产主表'!$K$6:$K$53,"正式美术已接入")+COUNTIF('资产主表'!$K$6:$K$53,"已优化并正式接入")+COUNTIF('资产主表'!$K$6:$K$53,"Blender源已完成")+COUNTIF('资产主表'!$K$6:$K$53,"已导入；优化完成")</x:f>
        <x:v>36</x:v>
      </x:c>
      <x:c r="D6" s="354" t="n"/>
      <x:c r="E6" s="321" t="n">
        <x:f>COUNTIF('资产主表'!$K$6:$K$53,"待制作")+COUNTIF('资产主表'!$K$6:$K$53,"程序占位")</x:f>
        <x:v>12</x:v>
      </x:c>
      <x:c r="F6" s="354" t="n"/>
      <x:c r="G6" s="321" t="n">
        <x:f>COUNTIF('资产主表'!$S$6:$S$53,"重复")</x:f>
        <x:v>0</x:v>
      </x:c>
      <x:c r="H6" s="354" t="n"/>
      <x:c r="I6" s="320" t="str">
        <x:v>域内专表：无　|　3D Prefab 分页：无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3" t="inlineStr">
        <x:is>
          <x:t xml:space="preserve">资产数</x:t>
        </x:is>
      </x:c>
      <x:c r="C9" s="323" t="inlineStr">
        <x:is>
          <x:t xml:space="preserve">完成/接入</x:t>
        </x:is>
      </x:c>
      <x:c r="D9" s="323" t="n"/>
      <x:c r="E9" s="320" t="inlineStr">
        <x:is>
          <x:t xml:space="preserve">本账本只登记上列大类；跨域搬运资产须同步主账本《分类与编码》并重跑门禁</x:t>
        </x:is>
      </x:c>
      <x:c r="F9" s="125" t="n"/>
      <x:c r="G9" s="125" t="n"/>
      <x:c r="H9" s="125" t="n"/>
      <x:c r="I9" s="125" t="n"/>
      <x:c r="J9" s="126" t="n"/>
    </x:row>
    <x:row r="10" ht="22" customHeight="1">
      <x:c r="A10" s="301" t="str">
        <x:v>音效</x:v>
      </x:c>
      <x:c r="B10" s="301" t="n">
        <x:f>COUNTIF('资产主表'!$C$6:$C$53,A10)</x:f>
        <x:v>48</x:v>
      </x:c>
      <x:c r="C10" s="301" t="n">
        <x:f>SUMPRODUCT(('资产主表'!$C$6:$C$53=A10)*(('资产主表'!$K$6:$K$53="已完成")+('资产主表'!$K$6:$K$53="原型已接入")+('资产主表'!$K$6:$K$53="正式美术已接入")+('资产主表'!$K$6:$K$53="已优化并正式接入")+('资产主表'!$K$6:$K$53="Blender源已完成")+('资产主表'!$K$6:$K$53="已导入；优化完成")))</x:f>
        <x:v>36</x:v>
      </x:c>
      <x:c r="D10" s="301" t="n"/>
      <x:c r="E10" s="301" t="n"/>
      <x:c r="F10" s="301" t="n"/>
      <x:c r="G10" s="301" t="n"/>
      <x:c r="H10" s="301" t="n"/>
      <x:c r="I10" s="301" t="n"/>
      <x:c r="J10" s="301" t="n"/>
    </x:row>
    <x:row r="11" ht="22" customHeight="1">
      <x:c r="A11" s="301" t="str">
        <x:v>合计</x:v>
      </x:c>
      <x:c r="B11" s="301" t="n">
        <x:f>SUM(B10:B10)</x:f>
        <x:v>48</x:v>
      </x:c>
      <x:c r="C11" s="301" t="n">
        <x:f>SUM(C10:C10)</x:f>
        <x:v>36</x:v>
      </x:c>
      <x:c r="D11" s="301" t="n"/>
      <x:c r="E11" s="301" t="n"/>
      <x:c r="F11" s="301" t="n"/>
      <x:c r="G11" s="301" t="n"/>
      <x:c r="H11" s="301" t="n"/>
      <x:c r="I11" s="301" t="n"/>
      <x:c r="J11" s="301" t="n"/>
    </x:row>
    <x:row r="12">
      <x:c r="A12" s="323"/>
      <x:c r="B12" s="323"/>
      <x:c r="C12" s="323"/>
      <x:c r="D12" s="323" t="n"/>
      <x:c r="E12" s="323" t="n"/>
      <x:c r="F12" s="323" t="n"/>
      <x:c r="G12" s="323" t="n"/>
      <x:c r="H12" s="323" t="n"/>
      <x:c r="I12" s="323" t="n"/>
      <x:c r="J12" s="323" t="n"/>
    </x:row>
    <x:row r="13">
      <x:c r="A13" s="331" t="n"/>
      <x:c r="B13" s="331" t="n"/>
      <x:c r="C13" s="331" t="n"/>
      <x:c r="D13" s="354" t="n"/>
      <x:c r="E13" s="330" t="n"/>
      <x:c r="F13" s="331" t="n"/>
      <x:c r="G13" s="331" t="n"/>
      <x:c r="H13" s="354" t="n"/>
      <x:c r="I13" s="354" t="n"/>
      <x:c r="J13" s="354" t="n"/>
    </x:row>
    <x:row r="14">
      <x:c r="A14" s="331" t="n"/>
      <x:c r="B14" s="331" t="n"/>
      <x:c r="C14" s="331" t="n"/>
      <x:c r="D14" s="354" t="n"/>
      <x:c r="E14" s="330" t="n"/>
      <x:c r="F14" s="331" t="n"/>
      <x:c r="G14" s="331" t="n"/>
      <x:c r="H14" s="354" t="n"/>
      <x:c r="I14" s="354" t="n"/>
      <x:c r="J14" s="354" t="n"/>
    </x:row>
    <x:row r="15">
      <x:c r="A15" s="331" t="n"/>
      <x:c r="B15" s="331" t="n"/>
      <x:c r="C15" s="331" t="n"/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n"/>
      <x:c r="B16" s="331" t="n"/>
      <x:c r="C16" s="331" t="n"/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n"/>
      <x:c r="B17" s="331" t="n"/>
      <x:c r="C17" s="331" t="n"/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n"/>
      <x:c r="B18" s="331" t="n"/>
      <x:c r="C18" s="331" t="n"/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62" customWidth="1"/>
    <x:col min="3" max="3" width="34" customWidth="1"/>
    <x:col min="4" max="4" width="24" customWidth="1"/>
    <x:col min="5" max="5" width="24" customWidth="1"/>
    <x:col min="6" max="6" width="24" customWidth="1"/>
  </x:cols>
  <x:sheetData>
    <x:row r="1">
      <x:c r="A1" s="317" t="str">
        <x:v>本账本说明 · 音效</x:v>
      </x:c>
    </x:row>
    <x:row r="2"/>
    <x:row r="3">
      <x:c r="A3" s="318" t="inlineStr">
        <x:is>
          <x:t xml:space="preserve">本表是分账本自描述；机器可读真源为 assets/registry/ledger_index.json，二者不一致时以 JSON 为准</x:t>
        </x:is>
      </x:c>
    </x:row>
    <x:row r="5">
      <x:c r="A5" s="298" t="inlineStr">
        <x:is>
          <x:t xml:space="preserve">项</x:t>
        </x:is>
      </x:c>
      <x:c r="B5" s="298" t="inlineStr">
        <x:is>
          <x:t xml:space="preserve">值</x:t>
        </x:is>
      </x:c>
      <x:c r="C5" s="298" t="n"/>
      <x:c r="D5" s="298" t="n"/>
      <x:c r="E5" s="298" t="n"/>
      <x:c r="F5" s="298" t="n"/>
    </x:row>
    <x:row r="6" ht="30" customHeight="1">
      <x:c r="A6" s="301" t="inlineStr">
        <x:is>
          <x:t xml:space="preserve">账本归属域</x:t>
        </x:is>
      </x:c>
      <x:c r="B6" s="301" t="str">
        <x:v>音效</x:v>
      </x:c>
      <x:c r="C6" s="301" t="n"/>
      <x:c r="D6" s="301" t="n"/>
      <x:c r="E6" s="301" t="n"/>
      <x:c r="F6" s="301" t="n"/>
    </x:row>
    <x:row r="7" ht="30" customHeight="1">
      <x:c r="A7" s="301" t="inlineStr">
        <x:is>
          <x:t xml:space="preserve">分账本文件</x:t>
        </x:is>
      </x:c>
      <x:c r="B7" s="301" t="str">
        <x:v>assets/registry/ledgers/ShellStorm2_音效账本_v001.xlsx</x:v>
      </x:c>
      <x:c r="C7" s="301" t="n"/>
      <x:c r="D7" s="301" t="n"/>
      <x:c r="E7" s="301" t="n"/>
      <x:c r="F7" s="301" t="n"/>
    </x:row>
    <x:row r="8" ht="30" customHeight="1">
      <x:c r="A8" s="301" t="inlineStr">
        <x:is>
          <x:t xml:space="preserve">覆盖大类</x:t>
        </x:is>
      </x:c>
      <x:c r="B8" s="301" t="str">
        <x:v>音效</x:v>
      </x:c>
      <x:c r="C8" s="301" t="n"/>
      <x:c r="D8" s="301" t="n"/>
      <x:c r="E8" s="301" t="n"/>
      <x:c r="F8" s="301" t="n"/>
    </x:row>
    <x:row r="9" ht="30" customHeight="1">
      <x:c r="A9" s="301" t="inlineStr">
        <x:is>
          <x:t xml:space="preserve">AssetID 前缀</x:t>
        </x:is>
      </x:c>
      <x:c r="B9" s="301" t="str">
        <x:v>AUD</x:v>
      </x:c>
      <x:c r="C9" s="301" t="n"/>
      <x:c r="D9" s="301" t="n"/>
      <x:c r="E9" s="301" t="n"/>
      <x:c r="F9" s="301" t="n"/>
    </x:row>
    <x:row r="10" ht="30" customHeight="1">
      <x:c r="A10" s="301" t="inlineStr">
        <x:is>
          <x:t xml:space="preserve">域内专表</x:t>
        </x:is>
      </x:c>
      <x:c r="B10" s="301" t="inlineStr">
        <x:is>
          <x:t xml:space="preserve">无</x:t>
        </x:is>
      </x:c>
      <x:c r="C10" s="301" t="n"/>
      <x:c r="D10" s="301" t="n"/>
      <x:c r="E10" s="301" t="n"/>
      <x:c r="F10" s="301" t="n"/>
    </x:row>
    <x:row r="11" ht="30" customHeight="1">
      <x:c r="A11" s="301" t="inlineStr">
        <x:is>
          <x:t xml:space="preserve">3D Prefab 分页</x:t>
        </x:is>
      </x:c>
      <x:c r="B11" s="301" t="inlineStr">
        <x:is>
          <x:t xml:space="preserve">无</x:t>
        </x:is>
      </x:c>
      <x:c r="C11" s="301" t="n"/>
      <x:c r="D11" s="301" t="n"/>
      <x:c r="E11" s="301" t="n"/>
      <x:c r="F11" s="301" t="n"/>
    </x:row>
    <x:row r="12" ht="30" customHeight="1">
      <x:c r="A12" s="301" t="inlineStr">
        <x:is>
          <x:t xml:space="preserve">动画登记表</x:t>
        </x:is>
      </x:c>
      <x:c r="B12" s="301" t="inlineStr">
        <x:is>
          <x:t xml:space="preserve">无</x:t>
        </x:is>
      </x:c>
      <x:c r="C12" s="301" t="n"/>
      <x:c r="D12" s="301" t="n"/>
      <x:c r="E12" s="301" t="n"/>
      <x:c r="F12" s="301" t="n"/>
    </x:row>
    <x:row r="13" ht="30" customHeight="1">
      <x:c r="A13" s="301" t="inlineStr">
        <x:is>
          <x:t xml:space="preserve">主账本（总目录）</x:t>
        </x:is>
      </x:c>
      <x:c r="B13" s="301" t="inlineStr">
        <x:is>
          <x:t xml:space="preserve">assets/registry/ShellStorm2_美术资产台账_v001.xlsx</x:t>
        </x:is>
      </x:c>
      <x:c r="C13" s="301" t="n"/>
      <x:c r="D13" s="301" t="n"/>
      <x:c r="E13" s="301" t="n"/>
      <x:c r="F13" s="301" t="n"/>
    </x:row>
    <x:row r="14" ht="30" customHeight="1">
      <x:c r="A14" s="301" t="inlineStr">
        <x:is>
          <x:t xml:space="preserve">跨域契约</x:t>
        </x:is>
      </x:c>
      <x:c r="B14" s="301" t="inlineStr">
        <x:is>
          <x:t xml:space="preserve">分类与编码 / 命名与查重 / 版本记录 / Skill 清单 / 3D Prefab 总控 —— 全部只在主账本维护</x:t>
        </x:is>
      </x:c>
      <x:c r="C14" s="301" t="n"/>
      <x:c r="D14" s="301" t="n"/>
      <x:c r="E14" s="301" t="n"/>
      <x:c r="F14" s="301" t="n"/>
    </x:row>
    <x:row r="15" ht="30" customHeight="1">
      <x:c r="A15" s="301" t="inlineStr">
        <x:is>
          <x:t xml:space="preserve">首选制作 Skill</x:t>
        </x:is>
      </x:c>
      <x:c r="B15" s="301" t="str">
        <x:v>audio-sfx-asset-pipeline</x:v>
      </x:c>
      <x:c r="C15" s="301" t="n"/>
      <x:c r="D15" s="301" t="n"/>
      <x:c r="E15" s="301" t="n"/>
      <x:c r="F15" s="301" t="n"/>
    </x:row>
    <x:row r="16" ht="30" customHeight="1">
      <x:c r="A16" s="301" t="inlineStr">
        <x:is>
          <x:t xml:space="preserve">协作 Skill</x:t>
        </x:is>
      </x:c>
      <x:c r="B16" s="301" t="inlineStr">
        <x:is>
          <x:t xml:space="preserve">无</x:t>
        </x:is>
      </x:c>
      <x:c r="C16" s="301" t="n"/>
      <x:c r="D16" s="301" t="n"/>
      <x:c r="E16" s="301" t="n"/>
      <x:c r="F16" s="301" t="n"/>
    </x:row>
    <x:row r="17" ht="30" customHeight="1">
      <x:c r="A17" s="301" t="inlineStr">
        <x:is>
          <x:t xml:space="preserve">负责人</x:t>
        </x:is>
      </x:c>
      <x:c r="B17" s="301" t="inlineStr">
        <x:is>
          <x:t xml:space="preserve">待分配</x:t>
        </x:is>
      </x:c>
      <x:c r="C17" s="301" t="n"/>
      <x:c r="D17" s="301" t="n"/>
      <x:c r="E17" s="301" t="n"/>
      <x:c r="F17" s="301" t="n"/>
    </x:row>
    <x:row r="18" ht="30" customHeight="1">
      <x:c r="A18" s="301" t="inlineStr">
        <x:is>
          <x:t xml:space="preserve">登记范围</x:t>
        </x:is>
      </x:c>
      <x:c r="B18" s="301" t="str">
        <x:v>武器、近战、受击、UI、门、容器、波次、Boss 与交互短时音效；事件键由 AudioManager 持有，运行资产为 OGG。</x:v>
      </x:c>
      <x:c r="C18" s="301" t="n"/>
      <x:c r="D18" s="301" t="n"/>
      <x:c r="E18" s="301" t="n"/>
      <x:c r="F18" s="301" t="n"/>
    </x:row>
    <x:row r="19" ht="30" customHeight="1">
      <x:c r="A19" s="301" t="inlineStr">
        <x:is>
          <x:t xml:space="preserve">编辑边界</x:t>
        </x:is>
      </x:c>
      <x:c r="B19" s="301" t="inlineStr">
        <x:is>
          <x:t xml:space="preserve">只在本账本内增删改资产行。把资产从一个域搬到另一个域，属于跨域变更：必须同时改主账本《分类与编码》与 ledger_index.json，并重跑门禁。</x:t>
        </x:is>
      </x:c>
      <x:c r="C19" s="301" t="n"/>
      <x:c r="D19" s="301" t="n"/>
      <x:c r="E19" s="301" t="n"/>
      <x:c r="F19" s="301" t="n"/>
    </x:row>
    <x:row r="20" ht="30" customHeight="1">
      <x:c r="A20" s="301" t="inlineStr">
        <x:is>
          <x:t xml:space="preserve">登记口径</x:t>
        </x:is>
      </x:c>
      <x:c r="B20" s="301" t="inlineStr">
        <x:is>
          <x:t xml:space="preserve">资产条目以《资产主表》一行为准；一行只能有一个大类，且必须落在本账本声明的大类内。Prefab 详情按分页登记到对应的 3D-* 表，一行 = 一个实际存在的 Godot PackedScene。</x:t>
        </x:is>
      </x:c>
      <x:c r="C20" s="301" t="n"/>
      <x:c r="D20" s="301" t="n"/>
      <x:c r="E20" s="301" t="n"/>
      <x:c r="F20" s="301" t="n"/>
    </x:row>
    <x:row r="21" ht="30" customHeight="1">
      <x:c r="A21" s="301" t="inlineStr">
        <x:is>
          <x:t xml:space="preserve">门禁</x:t>
        </x:is>
      </x:c>
      <x:c r="B21" s="301" t="str">
        <x:v>python3 scripts/check_media_asset_domains.py；python3 scripts/check_asset_registry.py --scope structure</x:v>
      </x:c>
      <x:c r="C21" s="301" t="n"/>
      <x:c r="D21" s="301" t="n"/>
      <x:c r="E21" s="301" t="n"/>
      <x:c r="F21" s="301" t="n"/>
    </x:row>
    <x:row r="22" ht="30" customHeight="1">
      <x:c r="A22" s="301" t="inlineStr">
        <x:is>
          <x:t xml:space="preserve">无损基线</x:t>
        </x:is>
      </x:c>
      <x:c r="B22" s="301" t="str">
        <x:v>assets/registry/ledger_split_baseline.json + assets/registry/media_domain_split_manifest.json；门禁断言 AssetID/路径/哈希/状态不丢失</x:v>
      </x:c>
      <x:c r="C22" s="301" t="n"/>
      <x:c r="D22" s="301" t="n"/>
      <x:c r="E22" s="301" t="n"/>
      <x:c r="F22" s="301" t="n"/>
    </x:row>
    <x:row r="23" ht="30" customHeight="1">
      <x:c r="A23" s="301" t="inlineStr">
        <x:is>
          <x:t xml:space="preserve">快照日期</x:t>
        </x:is>
      </x:c>
      <x:c r="B23" s="301" t="str">
        <x:v>2026-09-23</x:v>
      </x:c>
      <x:c r="C23" s="301" t="n"/>
      <x:c r="D23" s="301" t="n"/>
      <x:c r="E23" s="301" t="n"/>
      <x:c r="F23" s="301" t="n"/>
    </x:row>
  </x:sheetData>
  <x:mergeCells>
    <x:mergeCell ref="A3:F3"/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92" t="n"/>
      <x:c r="B4" s="392" t="n"/>
      <x:c r="C4" s="392" t="n"/>
      <x:c r="D4" s="392" t="n"/>
      <x:c r="E4" s="392" t="n"/>
      <x:c r="F4" s="392" t="n"/>
      <x:c r="G4" s="392" t="n"/>
      <x:c r="H4" s="392" t="n"/>
      <x:c r="I4" s="392" t="n"/>
      <x:c r="J4" s="392" t="n"/>
      <x:c r="K4" s="392" t="n"/>
      <x:c r="L4" s="392" t="n"/>
      <x:c r="M4" s="392" t="n"/>
      <x:c r="N4" s="392" t="n"/>
      <x:c r="O4" s="392" t="n"/>
      <x:c r="P4" s="392" t="n"/>
      <x:c r="Q4" s="392" t="n"/>
      <x:c r="R4" s="392" t="n"/>
      <x:c r="S4" s="392" t="n"/>
      <x:c r="T4" s="392" t="n"/>
      <x:c r="U4" s="392" t="n"/>
      <x:c r="V4" s="392" t="n"/>
      <x:c r="W4" s="392" t="n"/>
      <x:c r="Y4" s="392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4" t="str">
        <x:v>AUD-PISTOL-FIRE</x:v>
      </x:c>
      <x:c r="B6" s="304" t="str">
        <x:v>手枪射击</x:v>
      </x:c>
      <x:c r="C6" s="304" t="str">
        <x:v>音效</x:v>
      </x:c>
      <x:c r="D6" s="304" t="str">
        <x:v>sfx</x:v>
      </x:c>
      <x:c r="E6" s="304" t="str">
        <x:v>pistol_fire</x:v>
      </x:c>
      <x:c r="F6" s="304" t="str">
        <x:v>root</x:v>
      </x:c>
      <x:c r="G6" s="304"/>
      <x:c r="H6" s="304" t="str">
        <x:v>不适用</x:v>
      </x:c>
      <x:c r="I6" s="304" t="str">
        <x:v>default</x:v>
      </x:c>
      <x:c r="J6" s="304" t="str">
        <x:v>按事件复用</x:v>
      </x:c>
      <x:c r="K6" s="304" t="str">
        <x:v>待制作</x:v>
      </x:c>
      <x:c r="L6" s="304" t="str">
        <x:v>P2</x:v>
      </x:c>
      <x:c r="M6" s="304" t="str">
        <x:v>v001</x:v>
      </x:c>
      <x:c r="N6" s="304" t="str">
        <x:v>0.1–2.0s WAV/OGG</x:v>
      </x:c>
      <x:c r="O6" s="304"/>
      <x:c r="P6" s="304" t="str">
        <x:v>src/core/AudioManager.gd</x:v>
      </x:c>
      <x:c r="Q6" s="304"/>
      <x:c r="R6" s="304" t="str">
        <x:f>LOWER(TRIM(C6)&amp;"|"&amp;TRIM(D6)&amp;"|"&amp;TRIM(E6)&amp;"|"&amp;TRIM(F6)&amp;"|"&amp;TRIM(H6)&amp;"|"&amp;TRIM(I6))</x:f>
        <x:v>音效|sfx|pistol_fire|root|不适用|default</x:v>
      </x:c>
      <x:c r="S6" s="304" t="str">
        <x:f>IF(COUNTIF($R$6:$R$53,R6)&gt;1,"重复","唯一")</x:f>
        <x:v>唯一</x:v>
      </x:c>
      <x:c r="T6" s="304"/>
      <x:c r="U6" s="304" t="str">
        <x:v>待分配</x:v>
      </x:c>
      <x:c r="V6" s="394" t="n">
        <x:v>46224</x:v>
      </x:c>
      <x:c r="W6" s="304" t="str">
        <x:v>原创/待确认</x:v>
      </x:c>
      <x:c r="X6" s="375" t="str">
        <x:v>—</x:v>
      </x:c>
      <x:c r="Y6" s="304"/>
    </x:row>
    <x:row r="7">
      <x:c r="A7" s="138" t="str">
        <x:v>AUD-RIFLE-FIRE</x:v>
      </x:c>
      <x:c r="B7" s="138" t="str">
        <x:v>步枪射击</x:v>
      </x:c>
      <x:c r="C7" s="138" t="str">
        <x:v>音效</x:v>
      </x:c>
      <x:c r="D7" s="138" t="str">
        <x:v>sfx</x:v>
      </x:c>
      <x:c r="E7" s="138" t="str">
        <x:v>rifle_fire</x:v>
      </x:c>
      <x:c r="F7" s="138" t="str">
        <x:v>root</x:v>
      </x:c>
      <x:c r="G7" s="138"/>
      <x:c r="H7" s="138" t="str">
        <x:v>不适用</x:v>
      </x:c>
      <x:c r="I7" s="138" t="str">
        <x:v>default</x:v>
      </x:c>
      <x:c r="J7" s="138" t="str">
        <x:v>按事件复用</x:v>
      </x:c>
      <x:c r="K7" s="138" t="str">
        <x:v>待制作</x:v>
      </x:c>
      <x:c r="L7" s="138" t="str">
        <x:v>P2</x:v>
      </x:c>
      <x:c r="M7" s="138" t="str">
        <x:v>v001</x:v>
      </x:c>
      <x:c r="N7" s="138" t="str">
        <x:v>0.1–2.0s WAV/OGG</x:v>
      </x:c>
      <x:c r="O7" s="138"/>
      <x:c r="P7" s="138" t="str">
        <x:v>src/core/AudioManager.gd</x:v>
      </x:c>
      <x:c r="Q7" s="138"/>
      <x:c r="R7" s="138" t="str">
        <x:f>LOWER(TRIM(C7)&amp;"|"&amp;TRIM(D7)&amp;"|"&amp;TRIM(E7)&amp;"|"&amp;TRIM(F7)&amp;"|"&amp;TRIM(H7)&amp;"|"&amp;TRIM(I7))</x:f>
        <x:v>音效|sfx|rifle_fire|root|不适用|default</x:v>
      </x:c>
      <x:c r="S7" s="138" t="str">
        <x:f>IF(COUNTIF($R$6:$R$53,R7)&gt;1,"重复","唯一")</x:f>
        <x:v>唯一</x:v>
      </x:c>
      <x:c r="T7" s="138"/>
      <x:c r="U7" s="138" t="str">
        <x:v>待分配</x:v>
      </x:c>
      <x:c r="V7" s="395" t="n">
        <x:v>46224</x:v>
      </x:c>
      <x:c r="W7" s="138" t="str">
        <x:v>原创/待确认</x:v>
      </x:c>
      <x:c r="X7" s="375" t="str">
        <x:v>—</x:v>
      </x:c>
      <x:c r="Y7" s="138"/>
    </x:row>
    <x:row r="8">
      <x:c r="A8" s="138" t="str">
        <x:v>AUD-SHOTGUN-FIRE</x:v>
      </x:c>
      <x:c r="B8" s="138" t="str">
        <x:v>霰弹枪射击</x:v>
      </x:c>
      <x:c r="C8" s="138" t="str">
        <x:v>音效</x:v>
      </x:c>
      <x:c r="D8" s="138" t="str">
        <x:v>sfx</x:v>
      </x:c>
      <x:c r="E8" s="138" t="str">
        <x:v>shotgun_fire</x:v>
      </x:c>
      <x:c r="F8" s="138" t="str">
        <x:v>root</x:v>
      </x:c>
      <x:c r="G8" s="138"/>
      <x:c r="H8" s="138" t="str">
        <x:v>不适用</x:v>
      </x:c>
      <x:c r="I8" s="138" t="str">
        <x:v>default</x:v>
      </x:c>
      <x:c r="J8" s="138" t="str">
        <x:v>按事件复用</x:v>
      </x:c>
      <x:c r="K8" s="138" t="str">
        <x:v>待制作</x:v>
      </x:c>
      <x:c r="L8" s="138" t="str">
        <x:v>P2</x:v>
      </x:c>
      <x:c r="M8" s="138" t="str">
        <x:v>v001</x:v>
      </x:c>
      <x:c r="N8" s="138" t="str">
        <x:v>0.1–2.0s WAV/OGG</x:v>
      </x:c>
      <x:c r="O8" s="138"/>
      <x:c r="P8" s="138" t="str">
        <x:v>src/core/AudioManager.gd</x:v>
      </x:c>
      <x:c r="Q8" s="138"/>
      <x:c r="R8" s="138" t="str">
        <x:f>LOWER(TRIM(C8)&amp;"|"&amp;TRIM(D8)&amp;"|"&amp;TRIM(E8)&amp;"|"&amp;TRIM(F8)&amp;"|"&amp;TRIM(H8)&amp;"|"&amp;TRIM(I8))</x:f>
        <x:v>音效|sfx|shotgun_fire|root|不适用|default</x:v>
      </x:c>
      <x:c r="S8" s="138" t="str">
        <x:f>IF(COUNTIF($R$6:$R$53,R8)&gt;1,"重复","唯一")</x:f>
        <x:v>唯一</x:v>
      </x:c>
      <x:c r="T8" s="138"/>
      <x:c r="U8" s="138" t="str">
        <x:v>待分配</x:v>
      </x:c>
      <x:c r="V8" s="395" t="n">
        <x:v>46224</x:v>
      </x:c>
      <x:c r="W8" s="138" t="str">
        <x:v>原创/待确认</x:v>
      </x:c>
      <x:c r="X8" s="375" t="str">
        <x:v>—</x:v>
      </x:c>
      <x:c r="Y8" s="138"/>
    </x:row>
    <x:row r="9">
      <x:c r="A9" s="138" t="str">
        <x:v>AUD-SMG-FIRE</x:v>
      </x:c>
      <x:c r="B9" s="138" t="str">
        <x:v>机枪射击</x:v>
      </x:c>
      <x:c r="C9" s="138" t="str">
        <x:v>音效</x:v>
      </x:c>
      <x:c r="D9" s="138" t="str">
        <x:v>sfx</x:v>
      </x:c>
      <x:c r="E9" s="138" t="str">
        <x:v>smg_fire</x:v>
      </x:c>
      <x:c r="F9" s="138" t="str">
        <x:v>root</x:v>
      </x:c>
      <x:c r="G9" s="138"/>
      <x:c r="H9" s="138" t="str">
        <x:v>不适用</x:v>
      </x:c>
      <x:c r="I9" s="138" t="str">
        <x:v>default</x:v>
      </x:c>
      <x:c r="J9" s="138" t="str">
        <x:v>按事件复用</x:v>
      </x:c>
      <x:c r="K9" s="138" t="str">
        <x:v>待制作</x:v>
      </x:c>
      <x:c r="L9" s="138" t="str">
        <x:v>P2</x:v>
      </x:c>
      <x:c r="M9" s="138" t="str">
        <x:v>v001</x:v>
      </x:c>
      <x:c r="N9" s="138" t="str">
        <x:v>0.1–2.0s WAV/OGG</x:v>
      </x:c>
      <x:c r="O9" s="138"/>
      <x:c r="P9" s="138" t="str">
        <x:v>src/core/AudioManager.gd</x:v>
      </x:c>
      <x:c r="Q9" s="138"/>
      <x:c r="R9" s="138" t="str">
        <x:f>LOWER(TRIM(C9)&amp;"|"&amp;TRIM(D9)&amp;"|"&amp;TRIM(E9)&amp;"|"&amp;TRIM(F9)&amp;"|"&amp;TRIM(H9)&amp;"|"&amp;TRIM(I9))</x:f>
        <x:v>音效|sfx|smg_fire|root|不适用|default</x:v>
      </x:c>
      <x:c r="S9" s="138" t="str">
        <x:f>IF(COUNTIF($R$6:$R$53,R9)&gt;1,"重复","唯一")</x:f>
        <x:v>唯一</x:v>
      </x:c>
      <x:c r="T9" s="138"/>
      <x:c r="U9" s="138" t="str">
        <x:v>待分配</x:v>
      </x:c>
      <x:c r="V9" s="395" t="n">
        <x:v>46224</x:v>
      </x:c>
      <x:c r="W9" s="138" t="str">
        <x:v>原创/待确认</x:v>
      </x:c>
      <x:c r="X9" s="375" t="str">
        <x:v>—</x:v>
      </x:c>
      <x:c r="Y9" s="138"/>
    </x:row>
    <x:row r="10">
      <x:c r="A10" s="138" t="str">
        <x:v>AUD-SNIPER-FIRE</x:v>
      </x:c>
      <x:c r="B10" s="138" t="str">
        <x:v>狙击射击</x:v>
      </x:c>
      <x:c r="C10" s="138" t="str">
        <x:v>音效</x:v>
      </x:c>
      <x:c r="D10" s="138" t="str">
        <x:v>sfx</x:v>
      </x:c>
      <x:c r="E10" s="138" t="str">
        <x:v>sniper_fire</x:v>
      </x:c>
      <x:c r="F10" s="138" t="str">
        <x:v>root</x:v>
      </x:c>
      <x:c r="G10" s="138"/>
      <x:c r="H10" s="138" t="str">
        <x:v>不适用</x:v>
      </x:c>
      <x:c r="I10" s="138" t="str">
        <x:v>default</x:v>
      </x:c>
      <x:c r="J10" s="138" t="str">
        <x:v>按事件复用</x:v>
      </x:c>
      <x:c r="K10" s="138" t="str">
        <x:v>待制作</x:v>
      </x:c>
      <x:c r="L10" s="138" t="str">
        <x:v>P2</x:v>
      </x:c>
      <x:c r="M10" s="138" t="str">
        <x:v>v001</x:v>
      </x:c>
      <x:c r="N10" s="138" t="str">
        <x:v>0.1–2.0s WAV/OGG</x:v>
      </x:c>
      <x:c r="O10" s="138"/>
      <x:c r="P10" s="138" t="str">
        <x:v>src/core/AudioManager.gd</x:v>
      </x:c>
      <x:c r="Q10" s="138"/>
      <x:c r="R10" s="138" t="str">
        <x:f>LOWER(TRIM(C10)&amp;"|"&amp;TRIM(D10)&amp;"|"&amp;TRIM(E10)&amp;"|"&amp;TRIM(F10)&amp;"|"&amp;TRIM(H10)&amp;"|"&amp;TRIM(I10))</x:f>
        <x:v>音效|sfx|sniper_fire|root|不适用|default</x:v>
      </x:c>
      <x:c r="S10" s="138" t="str">
        <x:f>IF(COUNTIF($R$6:$R$53,R10)&gt;1,"重复","唯一")</x:f>
        <x:v>唯一</x:v>
      </x:c>
      <x:c r="T10" s="138"/>
      <x:c r="U10" s="138" t="str">
        <x:v>待分配</x:v>
      </x:c>
      <x:c r="V10" s="395" t="n">
        <x:v>46224</x:v>
      </x:c>
      <x:c r="W10" s="138" t="str">
        <x:v>原创/待确认</x:v>
      </x:c>
      <x:c r="X10" s="375" t="str">
        <x:v>—</x:v>
      </x:c>
      <x:c r="Y10" s="138"/>
    </x:row>
    <x:row r="11">
      <x:c r="A11" s="138" t="str">
        <x:v>AUD-PLAYER-HIT</x:v>
      </x:c>
      <x:c r="B11" s="138" t="str">
        <x:v>玩家受击</x:v>
      </x:c>
      <x:c r="C11" s="138" t="str">
        <x:v>音效</x:v>
      </x:c>
      <x:c r="D11" s="138" t="str">
        <x:v>sfx</x:v>
      </x:c>
      <x:c r="E11" s="138" t="str">
        <x:v>player_hit</x:v>
      </x:c>
      <x:c r="F11" s="138" t="str">
        <x:v>root</x:v>
      </x:c>
      <x:c r="G11" s="138"/>
      <x:c r="H11" s="138" t="str">
        <x:v>不适用</x:v>
      </x:c>
      <x:c r="I11" s="138" t="str">
        <x:v>default</x:v>
      </x:c>
      <x:c r="J11" s="138" t="str">
        <x:v>按事件复用</x:v>
      </x:c>
      <x:c r="K11" s="138" t="str">
        <x:v>待制作</x:v>
      </x:c>
      <x:c r="L11" s="138" t="str">
        <x:v>P2</x:v>
      </x:c>
      <x:c r="M11" s="138" t="str">
        <x:v>v001</x:v>
      </x:c>
      <x:c r="N11" s="138" t="str">
        <x:v>0.1–2.0s WAV/OGG</x:v>
      </x:c>
      <x:c r="O11" s="138"/>
      <x:c r="P11" s="138" t="str">
        <x:v>src/core/AudioManager.gd</x:v>
      </x:c>
      <x:c r="Q11" s="138"/>
      <x:c r="R11" s="138" t="str">
        <x:f>LOWER(TRIM(C11)&amp;"|"&amp;TRIM(D11)&amp;"|"&amp;TRIM(E11)&amp;"|"&amp;TRIM(F11)&amp;"|"&amp;TRIM(H11)&amp;"|"&amp;TRIM(I11))</x:f>
        <x:v>音效|sfx|player_hit|root|不适用|default</x:v>
      </x:c>
      <x:c r="S11" s="138" t="str">
        <x:f>IF(COUNTIF($R$6:$R$53,R11)&gt;1,"重复","唯一")</x:f>
        <x:v>唯一</x:v>
      </x:c>
      <x:c r="T11" s="138"/>
      <x:c r="U11" s="138" t="str">
        <x:v>待分配</x:v>
      </x:c>
      <x:c r="V11" s="395" t="n">
        <x:v>46224</x:v>
      </x:c>
      <x:c r="W11" s="138" t="str">
        <x:v>原创/待确认</x:v>
      </x:c>
      <x:c r="X11" s="375" t="str">
        <x:v>—</x:v>
      </x:c>
      <x:c r="Y11" s="138"/>
    </x:row>
    <x:row r="12">
      <x:c r="A12" s="138" t="str">
        <x:v>AUD-PLAYER-DASH</x:v>
      </x:c>
      <x:c r="B12" s="138" t="str">
        <x:v>玩家冲刺</x:v>
      </x:c>
      <x:c r="C12" s="138" t="str">
        <x:v>音效</x:v>
      </x:c>
      <x:c r="D12" s="138" t="str">
        <x:v>sfx</x:v>
      </x:c>
      <x:c r="E12" s="138" t="str">
        <x:v>player_dash</x:v>
      </x:c>
      <x:c r="F12" s="138" t="str">
        <x:v>root</x:v>
      </x:c>
      <x:c r="G12" s="138"/>
      <x:c r="H12" s="138" t="str">
        <x:v>不适用</x:v>
      </x:c>
      <x:c r="I12" s="138" t="str">
        <x:v>default</x:v>
      </x:c>
      <x:c r="J12" s="138" t="str">
        <x:v>按事件复用</x:v>
      </x:c>
      <x:c r="K12" s="138" t="str">
        <x:v>待制作</x:v>
      </x:c>
      <x:c r="L12" s="138" t="str">
        <x:v>P2</x:v>
      </x:c>
      <x:c r="M12" s="138" t="str">
        <x:v>v001</x:v>
      </x:c>
      <x:c r="N12" s="138" t="str">
        <x:v>0.1–2.0s WAV/OGG</x:v>
      </x:c>
      <x:c r="O12" s="138"/>
      <x:c r="P12" s="138" t="str">
        <x:v>src/core/AudioManager.gd</x:v>
      </x:c>
      <x:c r="Q12" s="138"/>
      <x:c r="R12" s="138" t="str">
        <x:f>LOWER(TRIM(C12)&amp;"|"&amp;TRIM(D12)&amp;"|"&amp;TRIM(E12)&amp;"|"&amp;TRIM(F12)&amp;"|"&amp;TRIM(H12)&amp;"|"&amp;TRIM(I12))</x:f>
        <x:v>音效|sfx|player_dash|root|不适用|default</x:v>
      </x:c>
      <x:c r="S12" s="138" t="str">
        <x:f>IF(COUNTIF($R$6:$R$53,R12)&gt;1,"重复","唯一")</x:f>
        <x:v>唯一</x:v>
      </x:c>
      <x:c r="T12" s="138"/>
      <x:c r="U12" s="138" t="str">
        <x:v>待分配</x:v>
      </x:c>
      <x:c r="V12" s="395" t="n">
        <x:v>46224</x:v>
      </x:c>
      <x:c r="W12" s="138" t="str">
        <x:v>原创/待确认</x:v>
      </x:c>
      <x:c r="X12" s="375" t="str">
        <x:v>—</x:v>
      </x:c>
      <x:c r="Y12" s="138"/>
    </x:row>
    <x:row r="13">
      <x:c r="A13" s="138" t="str">
        <x:v>AUD-ENEMY-HIT</x:v>
      </x:c>
      <x:c r="B13" s="138" t="str">
        <x:v>敌人受击</x:v>
      </x:c>
      <x:c r="C13" s="138" t="str">
        <x:v>音效</x:v>
      </x:c>
      <x:c r="D13" s="138" t="str">
        <x:v>sfx</x:v>
      </x:c>
      <x:c r="E13" s="138" t="str">
        <x:v>enemy_hit</x:v>
      </x:c>
      <x:c r="F13" s="138" t="str">
        <x:v>root</x:v>
      </x:c>
      <x:c r="G13" s="138"/>
      <x:c r="H13" s="138" t="str">
        <x:v>不适用</x:v>
      </x:c>
      <x:c r="I13" s="138" t="str">
        <x:v>default</x:v>
      </x:c>
      <x:c r="J13" s="138" t="str">
        <x:v>按事件复用</x:v>
      </x:c>
      <x:c r="K13" s="138" t="str">
        <x:v>待制作</x:v>
      </x:c>
      <x:c r="L13" s="138" t="str">
        <x:v>P2</x:v>
      </x:c>
      <x:c r="M13" s="138" t="str">
        <x:v>v001</x:v>
      </x:c>
      <x:c r="N13" s="138" t="str">
        <x:v>0.1–2.0s WAV/OGG</x:v>
      </x:c>
      <x:c r="O13" s="138"/>
      <x:c r="P13" s="138" t="str">
        <x:v>src/core/AudioManager.gd</x:v>
      </x:c>
      <x:c r="Q13" s="138"/>
      <x:c r="R13" s="138" t="str">
        <x:f>LOWER(TRIM(C13)&amp;"|"&amp;TRIM(D13)&amp;"|"&amp;TRIM(E13)&amp;"|"&amp;TRIM(F13)&amp;"|"&amp;TRIM(H13)&amp;"|"&amp;TRIM(I13))</x:f>
        <x:v>音效|sfx|enemy_hit|root|不适用|default</x:v>
      </x:c>
      <x:c r="S13" s="138" t="str">
        <x:f>IF(COUNTIF($R$6:$R$53,R13)&gt;1,"重复","唯一")</x:f>
        <x:v>唯一</x:v>
      </x:c>
      <x:c r="T13" s="138"/>
      <x:c r="U13" s="138" t="str">
        <x:v>待分配</x:v>
      </x:c>
      <x:c r="V13" s="395" t="n">
        <x:v>46224</x:v>
      </x:c>
      <x:c r="W13" s="138" t="str">
        <x:v>原创/待确认</x:v>
      </x:c>
      <x:c r="X13" s="375" t="str">
        <x:v>—</x:v>
      </x:c>
      <x:c r="Y13" s="138"/>
    </x:row>
    <x:row r="14">
      <x:c r="A14" s="138" t="str">
        <x:v>AUD-ENEMY-DIE</x:v>
      </x:c>
      <x:c r="B14" s="138" t="str">
        <x:v>敌人死亡</x:v>
      </x:c>
      <x:c r="C14" s="138" t="str">
        <x:v>音效</x:v>
      </x:c>
      <x:c r="D14" s="138" t="str">
        <x:v>sfx</x:v>
      </x:c>
      <x:c r="E14" s="138" t="str">
        <x:v>enemy_die</x:v>
      </x:c>
      <x:c r="F14" s="138" t="str">
        <x:v>root</x:v>
      </x:c>
      <x:c r="G14" s="138"/>
      <x:c r="H14" s="138" t="str">
        <x:v>不适用</x:v>
      </x:c>
      <x:c r="I14" s="138" t="str">
        <x:v>default</x:v>
      </x:c>
      <x:c r="J14" s="138" t="str">
        <x:v>按事件复用</x:v>
      </x:c>
      <x:c r="K14" s="138" t="str">
        <x:v>待制作</x:v>
      </x:c>
      <x:c r="L14" s="138" t="str">
        <x:v>P2</x:v>
      </x:c>
      <x:c r="M14" s="138" t="str">
        <x:v>v001</x:v>
      </x:c>
      <x:c r="N14" s="138" t="str">
        <x:v>0.1–2.0s WAV/OGG</x:v>
      </x:c>
      <x:c r="O14" s="138"/>
      <x:c r="P14" s="138" t="str">
        <x:v>src/core/AudioManager.gd</x:v>
      </x:c>
      <x:c r="Q14" s="138"/>
      <x:c r="R14" s="138" t="str">
        <x:f>LOWER(TRIM(C14)&amp;"|"&amp;TRIM(D14)&amp;"|"&amp;TRIM(E14)&amp;"|"&amp;TRIM(F14)&amp;"|"&amp;TRIM(H14)&amp;"|"&amp;TRIM(I14))</x:f>
        <x:v>音效|sfx|enemy_die|root|不适用|default</x:v>
      </x:c>
      <x:c r="S14" s="138" t="str">
        <x:f>IF(COUNTIF($R$6:$R$53,R14)&gt;1,"重复","唯一")</x:f>
        <x:v>唯一</x:v>
      </x:c>
      <x:c r="T14" s="138"/>
      <x:c r="U14" s="138" t="str">
        <x:v>待分配</x:v>
      </x:c>
      <x:c r="V14" s="395" t="n">
        <x:v>46224</x:v>
      </x:c>
      <x:c r="W14" s="138" t="str">
        <x:v>原创/待确认</x:v>
      </x:c>
      <x:c r="X14" s="375" t="str">
        <x:v>—</x:v>
      </x:c>
      <x:c r="Y14" s="138"/>
    </x:row>
    <x:row r="15">
      <x:c r="A15" s="138" t="str">
        <x:v>AUD-RELOAD</x:v>
      </x:c>
      <x:c r="B15" s="138" t="str">
        <x:v>换弹</x:v>
      </x:c>
      <x:c r="C15" s="138" t="str">
        <x:v>音效</x:v>
      </x:c>
      <x:c r="D15" s="138" t="str">
        <x:v>sfx</x:v>
      </x:c>
      <x:c r="E15" s="138" t="str">
        <x:v>reload</x:v>
      </x:c>
      <x:c r="F15" s="138" t="str">
        <x:v>root</x:v>
      </x:c>
      <x:c r="G15" s="138"/>
      <x:c r="H15" s="138" t="str">
        <x:v>不适用</x:v>
      </x:c>
      <x:c r="I15" s="138" t="str">
        <x:v>default</x:v>
      </x:c>
      <x:c r="J15" s="138" t="str">
        <x:v>按事件复用</x:v>
      </x:c>
      <x:c r="K15" s="138" t="str">
        <x:v>待制作</x:v>
      </x:c>
      <x:c r="L15" s="138" t="str">
        <x:v>P2</x:v>
      </x:c>
      <x:c r="M15" s="138" t="str">
        <x:v>v001</x:v>
      </x:c>
      <x:c r="N15" s="138" t="str">
        <x:v>0.1–2.0s WAV/OGG</x:v>
      </x:c>
      <x:c r="O15" s="138"/>
      <x:c r="P15" s="138" t="str">
        <x:v>src/core/AudioManager.gd</x:v>
      </x:c>
      <x:c r="Q15" s="138"/>
      <x:c r="R15" s="138" t="str">
        <x:f>LOWER(TRIM(C15)&amp;"|"&amp;TRIM(D15)&amp;"|"&amp;TRIM(E15)&amp;"|"&amp;TRIM(F15)&amp;"|"&amp;TRIM(H15)&amp;"|"&amp;TRIM(I15))</x:f>
        <x:v>音效|sfx|reload|root|不适用|default</x:v>
      </x:c>
      <x:c r="S15" s="138" t="str">
        <x:f>IF(COUNTIF($R$6:$R$53,R15)&gt;1,"重复","唯一")</x:f>
        <x:v>唯一</x:v>
      </x:c>
      <x:c r="T15" s="138"/>
      <x:c r="U15" s="138" t="str">
        <x:v>待分配</x:v>
      </x:c>
      <x:c r="V15" s="395" t="n">
        <x:v>46224</x:v>
      </x:c>
      <x:c r="W15" s="138" t="str">
        <x:v>原创/待确认</x:v>
      </x:c>
      <x:c r="X15" s="375" t="str">
        <x:v>—</x:v>
      </x:c>
      <x:c r="Y15" s="138"/>
    </x:row>
    <x:row r="16">
      <x:c r="A16" s="138" t="str">
        <x:v>AUD-EXTRACTION-START</x:v>
      </x:c>
      <x:c r="B16" s="138" t="str">
        <x:v>撤离启动</x:v>
      </x:c>
      <x:c r="C16" s="138" t="str">
        <x:v>音效</x:v>
      </x:c>
      <x:c r="D16" s="138" t="str">
        <x:v>sfx</x:v>
      </x:c>
      <x:c r="E16" s="138" t="str">
        <x:v>extraction_start</x:v>
      </x:c>
      <x:c r="F16" s="138" t="str">
        <x:v>root</x:v>
      </x:c>
      <x:c r="G16" s="138"/>
      <x:c r="H16" s="138" t="str">
        <x:v>不适用</x:v>
      </x:c>
      <x:c r="I16" s="138" t="str">
        <x:v>default</x:v>
      </x:c>
      <x:c r="J16" s="138" t="str">
        <x:v>按事件复用</x:v>
      </x:c>
      <x:c r="K16" s="138" t="str">
        <x:v>待制作</x:v>
      </x:c>
      <x:c r="L16" s="138" t="str">
        <x:v>P2</x:v>
      </x:c>
      <x:c r="M16" s="138" t="str">
        <x:v>v001</x:v>
      </x:c>
      <x:c r="N16" s="138" t="str">
        <x:v>0.1–2.0s WAV/OGG</x:v>
      </x:c>
      <x:c r="O16" s="138"/>
      <x:c r="P16" s="138" t="str">
        <x:v>src/core/AudioManager.gd</x:v>
      </x:c>
      <x:c r="Q16" s="138"/>
      <x:c r="R16" s="138" t="str">
        <x:f>LOWER(TRIM(C16)&amp;"|"&amp;TRIM(D16)&amp;"|"&amp;TRIM(E16)&amp;"|"&amp;TRIM(F16)&amp;"|"&amp;TRIM(H16)&amp;"|"&amp;TRIM(I16))</x:f>
        <x:v>音效|sfx|extraction_start|root|不适用|default</x:v>
      </x:c>
      <x:c r="S16" s="138" t="str">
        <x:f>IF(COUNTIF($R$6:$R$53,R16)&gt;1,"重复","唯一")</x:f>
        <x:v>唯一</x:v>
      </x:c>
      <x:c r="T16" s="138"/>
      <x:c r="U16" s="138" t="str">
        <x:v>待分配</x:v>
      </x:c>
      <x:c r="V16" s="395" t="n">
        <x:v>46224</x:v>
      </x:c>
      <x:c r="W16" s="138" t="str">
        <x:v>原创/待确认</x:v>
      </x:c>
      <x:c r="X16" s="375" t="str">
        <x:v>—</x:v>
      </x:c>
      <x:c r="Y16" s="138"/>
    </x:row>
    <x:row r="17">
      <x:c r="A17" s="138" t="str">
        <x:v>AUD-EXTRACTION-DONE</x:v>
      </x:c>
      <x:c r="B17" s="138" t="str">
        <x:v>撤离完成</x:v>
      </x:c>
      <x:c r="C17" s="138" t="str">
        <x:v>音效</x:v>
      </x:c>
      <x:c r="D17" s="138" t="str">
        <x:v>sfx</x:v>
      </x:c>
      <x:c r="E17" s="138" t="str">
        <x:v>extraction_done</x:v>
      </x:c>
      <x:c r="F17" s="138" t="str">
        <x:v>root</x:v>
      </x:c>
      <x:c r="G17" s="138"/>
      <x:c r="H17" s="138" t="str">
        <x:v>不适用</x:v>
      </x:c>
      <x:c r="I17" s="138" t="str">
        <x:v>default</x:v>
      </x:c>
      <x:c r="J17" s="138" t="str">
        <x:v>按事件复用</x:v>
      </x:c>
      <x:c r="K17" s="138" t="str">
        <x:v>待制作</x:v>
      </x:c>
      <x:c r="L17" s="138" t="str">
        <x:v>P2</x:v>
      </x:c>
      <x:c r="M17" s="138" t="str">
        <x:v>v001</x:v>
      </x:c>
      <x:c r="N17" s="138" t="str">
        <x:v>0.1–2.0s WAV/OGG</x:v>
      </x:c>
      <x:c r="O17" s="138"/>
      <x:c r="P17" s="138" t="str">
        <x:v>src/core/AudioManager.gd</x:v>
      </x:c>
      <x:c r="Q17" s="138"/>
      <x:c r="R17" s="138" t="str">
        <x:f>LOWER(TRIM(C17)&amp;"|"&amp;TRIM(D17)&amp;"|"&amp;TRIM(E17)&amp;"|"&amp;TRIM(F17)&amp;"|"&amp;TRIM(H17)&amp;"|"&amp;TRIM(I17))</x:f>
        <x:v>音效|sfx|extraction_done|root|不适用|default</x:v>
      </x:c>
      <x:c r="S17" s="138" t="str">
        <x:f>IF(COUNTIF($R$6:$R$53,R17)&gt;1,"重复","唯一")</x:f>
        <x:v>唯一</x:v>
      </x:c>
      <x:c r="T17" s="138"/>
      <x:c r="U17" s="138" t="str">
        <x:v>待分配</x:v>
      </x:c>
      <x:c r="V17" s="395" t="n">
        <x:v>46224</x:v>
      </x:c>
      <x:c r="W17" s="138" t="str">
        <x:v>原创/待确认</x:v>
      </x:c>
      <x:c r="X17" s="375" t="str">
        <x:v>—</x:v>
      </x:c>
      <x:c r="Y17" s="138"/>
    </x:row>
    <x:row r="18">
      <x:c r="A18" s="138" t="str">
        <x:v>AUD-SFX-AMMO-EMPTY</x:v>
      </x:c>
      <x:c r="B18" s="138" t="str">
        <x:v>空仓扳机音效</x:v>
      </x:c>
      <x:c r="C18" s="138" t="str">
        <x:v>音效</x:v>
      </x:c>
      <x:c r="D18" s="138" t="str">
        <x:v>sfx</x:v>
      </x:c>
      <x:c r="E18" s="138" t="str">
        <x:v>ammo_empty</x:v>
      </x:c>
      <x:c r="F18" s="138" t="str">
        <x:v>runtime</x:v>
      </x:c>
      <x:c r="G18" s="138"/>
      <x:c r="H18" s="138" t="str">
        <x:v>全局/非空间</x:v>
      </x:c>
      <x:c r="I18" s="138" t="str">
        <x:v>default</x:v>
      </x:c>
      <x:c r="J18" s="138" t="str">
        <x:v>桌面与Android正式运行</x:v>
      </x:c>
      <x:c r="K18" s="138" t="str">
        <x:v>已完成</x:v>
      </x:c>
      <x:c r="L18" s="138" t="str">
        <x:v>P0</x:v>
      </x:c>
      <x:c r="M18" s="138" t="str">
        <x:v>v001</x:v>
      </x:c>
      <x:c r="N18" s="138" t="str">
        <x:v>44.1kHz / OGG Vorbis / stereo</x:v>
      </x:c>
      <x:c r="O18" s="138" t="str">
        <x:v>src/assets/audio/sfx/ammo_empty_v001.ogg</x:v>
      </x:c>
      <x:c r="P18" s="138" t="str">
        <x:v>src/assets/audio/sfx/ammo_empty.wav; src/音效接入说明.md</x:v>
      </x:c>
      <x:c r="Q18" s="138" t="str">
        <x:v>ammo_empty; 音效; OGG; Android; 移动端</x:v>
      </x:c>
      <x:c r="R18" s="138" t="str">
        <x:f>LOWER(TRIM(C18)&amp;"|"&amp;TRIM(D18)&amp;"|"&amp;TRIM(E18)&amp;"|"&amp;TRIM(F18)&amp;"|"&amp;TRIM(H18)&amp;"|"&amp;TRIM(I18))</x:f>
        <x:v>音效|sfx|ammo_empty|runtime|全局/非空间|default</x:v>
      </x:c>
      <x:c r="S18" s="138" t="str">
        <x:f>IF(COUNTIF($R$6:$R$53,R18)&gt;1,"重复","唯一")</x:f>
        <x:v>唯一</x:v>
      </x:c>
      <x:c r="T18" s="138" t="str">
        <x:v>f5d0339c3c7fce8227970163bd773a11f15faffa57a878ec41111308657a000c</x:v>
      </x:c>
      <x:c r="U18" s="138" t="str">
        <x:v>Codex</x:v>
      </x:c>
      <x:c r="V18" s="395" t="n">
        <x:v>46241</x:v>
      </x:c>
      <x:c r="W18" s="138" t="str">
        <x:v>项目WAV母版转码</x:v>
      </x:c>
      <x:c r="X18" s="375" t="str">
        <x:v>—</x:v>
      </x:c>
      <x:c r="Y18" s="138" t="str">
        <x:v>正式运行OGG；WAV仅作母版；AudioManager事件=ammo_empty；Android/桌面统一版本化路径，禁止旧音效回退。</x:v>
      </x:c>
    </x:row>
    <x:row r="19">
      <x:c r="A19" s="138" t="str">
        <x:v>AUD-SFX-BOSS-DEFEAT</x:v>
      </x:c>
      <x:c r="B19" s="138" t="str">
        <x:v>Boss击败音效</x:v>
      </x:c>
      <x:c r="C19" s="138" t="str">
        <x:v>音效</x:v>
      </x:c>
      <x:c r="D19" s="138" t="str">
        <x:v>sfx</x:v>
      </x:c>
      <x:c r="E19" s="138" t="str">
        <x:v>boss_defeat</x:v>
      </x:c>
      <x:c r="F19" s="138" t="str">
        <x:v>runtime</x:v>
      </x:c>
      <x:c r="G19" s="138"/>
      <x:c r="H19" s="138" t="str">
        <x:v>全局/非空间</x:v>
      </x:c>
      <x:c r="I19" s="138" t="str">
        <x:v>default</x:v>
      </x:c>
      <x:c r="J19" s="138" t="str">
        <x:v>桌面与Android正式运行</x:v>
      </x:c>
      <x:c r="K19" s="138" t="str">
        <x:v>已完成</x:v>
      </x:c>
      <x:c r="L19" s="138" t="str">
        <x:v>P0</x:v>
      </x:c>
      <x:c r="M19" s="138" t="str">
        <x:v>v001</x:v>
      </x:c>
      <x:c r="N19" s="138" t="str">
        <x:v>44.1kHz / OGG Vorbis / stereo</x:v>
      </x:c>
      <x:c r="O19" s="138" t="str">
        <x:v>src/assets/audio/sfx/boss_defeat_v001.ogg</x:v>
      </x:c>
      <x:c r="P19" s="138" t="str">
        <x:v>src/assets/audio/sfx/boss_defeat.wav; src/音效接入说明.md</x:v>
      </x:c>
      <x:c r="Q19" s="138" t="str">
        <x:v>boss_defeat; 音效; OGG; Android; 移动端</x:v>
      </x:c>
      <x:c r="R19" s="138" t="str">
        <x:f>LOWER(TRIM(C19)&amp;"|"&amp;TRIM(D19)&amp;"|"&amp;TRIM(E19)&amp;"|"&amp;TRIM(F19)&amp;"|"&amp;TRIM(H19)&amp;"|"&amp;TRIM(I19))</x:f>
        <x:v>音效|sfx|boss_defeat|runtime|全局/非空间|default</x:v>
      </x:c>
      <x:c r="S19" s="138" t="str">
        <x:f>IF(COUNTIF($R$6:$R$53,R19)&gt;1,"重复","唯一")</x:f>
        <x:v>唯一</x:v>
      </x:c>
      <x:c r="T19" s="138" t="str">
        <x:v>245b27a482a9166c6bc09cdabae3094f4a2bb1e67956f8a8f54b767eb15fefba</x:v>
      </x:c>
      <x:c r="U19" s="138" t="str">
        <x:v>Codex</x:v>
      </x:c>
      <x:c r="V19" s="395" t="n">
        <x:v>46241</x:v>
      </x:c>
      <x:c r="W19" s="138" t="str">
        <x:v>项目WAV母版转码</x:v>
      </x:c>
      <x:c r="X19" s="375" t="str">
        <x:v>—</x:v>
      </x:c>
      <x:c r="Y19" s="138" t="str">
        <x:v>正式运行OGG；WAV仅作母版；AudioManager事件=boss_defeat；Android/桌面统一版本化路径，禁止旧音效回退。</x:v>
      </x:c>
    </x:row>
    <x:row r="20">
      <x:c r="A20" s="138" t="str">
        <x:v>AUD-SFX-BOSS-INTRO</x:v>
      </x:c>
      <x:c r="B20" s="138" t="str">
        <x:v>Boss入场音效</x:v>
      </x:c>
      <x:c r="C20" s="138" t="str">
        <x:v>音效</x:v>
      </x:c>
      <x:c r="D20" s="138" t="str">
        <x:v>sfx</x:v>
      </x:c>
      <x:c r="E20" s="138" t="str">
        <x:v>boss_intro</x:v>
      </x:c>
      <x:c r="F20" s="138" t="str">
        <x:v>runtime</x:v>
      </x:c>
      <x:c r="G20" s="138"/>
      <x:c r="H20" s="138" t="str">
        <x:v>全局/非空间</x:v>
      </x:c>
      <x:c r="I20" s="138" t="str">
        <x:v>default</x:v>
      </x:c>
      <x:c r="J20" s="138" t="str">
        <x:v>桌面与Android正式运行</x:v>
      </x:c>
      <x:c r="K20" s="138" t="str">
        <x:v>已完成</x:v>
      </x:c>
      <x:c r="L20" s="138" t="str">
        <x:v>P0</x:v>
      </x:c>
      <x:c r="M20" s="138" t="str">
        <x:v>v001</x:v>
      </x:c>
      <x:c r="N20" s="138" t="str">
        <x:v>44.1kHz / OGG Vorbis / stereo</x:v>
      </x:c>
      <x:c r="O20" s="138" t="str">
        <x:v>src/assets/audio/sfx/boss_intro_v001.ogg</x:v>
      </x:c>
      <x:c r="P20" s="138" t="str">
        <x:v>src/assets/audio/sfx/boss_intro.wav; src/音效接入说明.md</x:v>
      </x:c>
      <x:c r="Q20" s="138" t="str">
        <x:v>boss_intro; 音效; OGG; Android; 移动端</x:v>
      </x:c>
      <x:c r="R20" s="138" t="str">
        <x:f>LOWER(TRIM(C20)&amp;"|"&amp;TRIM(D20)&amp;"|"&amp;TRIM(E20)&amp;"|"&amp;TRIM(F20)&amp;"|"&amp;TRIM(H20)&amp;"|"&amp;TRIM(I20))</x:f>
        <x:v>音效|sfx|boss_intro|runtime|全局/非空间|default</x:v>
      </x:c>
      <x:c r="S20" s="138" t="str">
        <x:f>IF(COUNTIF($R$6:$R$53,R20)&gt;1,"重复","唯一")</x:f>
        <x:v>唯一</x:v>
      </x:c>
      <x:c r="T20" s="138" t="str">
        <x:v>4e18a3afe9c7b804e6fb6905fbf05b62cba70d9b15a324c650a04d04a981d5ff</x:v>
      </x:c>
      <x:c r="U20" s="138" t="str">
        <x:v>Codex</x:v>
      </x:c>
      <x:c r="V20" s="395" t="n">
        <x:v>46241</x:v>
      </x:c>
      <x:c r="W20" s="138" t="str">
        <x:v>项目WAV母版转码</x:v>
      </x:c>
      <x:c r="X20" s="375" t="str">
        <x:v>—</x:v>
      </x:c>
      <x:c r="Y20" s="138" t="str">
        <x:v>正式运行OGG；WAV仅作母版；AudioManager事件=boss_intro；Android/桌面统一版本化路径，禁止旧音效回退。</x:v>
      </x:c>
    </x:row>
    <x:row r="21">
      <x:c r="A21" s="138" t="str">
        <x:v>AUD-SFX-BOSS-PHASE</x:v>
      </x:c>
      <x:c r="B21" s="138" t="str">
        <x:v>Boss阶段切换音效</x:v>
      </x:c>
      <x:c r="C21" s="138" t="str">
        <x:v>音效</x:v>
      </x:c>
      <x:c r="D21" s="138" t="str">
        <x:v>sfx</x:v>
      </x:c>
      <x:c r="E21" s="138" t="str">
        <x:v>boss_phase</x:v>
      </x:c>
      <x:c r="F21" s="138" t="str">
        <x:v>runtime</x:v>
      </x:c>
      <x:c r="G21" s="138"/>
      <x:c r="H21" s="138" t="str">
        <x:v>全局/非空间</x:v>
      </x:c>
      <x:c r="I21" s="138" t="str">
        <x:v>default</x:v>
      </x:c>
      <x:c r="J21" s="138" t="str">
        <x:v>桌面与Android正式运行</x:v>
      </x:c>
      <x:c r="K21" s="138" t="str">
        <x:v>已完成</x:v>
      </x:c>
      <x:c r="L21" s="138" t="str">
        <x:v>P0</x:v>
      </x:c>
      <x:c r="M21" s="138" t="str">
        <x:v>v001</x:v>
      </x:c>
      <x:c r="N21" s="138" t="str">
        <x:v>44.1kHz / OGG Vorbis / stereo</x:v>
      </x:c>
      <x:c r="O21" s="138" t="str">
        <x:v>src/assets/audio/sfx/boss_phase_v001.ogg</x:v>
      </x:c>
      <x:c r="P21" s="138" t="str">
        <x:v>src/assets/audio/sfx/boss_phase.wav; src/音效接入说明.md</x:v>
      </x:c>
      <x:c r="Q21" s="138" t="str">
        <x:v>boss_phase; 音效; OGG; Android; 移动端</x:v>
      </x:c>
      <x:c r="R21" s="138" t="str">
        <x:f>LOWER(TRIM(C21)&amp;"|"&amp;TRIM(D21)&amp;"|"&amp;TRIM(E21)&amp;"|"&amp;TRIM(F21)&amp;"|"&amp;TRIM(H21)&amp;"|"&amp;TRIM(I21))</x:f>
        <x:v>音效|sfx|boss_phase|runtime|全局/非空间|default</x:v>
      </x:c>
      <x:c r="S21" s="138" t="str">
        <x:f>IF(COUNTIF($R$6:$R$53,R21)&gt;1,"重复","唯一")</x:f>
        <x:v>唯一</x:v>
      </x:c>
      <x:c r="T21" s="138" t="str">
        <x:v>804457fc13cb83e18bdc1e7e84d1b9a27414be72128f82811e016c17fc331ad3</x:v>
      </x:c>
      <x:c r="U21" s="138" t="str">
        <x:v>Codex</x:v>
      </x:c>
      <x:c r="V21" s="395" t="n">
        <x:v>46241</x:v>
      </x:c>
      <x:c r="W21" s="138" t="str">
        <x:v>项目WAV母版转码</x:v>
      </x:c>
      <x:c r="X21" s="375" t="str">
        <x:v>—</x:v>
      </x:c>
      <x:c r="Y21" s="138" t="str">
        <x:v>正式运行OGG；WAV仅作母版；AudioManager事件=boss_phase；Android/桌面统一版本化路径，禁止旧音效回退。</x:v>
      </x:c>
    </x:row>
    <x:row r="22">
      <x:c r="A22" s="138" t="str">
        <x:v>AUD-SFX-CONTAINER-OPEN</x:v>
      </x:c>
      <x:c r="B22" s="138" t="str">
        <x:v>搜索容器开启音效</x:v>
      </x:c>
      <x:c r="C22" s="138" t="str">
        <x:v>音效</x:v>
      </x:c>
      <x:c r="D22" s="138" t="str">
        <x:v>sfx</x:v>
      </x:c>
      <x:c r="E22" s="138" t="str">
        <x:v>container_open</x:v>
      </x:c>
      <x:c r="F22" s="138" t="str">
        <x:v>runtime</x:v>
      </x:c>
      <x:c r="G22" s="138"/>
      <x:c r="H22" s="138" t="str">
        <x:v>全局/非空间</x:v>
      </x:c>
      <x:c r="I22" s="138" t="str">
        <x:v>default</x:v>
      </x:c>
      <x:c r="J22" s="138" t="str">
        <x:v>桌面与Android正式运行</x:v>
      </x:c>
      <x:c r="K22" s="138" t="str">
        <x:v>已完成</x:v>
      </x:c>
      <x:c r="L22" s="138" t="str">
        <x:v>P0</x:v>
      </x:c>
      <x:c r="M22" s="138" t="str">
        <x:v>v001</x:v>
      </x:c>
      <x:c r="N22" s="138" t="str">
        <x:v>44.1kHz / OGG Vorbis / stereo</x:v>
      </x:c>
      <x:c r="O22" s="138" t="str">
        <x:v>src/assets/audio/sfx/container_open_v001.ogg</x:v>
      </x:c>
      <x:c r="P22" s="138" t="str">
        <x:v>src/assets/audio/sfx/container_open.wav; src/音效接入说明.md</x:v>
      </x:c>
      <x:c r="Q22" s="138" t="str">
        <x:v>container_open; 音效; OGG; Android; 移动端</x:v>
      </x:c>
      <x:c r="R22" s="138" t="str">
        <x:f>LOWER(TRIM(C22)&amp;"|"&amp;TRIM(D22)&amp;"|"&amp;TRIM(E22)&amp;"|"&amp;TRIM(F22)&amp;"|"&amp;TRIM(H22)&amp;"|"&amp;TRIM(I22))</x:f>
        <x:v>音效|sfx|container_open|runtime|全局/非空间|default</x:v>
      </x:c>
      <x:c r="S22" s="138" t="str">
        <x:f>IF(COUNTIF($R$6:$R$53,R22)&gt;1,"重复","唯一")</x:f>
        <x:v>唯一</x:v>
      </x:c>
      <x:c r="T22" s="138" t="str">
        <x:v>8e9d9e0a773ab0daf850734913302212a2f279dc7afb0f457a193300325840d0</x:v>
      </x:c>
      <x:c r="U22" s="138" t="str">
        <x:v>Codex</x:v>
      </x:c>
      <x:c r="V22" s="395" t="n">
        <x:v>46241</x:v>
      </x:c>
      <x:c r="W22" s="138" t="str">
        <x:v>项目WAV母版转码</x:v>
      </x:c>
      <x:c r="X22" s="375" t="str">
        <x:v>—</x:v>
      </x:c>
      <x:c r="Y22" s="138" t="str">
        <x:v>正式运行OGG；WAV仅作母版；AudioManager事件=container_open；Android/桌面统一版本化路径，禁止旧音效回退。</x:v>
      </x:c>
    </x:row>
    <x:row r="23">
      <x:c r="A23" s="138" t="str">
        <x:v>AUD-SFX-CRIT-HIT</x:v>
      </x:c>
      <x:c r="B23" s="138" t="str">
        <x:v>暴击命中音效</x:v>
      </x:c>
      <x:c r="C23" s="138" t="str">
        <x:v>音效</x:v>
      </x:c>
      <x:c r="D23" s="138" t="str">
        <x:v>sfx</x:v>
      </x:c>
      <x:c r="E23" s="138" t="str">
        <x:v>crit_hit</x:v>
      </x:c>
      <x:c r="F23" s="138" t="str">
        <x:v>runtime</x:v>
      </x:c>
      <x:c r="G23" s="138"/>
      <x:c r="H23" s="138" t="str">
        <x:v>全局/非空间</x:v>
      </x:c>
      <x:c r="I23" s="138" t="str">
        <x:v>default</x:v>
      </x:c>
      <x:c r="J23" s="138" t="str">
        <x:v>桌面与Android正式运行</x:v>
      </x:c>
      <x:c r="K23" s="138" t="str">
        <x:v>已完成</x:v>
      </x:c>
      <x:c r="L23" s="138" t="str">
        <x:v>P0</x:v>
      </x:c>
      <x:c r="M23" s="138" t="str">
        <x:v>v001</x:v>
      </x:c>
      <x:c r="N23" s="138" t="str">
        <x:v>44.1kHz / OGG Vorbis / stereo</x:v>
      </x:c>
      <x:c r="O23" s="138" t="str">
        <x:v>src/assets/audio/sfx/crit_hit_v001.ogg</x:v>
      </x:c>
      <x:c r="P23" s="138" t="str">
        <x:v>src/assets/audio/sfx/crit_hit.wav; src/音效接入说明.md</x:v>
      </x:c>
      <x:c r="Q23" s="138" t="str">
        <x:v>crit_hit; 音效; OGG; Android; 移动端</x:v>
      </x:c>
      <x:c r="R23" s="138" t="str">
        <x:f>LOWER(TRIM(C23)&amp;"|"&amp;TRIM(D23)&amp;"|"&amp;TRIM(E23)&amp;"|"&amp;TRIM(F23)&amp;"|"&amp;TRIM(H23)&amp;"|"&amp;TRIM(I23))</x:f>
        <x:v>音效|sfx|crit_hit|runtime|全局/非空间|default</x:v>
      </x:c>
      <x:c r="S23" s="138" t="str">
        <x:f>IF(COUNTIF($R$6:$R$53,R23)&gt;1,"重复","唯一")</x:f>
        <x:v>唯一</x:v>
      </x:c>
      <x:c r="T23" s="138" t="str">
        <x:v>9228e4544dc5472afe0dfaa53df5be2ec8c95bd253ea7ffd9b6136c6dd19069f</x:v>
      </x:c>
      <x:c r="U23" s="138" t="str">
        <x:v>Codex</x:v>
      </x:c>
      <x:c r="V23" s="395" t="n">
        <x:v>46241</x:v>
      </x:c>
      <x:c r="W23" s="138" t="str">
        <x:v>项目WAV母版转码</x:v>
      </x:c>
      <x:c r="X23" s="375" t="str">
        <x:v>—</x:v>
      </x:c>
      <x:c r="Y23" s="138" t="str">
        <x:v>正式运行OGG；WAV仅作母版；AudioManager事件=crit_hit；Android/桌面统一版本化路径，禁止旧音效回退。</x:v>
      </x:c>
    </x:row>
    <x:row r="24">
      <x:c r="A24" s="138" t="str">
        <x:v>AUD-SFX-DOOR-LOCKED</x:v>
      </x:c>
      <x:c r="B24" s="138" t="str">
        <x:v>门锁定音效</x:v>
      </x:c>
      <x:c r="C24" s="138" t="str">
        <x:v>音效</x:v>
      </x:c>
      <x:c r="D24" s="138" t="str">
        <x:v>sfx</x:v>
      </x:c>
      <x:c r="E24" s="138" t="str">
        <x:v>door_locked</x:v>
      </x:c>
      <x:c r="F24" s="138" t="str">
        <x:v>runtime</x:v>
      </x:c>
      <x:c r="G24" s="138"/>
      <x:c r="H24" s="138" t="str">
        <x:v>全局/非空间</x:v>
      </x:c>
      <x:c r="I24" s="138" t="str">
        <x:v>default</x:v>
      </x:c>
      <x:c r="J24" s="138" t="str">
        <x:v>桌面与Android正式运行</x:v>
      </x:c>
      <x:c r="K24" s="138" t="str">
        <x:v>已完成</x:v>
      </x:c>
      <x:c r="L24" s="138" t="str">
        <x:v>P0</x:v>
      </x:c>
      <x:c r="M24" s="138" t="str">
        <x:v>v001</x:v>
      </x:c>
      <x:c r="N24" s="138" t="str">
        <x:v>44.1kHz / OGG Vorbis / stereo</x:v>
      </x:c>
      <x:c r="O24" s="138" t="str">
        <x:v>src/assets/audio/sfx/door_locked_v001.ogg</x:v>
      </x:c>
      <x:c r="P24" s="138" t="str">
        <x:v>src/assets/audio/sfx/door_locked.wav; src/音效接入说明.md</x:v>
      </x:c>
      <x:c r="Q24" s="138" t="str">
        <x:v>door_locked; 音效; OGG; Android; 移动端</x:v>
      </x:c>
      <x:c r="R24" s="138" t="str">
        <x:f>LOWER(TRIM(C24)&amp;"|"&amp;TRIM(D24)&amp;"|"&amp;TRIM(E24)&amp;"|"&amp;TRIM(F24)&amp;"|"&amp;TRIM(H24)&amp;"|"&amp;TRIM(I24))</x:f>
        <x:v>音效|sfx|door_locked|runtime|全局/非空间|default</x:v>
      </x:c>
      <x:c r="S24" s="138" t="str">
        <x:f>IF(COUNTIF($R$6:$R$53,R24)&gt;1,"重复","唯一")</x:f>
        <x:v>唯一</x:v>
      </x:c>
      <x:c r="T24" s="138" t="str">
        <x:v>db9ece4cf6a904b8c23319b0d3bc83bce2d48ea69d7ebd246dd2bb30f2587e74</x:v>
      </x:c>
      <x:c r="U24" s="138" t="str">
        <x:v>Codex</x:v>
      </x:c>
      <x:c r="V24" s="395" t="n">
        <x:v>46241</x:v>
      </x:c>
      <x:c r="W24" s="138" t="str">
        <x:v>项目WAV母版转码</x:v>
      </x:c>
      <x:c r="X24" s="375" t="str">
        <x:v>—</x:v>
      </x:c>
      <x:c r="Y24" s="138" t="str">
        <x:v>正式运行OGG；WAV仅作母版；AudioManager事件=door_locked；Android/桌面统一版本化路径，禁止旧音效回退。</x:v>
      </x:c>
    </x:row>
    <x:row r="25">
      <x:c r="A25" s="138" t="str">
        <x:v>AUD-SFX-DOOR-OPEN</x:v>
      </x:c>
      <x:c r="B25" s="138" t="str">
        <x:v>门开启音效</x:v>
      </x:c>
      <x:c r="C25" s="138" t="str">
        <x:v>音效</x:v>
      </x:c>
      <x:c r="D25" s="138" t="str">
        <x:v>sfx</x:v>
      </x:c>
      <x:c r="E25" s="138" t="str">
        <x:v>door_open</x:v>
      </x:c>
      <x:c r="F25" s="138" t="str">
        <x:v>runtime</x:v>
      </x:c>
      <x:c r="G25" s="138"/>
      <x:c r="H25" s="138" t="str">
        <x:v>全局/非空间</x:v>
      </x:c>
      <x:c r="I25" s="138" t="str">
        <x:v>default</x:v>
      </x:c>
      <x:c r="J25" s="138" t="str">
        <x:v>桌面与Android正式运行</x:v>
      </x:c>
      <x:c r="K25" s="138" t="str">
        <x:v>已完成</x:v>
      </x:c>
      <x:c r="L25" s="138" t="str">
        <x:v>P0</x:v>
      </x:c>
      <x:c r="M25" s="138" t="str">
        <x:v>v001</x:v>
      </x:c>
      <x:c r="N25" s="138" t="str">
        <x:v>44.1kHz / OGG Vorbis / stereo</x:v>
      </x:c>
      <x:c r="O25" s="138" t="str">
        <x:v>src/assets/audio/sfx/door_open_v001.ogg</x:v>
      </x:c>
      <x:c r="P25" s="138" t="str">
        <x:v>src/assets/audio/sfx/door_open.wav; src/音效接入说明.md</x:v>
      </x:c>
      <x:c r="Q25" s="138" t="str">
        <x:v>door_open; 音效; OGG; Android; 移动端</x:v>
      </x:c>
      <x:c r="R25" s="138" t="str">
        <x:f>LOWER(TRIM(C25)&amp;"|"&amp;TRIM(D25)&amp;"|"&amp;TRIM(E25)&amp;"|"&amp;TRIM(F25)&amp;"|"&amp;TRIM(H25)&amp;"|"&amp;TRIM(I25))</x:f>
        <x:v>音效|sfx|door_open|runtime|全局/非空间|default</x:v>
      </x:c>
      <x:c r="S25" s="138" t="str">
        <x:f>IF(COUNTIF($R$6:$R$53,R25)&gt;1,"重复","唯一")</x:f>
        <x:v>唯一</x:v>
      </x:c>
      <x:c r="T25" s="138" t="str">
        <x:v>6b3044e0231f425a54103d7a4e44c2a1f21f895310841347ea9ceb76485a5565</x:v>
      </x:c>
      <x:c r="U25" s="138" t="str">
        <x:v>Codex</x:v>
      </x:c>
      <x:c r="V25" s="395" t="n">
        <x:v>46241</x:v>
      </x:c>
      <x:c r="W25" s="138" t="str">
        <x:v>项目WAV母版转码</x:v>
      </x:c>
      <x:c r="X25" s="375" t="str">
        <x:v>—</x:v>
      </x:c>
      <x:c r="Y25" s="138" t="str">
        <x:v>正式运行OGG；WAV仅作母版；AudioManager事件=door_open；Android/桌面统一版本化路径，禁止旧音效回退。</x:v>
      </x:c>
    </x:row>
    <x:row r="26">
      <x:c r="A26" s="138" t="str">
        <x:v>AUD-SFX-ENEMY-DIE</x:v>
      </x:c>
      <x:c r="B26" s="138" t="str">
        <x:v>敌人死亡音效</x:v>
      </x:c>
      <x:c r="C26" s="138" t="str">
        <x:v>音效</x:v>
      </x:c>
      <x:c r="D26" s="138" t="str">
        <x:v>sfx</x:v>
      </x:c>
      <x:c r="E26" s="138" t="str">
        <x:v>enemy_die</x:v>
      </x:c>
      <x:c r="F26" s="138" t="str">
        <x:v>runtime</x:v>
      </x:c>
      <x:c r="G26" s="138"/>
      <x:c r="H26" s="138" t="str">
        <x:v>全局/非空间</x:v>
      </x:c>
      <x:c r="I26" s="138" t="str">
        <x:v>default</x:v>
      </x:c>
      <x:c r="J26" s="138" t="str">
        <x:v>桌面与Android正式运行</x:v>
      </x:c>
      <x:c r="K26" s="138" t="str">
        <x:v>已完成</x:v>
      </x:c>
      <x:c r="L26" s="138" t="str">
        <x:v>P0</x:v>
      </x:c>
      <x:c r="M26" s="138" t="str">
        <x:v>v001</x:v>
      </x:c>
      <x:c r="N26" s="138" t="str">
        <x:v>44.1kHz / OGG Vorbis / stereo</x:v>
      </x:c>
      <x:c r="O26" s="138" t="str">
        <x:v>src/assets/audio/sfx/enemy_die_v001.ogg</x:v>
      </x:c>
      <x:c r="P26" s="138" t="str">
        <x:v>src/assets/audio/sfx/enemy_die.wav; src/音效接入说明.md</x:v>
      </x:c>
      <x:c r="Q26" s="138" t="str">
        <x:v>enemy_die; 音效; OGG; Android; 移动端</x:v>
      </x:c>
      <x:c r="R26" s="138" t="str">
        <x:f>LOWER(TRIM(C26)&amp;"|"&amp;TRIM(D26)&amp;"|"&amp;TRIM(E26)&amp;"|"&amp;TRIM(F26)&amp;"|"&amp;TRIM(H26)&amp;"|"&amp;TRIM(I26))</x:f>
        <x:v>音效|sfx|enemy_die|runtime|全局/非空间|default</x:v>
      </x:c>
      <x:c r="S26" s="138" t="str">
        <x:f>IF(COUNTIF($R$6:$R$53,R26)&gt;1,"重复","唯一")</x:f>
        <x:v>唯一</x:v>
      </x:c>
      <x:c r="T26" s="138" t="str">
        <x:v>eba3495cc7bf7a301a526a8131c3ee989fd8bfa162e9fafca2c5f923936e4c36</x:v>
      </x:c>
      <x:c r="U26" s="138" t="str">
        <x:v>Codex</x:v>
      </x:c>
      <x:c r="V26" s="395" t="n">
        <x:v>46241</x:v>
      </x:c>
      <x:c r="W26" s="138" t="str">
        <x:v>项目WAV母版转码</x:v>
      </x:c>
      <x:c r="X26" s="375" t="str">
        <x:v>—</x:v>
      </x:c>
      <x:c r="Y26" s="138" t="str">
        <x:v>正式运行OGG；WAV仅作母版；AudioManager事件=enemy_die；Android/桌面统一版本化路径，禁止旧音效回退。</x:v>
      </x:c>
    </x:row>
    <x:row r="27">
      <x:c r="A27" s="138" t="str">
        <x:v>AUD-SFX-ENEMY-HIT</x:v>
      </x:c>
      <x:c r="B27" s="138" t="str">
        <x:v>敌人受击音效</x:v>
      </x:c>
      <x:c r="C27" s="138" t="str">
        <x:v>音效</x:v>
      </x:c>
      <x:c r="D27" s="138" t="str">
        <x:v>sfx</x:v>
      </x:c>
      <x:c r="E27" s="138" t="str">
        <x:v>enemy_hit</x:v>
      </x:c>
      <x:c r="F27" s="138" t="str">
        <x:v>runtime</x:v>
      </x:c>
      <x:c r="G27" s="138"/>
      <x:c r="H27" s="138" t="str">
        <x:v>全局/非空间</x:v>
      </x:c>
      <x:c r="I27" s="138" t="str">
        <x:v>default</x:v>
      </x:c>
      <x:c r="J27" s="138" t="str">
        <x:v>桌面与Android正式运行</x:v>
      </x:c>
      <x:c r="K27" s="138" t="str">
        <x:v>已完成</x:v>
      </x:c>
      <x:c r="L27" s="138" t="str">
        <x:v>P0</x:v>
      </x:c>
      <x:c r="M27" s="138" t="str">
        <x:v>v001</x:v>
      </x:c>
      <x:c r="N27" s="138" t="str">
        <x:v>44.1kHz / OGG Vorbis / stereo</x:v>
      </x:c>
      <x:c r="O27" s="138" t="str">
        <x:v>src/assets/audio/sfx/enemy_hit_v001.ogg</x:v>
      </x:c>
      <x:c r="P27" s="138" t="str">
        <x:v>src/assets/audio/sfx/enemy_hit.wav; src/音效接入说明.md</x:v>
      </x:c>
      <x:c r="Q27" s="138" t="str">
        <x:v>enemy_hit; 音效; OGG; Android; 移动端</x:v>
      </x:c>
      <x:c r="R27" s="138" t="str">
        <x:f>LOWER(TRIM(C27)&amp;"|"&amp;TRIM(D27)&amp;"|"&amp;TRIM(E27)&amp;"|"&amp;TRIM(F27)&amp;"|"&amp;TRIM(H27)&amp;"|"&amp;TRIM(I27))</x:f>
        <x:v>音效|sfx|enemy_hit|runtime|全局/非空间|default</x:v>
      </x:c>
      <x:c r="S27" s="138" t="str">
        <x:f>IF(COUNTIF($R$6:$R$53,R27)&gt;1,"重复","唯一")</x:f>
        <x:v>唯一</x:v>
      </x:c>
      <x:c r="T27" s="138" t="str">
        <x:v>167495a122c9f30351c44c8d4ad7a46d6324703dddf91305adf550037f429ba4</x:v>
      </x:c>
      <x:c r="U27" s="138" t="str">
        <x:v>Codex</x:v>
      </x:c>
      <x:c r="V27" s="395" t="n">
        <x:v>46241</x:v>
      </x:c>
      <x:c r="W27" s="138" t="str">
        <x:v>项目WAV母版转码</x:v>
      </x:c>
      <x:c r="X27" s="375" t="str">
        <x:v>—</x:v>
      </x:c>
      <x:c r="Y27" s="138" t="str">
        <x:v>正式运行OGG；WAV仅作母版；AudioManager事件=enemy_hit；Android/桌面统一版本化路径，禁止旧音效回退。</x:v>
      </x:c>
    </x:row>
    <x:row r="28">
      <x:c r="A28" s="138" t="str">
        <x:v>AUD-SFX-EXTRACTION-ABORT</x:v>
      </x:c>
      <x:c r="B28" s="138" t="str">
        <x:v>撤离中断音效</x:v>
      </x:c>
      <x:c r="C28" s="138" t="str">
        <x:v>音效</x:v>
      </x:c>
      <x:c r="D28" s="138" t="str">
        <x:v>sfx</x:v>
      </x:c>
      <x:c r="E28" s="138" t="str">
        <x:v>extraction_abort</x:v>
      </x:c>
      <x:c r="F28" s="138" t="str">
        <x:v>runtime</x:v>
      </x:c>
      <x:c r="G28" s="138"/>
      <x:c r="H28" s="138" t="str">
        <x:v>全局/非空间</x:v>
      </x:c>
      <x:c r="I28" s="138" t="str">
        <x:v>default</x:v>
      </x:c>
      <x:c r="J28" s="138" t="str">
        <x:v>桌面与Android正式运行</x:v>
      </x:c>
      <x:c r="K28" s="138" t="str">
        <x:v>已完成</x:v>
      </x:c>
      <x:c r="L28" s="138" t="str">
        <x:v>P0</x:v>
      </x:c>
      <x:c r="M28" s="138" t="str">
        <x:v>v001</x:v>
      </x:c>
      <x:c r="N28" s="138" t="str">
        <x:v>44.1kHz / OGG Vorbis / stereo</x:v>
      </x:c>
      <x:c r="O28" s="138" t="str">
        <x:v>src/assets/audio/sfx/extraction_abort_v001.ogg</x:v>
      </x:c>
      <x:c r="P28" s="138" t="str">
        <x:v>src/assets/audio/sfx/extraction_abort.wav; src/音效接入说明.md</x:v>
      </x:c>
      <x:c r="Q28" s="138" t="str">
        <x:v>extraction_abort; 音效; OGG; Android; 移动端</x:v>
      </x:c>
      <x:c r="R28" s="138" t="str">
        <x:f>LOWER(TRIM(C28)&amp;"|"&amp;TRIM(D28)&amp;"|"&amp;TRIM(E28)&amp;"|"&amp;TRIM(F28)&amp;"|"&amp;TRIM(H28)&amp;"|"&amp;TRIM(I28))</x:f>
        <x:v>音效|sfx|extraction_abort|runtime|全局/非空间|default</x:v>
      </x:c>
      <x:c r="S28" s="138" t="str">
        <x:f>IF(COUNTIF($R$6:$R$53,R28)&gt;1,"重复","唯一")</x:f>
        <x:v>唯一</x:v>
      </x:c>
      <x:c r="T28" s="138" t="str">
        <x:v>2b29c153f38d8115cdfae413ad3c4054923c65060341d26b2509e617d7c11de0</x:v>
      </x:c>
      <x:c r="U28" s="138" t="str">
        <x:v>Codex</x:v>
      </x:c>
      <x:c r="V28" s="395" t="n">
        <x:v>46241</x:v>
      </x:c>
      <x:c r="W28" s="138" t="str">
        <x:v>项目WAV母版转码</x:v>
      </x:c>
      <x:c r="X28" s="375" t="str">
        <x:v>—</x:v>
      </x:c>
      <x:c r="Y28" s="138" t="str">
        <x:v>正式运行OGG；WAV仅作母版；AudioManager事件=extraction_abort；Android/桌面统一版本化路径，禁止旧音效回退。</x:v>
      </x:c>
    </x:row>
    <x:row r="29">
      <x:c r="A29" s="138" t="str">
        <x:v>AUD-SFX-EXTRACTION-DONE</x:v>
      </x:c>
      <x:c r="B29" s="138" t="str">
        <x:v>撤离成功音效</x:v>
      </x:c>
      <x:c r="C29" s="138" t="str">
        <x:v>音效</x:v>
      </x:c>
      <x:c r="D29" s="138" t="str">
        <x:v>sfx</x:v>
      </x:c>
      <x:c r="E29" s="138" t="str">
        <x:v>extraction_done</x:v>
      </x:c>
      <x:c r="F29" s="138" t="str">
        <x:v>runtime</x:v>
      </x:c>
      <x:c r="G29" s="138"/>
      <x:c r="H29" s="138" t="str">
        <x:v>全局/非空间</x:v>
      </x:c>
      <x:c r="I29" s="138" t="str">
        <x:v>default</x:v>
      </x:c>
      <x:c r="J29" s="138" t="str">
        <x:v>桌面与Android正式运行</x:v>
      </x:c>
      <x:c r="K29" s="138" t="str">
        <x:v>已完成</x:v>
      </x:c>
      <x:c r="L29" s="138" t="str">
        <x:v>P0</x:v>
      </x:c>
      <x:c r="M29" s="138" t="str">
        <x:v>v001</x:v>
      </x:c>
      <x:c r="N29" s="138" t="str">
        <x:v>44.1kHz / OGG Vorbis / stereo</x:v>
      </x:c>
      <x:c r="O29" s="138" t="str">
        <x:v>src/assets/audio/sfx/extraction_done_v001.ogg</x:v>
      </x:c>
      <x:c r="P29" s="138" t="str">
        <x:v>src/assets/audio/sfx/extraction_done.wav; src/音效接入说明.md</x:v>
      </x:c>
      <x:c r="Q29" s="138" t="str">
        <x:v>extraction_done; 音效; OGG; Android; 移动端</x:v>
      </x:c>
      <x:c r="R29" s="138" t="str">
        <x:f>LOWER(TRIM(C29)&amp;"|"&amp;TRIM(D29)&amp;"|"&amp;TRIM(E29)&amp;"|"&amp;TRIM(F29)&amp;"|"&amp;TRIM(H29)&amp;"|"&amp;TRIM(I29))</x:f>
        <x:v>音效|sfx|extraction_done|runtime|全局/非空间|default</x:v>
      </x:c>
      <x:c r="S29" s="138" t="str">
        <x:f>IF(COUNTIF($R$6:$R$53,R29)&gt;1,"重复","唯一")</x:f>
        <x:v>唯一</x:v>
      </x:c>
      <x:c r="T29" s="138" t="str">
        <x:v>c6eef279ec7a88822b2554799f0a49e4549576ee4c682ef5a3440ea53279df70</x:v>
      </x:c>
      <x:c r="U29" s="138" t="str">
        <x:v>Codex</x:v>
      </x:c>
      <x:c r="V29" s="395" t="n">
        <x:v>46241</x:v>
      </x:c>
      <x:c r="W29" s="138" t="str">
        <x:v>项目WAV母版转码</x:v>
      </x:c>
      <x:c r="X29" s="375" t="str">
        <x:v>—</x:v>
      </x:c>
      <x:c r="Y29" s="138" t="str">
        <x:v>正式运行OGG；WAV仅作母版；AudioManager事件=extraction_done；Android/桌面统一版本化路径，禁止旧音效回退。</x:v>
      </x:c>
    </x:row>
    <x:row r="30">
      <x:c r="A30" s="138" t="str">
        <x:v>AUD-SFX-EXTRACTION-START</x:v>
      </x:c>
      <x:c r="B30" s="138" t="str">
        <x:v>撤离开始音效</x:v>
      </x:c>
      <x:c r="C30" s="138" t="str">
        <x:v>音效</x:v>
      </x:c>
      <x:c r="D30" s="138" t="str">
        <x:v>sfx</x:v>
      </x:c>
      <x:c r="E30" s="138" t="str">
        <x:v>extraction_start</x:v>
      </x:c>
      <x:c r="F30" s="138" t="str">
        <x:v>runtime</x:v>
      </x:c>
      <x:c r="G30" s="138"/>
      <x:c r="H30" s="138" t="str">
        <x:v>全局/非空间</x:v>
      </x:c>
      <x:c r="I30" s="138" t="str">
        <x:v>default</x:v>
      </x:c>
      <x:c r="J30" s="138" t="str">
        <x:v>桌面与Android正式运行</x:v>
      </x:c>
      <x:c r="K30" s="138" t="str">
        <x:v>已完成</x:v>
      </x:c>
      <x:c r="L30" s="138" t="str">
        <x:v>P0</x:v>
      </x:c>
      <x:c r="M30" s="138" t="str">
        <x:v>v001</x:v>
      </x:c>
      <x:c r="N30" s="138" t="str">
        <x:v>44.1kHz / OGG Vorbis / stereo</x:v>
      </x:c>
      <x:c r="O30" s="138" t="str">
        <x:v>src/assets/audio/sfx/extraction_start_v001.ogg</x:v>
      </x:c>
      <x:c r="P30" s="138" t="str">
        <x:v>src/assets/audio/sfx/extraction_start.wav; src/音效接入说明.md</x:v>
      </x:c>
      <x:c r="Q30" s="138" t="str">
        <x:v>extraction_start; 音效; OGG; Android; 移动端</x:v>
      </x:c>
      <x:c r="R30" s="138" t="str">
        <x:f>LOWER(TRIM(C30)&amp;"|"&amp;TRIM(D30)&amp;"|"&amp;TRIM(E30)&amp;"|"&amp;TRIM(F30)&amp;"|"&amp;TRIM(H30)&amp;"|"&amp;TRIM(I30))</x:f>
        <x:v>音效|sfx|extraction_start|runtime|全局/非空间|default</x:v>
      </x:c>
      <x:c r="S30" s="138" t="str">
        <x:f>IF(COUNTIF($R$6:$R$53,R30)&gt;1,"重复","唯一")</x:f>
        <x:v>唯一</x:v>
      </x:c>
      <x:c r="T30" s="138" t="str">
        <x:v>e44385e009738b96dac7aa7106bd489ccf55fe700332359407e0663f826c7daa</x:v>
      </x:c>
      <x:c r="U30" s="138" t="str">
        <x:v>Codex</x:v>
      </x:c>
      <x:c r="V30" s="395" t="n">
        <x:v>46241</x:v>
      </x:c>
      <x:c r="W30" s="138" t="str">
        <x:v>项目WAV母版转码</x:v>
      </x:c>
      <x:c r="X30" s="375" t="str">
        <x:v>—</x:v>
      </x:c>
      <x:c r="Y30" s="138" t="str">
        <x:v>正式运行OGG；WAV仅作母版；AudioManager事件=extraction_start；Android/桌面统一版本化路径，禁止旧音效回退。</x:v>
      </x:c>
    </x:row>
    <x:row r="31">
      <x:c r="A31" s="138" t="str">
        <x:v>AUD-SFX-FATE-CARD</x:v>
      </x:c>
      <x:c r="B31" s="138" t="str">
        <x:v>命运卡生效音效</x:v>
      </x:c>
      <x:c r="C31" s="138" t="str">
        <x:v>音效</x:v>
      </x:c>
      <x:c r="D31" s="138" t="str">
        <x:v>sfx</x:v>
      </x:c>
      <x:c r="E31" s="138" t="str">
        <x:v>fate_card</x:v>
      </x:c>
      <x:c r="F31" s="138" t="str">
        <x:v>runtime</x:v>
      </x:c>
      <x:c r="G31" s="138"/>
      <x:c r="H31" s="138" t="str">
        <x:v>全局/非空间</x:v>
      </x:c>
      <x:c r="I31" s="138" t="str">
        <x:v>default</x:v>
      </x:c>
      <x:c r="J31" s="138" t="str">
        <x:v>桌面与Android正式运行</x:v>
      </x:c>
      <x:c r="K31" s="138" t="str">
        <x:v>已完成</x:v>
      </x:c>
      <x:c r="L31" s="138" t="str">
        <x:v>P0</x:v>
      </x:c>
      <x:c r="M31" s="138" t="str">
        <x:v>v001</x:v>
      </x:c>
      <x:c r="N31" s="138" t="str">
        <x:v>44.1kHz / OGG Vorbis / stereo</x:v>
      </x:c>
      <x:c r="O31" s="138" t="str">
        <x:v>src/assets/audio/sfx/fate_card_v001.ogg</x:v>
      </x:c>
      <x:c r="P31" s="138" t="str">
        <x:v>src/assets/audio/sfx/fate_card.wav; src/音效接入说明.md</x:v>
      </x:c>
      <x:c r="Q31" s="138" t="str">
        <x:v>fate_card; 音效; OGG; Android; 移动端</x:v>
      </x:c>
      <x:c r="R31" s="138" t="str">
        <x:f>LOWER(TRIM(C31)&amp;"|"&amp;TRIM(D31)&amp;"|"&amp;TRIM(E31)&amp;"|"&amp;TRIM(F31)&amp;"|"&amp;TRIM(H31)&amp;"|"&amp;TRIM(I31))</x:f>
        <x:v>音效|sfx|fate_card|runtime|全局/非空间|default</x:v>
      </x:c>
      <x:c r="S31" s="138" t="str">
        <x:f>IF(COUNTIF($R$6:$R$53,R31)&gt;1,"重复","唯一")</x:f>
        <x:v>唯一</x:v>
      </x:c>
      <x:c r="T31" s="138" t="str">
        <x:v>7cdce8d37b6308c0df873f4f20e80d319e546cb24ab5d860ea0cef5bd4ae3488</x:v>
      </x:c>
      <x:c r="U31" s="138" t="str">
        <x:v>Codex</x:v>
      </x:c>
      <x:c r="V31" s="395" t="n">
        <x:v>46241</x:v>
      </x:c>
      <x:c r="W31" s="138" t="str">
        <x:v>项目WAV母版转码</x:v>
      </x:c>
      <x:c r="X31" s="375" t="str">
        <x:v>—</x:v>
      </x:c>
      <x:c r="Y31" s="138" t="str">
        <x:v>正式运行OGG；WAV仅作母版；AudioManager事件=fate_card；Android/桌面统一版本化路径，禁止旧音效回退。</x:v>
      </x:c>
    </x:row>
    <x:row r="32">
      <x:c r="A32" s="392" t="str">
        <x:v>AUD-SFX-ITEM-PICKUP</x:v>
      </x:c>
      <x:c r="B32" s="392" t="str">
        <x:v>物品拾取音效</x:v>
      </x:c>
      <x:c r="C32" s="392" t="str">
        <x:v>音效</x:v>
      </x:c>
      <x:c r="D32" s="392" t="str">
        <x:v>sfx</x:v>
      </x:c>
      <x:c r="E32" s="392" t="str">
        <x:v>item_pickup</x:v>
      </x:c>
      <x:c r="F32" s="392" t="str">
        <x:v>runtime</x:v>
      </x:c>
      <x:c r="G32" s="392"/>
      <x:c r="H32" s="392" t="str">
        <x:v>全局/非空间</x:v>
      </x:c>
      <x:c r="I32" s="392" t="str">
        <x:v>default</x:v>
      </x:c>
      <x:c r="J32" s="392" t="str">
        <x:v>桌面与Android正式运行</x:v>
      </x:c>
      <x:c r="K32" s="392" t="str">
        <x:v>已完成</x:v>
      </x:c>
      <x:c r="L32" s="392" t="str">
        <x:v>P0</x:v>
      </x:c>
      <x:c r="M32" s="392" t="str">
        <x:v>v001</x:v>
      </x:c>
      <x:c r="N32" s="392" t="str">
        <x:v>44.1kHz / OGG Vorbis / stereo</x:v>
      </x:c>
      <x:c r="O32" s="392" t="str">
        <x:v>src/assets/audio/sfx/item_pickup_v001.ogg</x:v>
      </x:c>
      <x:c r="P32" s="392" t="str">
        <x:v>src/assets/audio/sfx/item_pickup.wav; src/音效接入说明.md</x:v>
      </x:c>
      <x:c r="Q32" s="392" t="str">
        <x:v>item_pickup; 音效; OGG; Android; 移动端</x:v>
      </x:c>
      <x:c r="R32" s="392" t="str">
        <x:f>LOWER(TRIM(C32)&amp;"|"&amp;TRIM(D32)&amp;"|"&amp;TRIM(E32)&amp;"|"&amp;TRIM(F32)&amp;"|"&amp;TRIM(H32)&amp;"|"&amp;TRIM(I32))</x:f>
        <x:v>音效|sfx|item_pickup|runtime|全局/非空间|default</x:v>
      </x:c>
      <x:c r="S32" s="392" t="str">
        <x:f>IF(COUNTIF($R$6:$R$53,R32)&gt;1,"重复","唯一")</x:f>
        <x:v>唯一</x:v>
      </x:c>
      <x:c r="T32" s="392" t="str">
        <x:v>7114f2ac9b0dc6ee500f5176b315b5f8a84f9ec7e3c5168dc342febdb747c290</x:v>
      </x:c>
      <x:c r="U32" s="392" t="str">
        <x:v>Codex</x:v>
      </x:c>
      <x:c r="V32" s="396" t="n">
        <x:v>46241</x:v>
      </x:c>
      <x:c r="W32" s="392" t="str">
        <x:v>项目WAV母版转码</x:v>
      </x:c>
      <x:c r="X32" s="375" t="str">
        <x:v>—</x:v>
      </x:c>
      <x:c r="Y32" s="392" t="str">
        <x:v>正式运行OGG；WAV仅作母版；AudioManager事件=item_pickup；Android/桌面统一版本化路径，禁止旧音效回退。</x:v>
      </x:c>
    </x:row>
    <x:row r="33">
      <x:c r="A33" s="392" t="str">
        <x:v>AUD-SFX-LASER-FIRE</x:v>
      </x:c>
      <x:c r="B33" s="392" t="str">
        <x:v>能量武器射击音效</x:v>
      </x:c>
      <x:c r="C33" s="392" t="str">
        <x:v>音效</x:v>
      </x:c>
      <x:c r="D33" s="392" t="str">
        <x:v>sfx</x:v>
      </x:c>
      <x:c r="E33" s="392" t="str">
        <x:v>laser_fire</x:v>
      </x:c>
      <x:c r="F33" s="392" t="str">
        <x:v>runtime</x:v>
      </x:c>
      <x:c r="G33" s="392"/>
      <x:c r="H33" s="392" t="str">
        <x:v>全局/非空间</x:v>
      </x:c>
      <x:c r="I33" s="392" t="str">
        <x:v>default</x:v>
      </x:c>
      <x:c r="J33" s="392" t="str">
        <x:v>桌面与Android正式运行</x:v>
      </x:c>
      <x:c r="K33" s="392" t="str">
        <x:v>已完成</x:v>
      </x:c>
      <x:c r="L33" s="392" t="str">
        <x:v>P0</x:v>
      </x:c>
      <x:c r="M33" s="392" t="str">
        <x:v>v001</x:v>
      </x:c>
      <x:c r="N33" s="392" t="str">
        <x:v>44.1kHz / OGG Vorbis / stereo</x:v>
      </x:c>
      <x:c r="O33" s="392" t="str">
        <x:v>src/assets/audio/sfx/laser_fire_v001.ogg</x:v>
      </x:c>
      <x:c r="P33" s="392" t="str">
        <x:v>src/assets/audio/sfx/laser_fire.wav; src/音效接入说明.md</x:v>
      </x:c>
      <x:c r="Q33" s="392" t="str">
        <x:v>laser_fire; 音效; OGG; Android; 移动端</x:v>
      </x:c>
      <x:c r="R33" s="392" t="str">
        <x:f>LOWER(TRIM(C33)&amp;"|"&amp;TRIM(D33)&amp;"|"&amp;TRIM(E33)&amp;"|"&amp;TRIM(F33)&amp;"|"&amp;TRIM(H33)&amp;"|"&amp;TRIM(I33))</x:f>
        <x:v>音效|sfx|laser_fire|runtime|全局/非空间|default</x:v>
      </x:c>
      <x:c r="S33" s="392" t="str">
        <x:f>IF(COUNTIF($R$6:$R$53,R33)&gt;1,"重复","唯一")</x:f>
        <x:v>唯一</x:v>
      </x:c>
      <x:c r="T33" s="392" t="str">
        <x:v>b9fa5b0e0835a0e18b5a0bb29bff7fcc94944020f3eb9a8424343786ab845191</x:v>
      </x:c>
      <x:c r="U33" s="392" t="str">
        <x:v>Codex</x:v>
      </x:c>
      <x:c r="V33" s="396" t="n">
        <x:v>46241</x:v>
      </x:c>
      <x:c r="W33" s="392" t="str">
        <x:v>项目WAV母版转码</x:v>
      </x:c>
      <x:c r="X33" s="375" t="str">
        <x:v>—</x:v>
      </x:c>
      <x:c r="Y33" s="392" t="str">
        <x:v>正式运行OGG；WAV仅作母版；AudioManager事件=laser_fire；Android/桌面统一版本化路径，禁止旧音效回退。</x:v>
      </x:c>
    </x:row>
    <x:row r="34">
      <x:c r="A34" s="392" t="str">
        <x:v>AUD-SFX-MERCHANT-PURCHASE</x:v>
      </x:c>
      <x:c r="B34" s="392" t="str">
        <x:v>交易成功音效</x:v>
      </x:c>
      <x:c r="C34" s="392" t="str">
        <x:v>音效</x:v>
      </x:c>
      <x:c r="D34" s="392" t="str">
        <x:v>sfx</x:v>
      </x:c>
      <x:c r="E34" s="392" t="str">
        <x:v>merchant_purchase</x:v>
      </x:c>
      <x:c r="F34" s="392" t="str">
        <x:v>runtime</x:v>
      </x:c>
      <x:c r="G34" s="392"/>
      <x:c r="H34" s="392" t="str">
        <x:v>全局/非空间</x:v>
      </x:c>
      <x:c r="I34" s="392" t="str">
        <x:v>default</x:v>
      </x:c>
      <x:c r="J34" s="392" t="str">
        <x:v>桌面与Android正式运行</x:v>
      </x:c>
      <x:c r="K34" s="392" t="str">
        <x:v>已完成</x:v>
      </x:c>
      <x:c r="L34" s="392" t="str">
        <x:v>P0</x:v>
      </x:c>
      <x:c r="M34" s="392" t="str">
        <x:v>v001</x:v>
      </x:c>
      <x:c r="N34" s="392" t="str">
        <x:v>44.1kHz / OGG Vorbis / stereo</x:v>
      </x:c>
      <x:c r="O34" s="392" t="str">
        <x:v>src/assets/audio/sfx/merchant_purchase_v001.ogg</x:v>
      </x:c>
      <x:c r="P34" s="392" t="str">
        <x:v>src/assets/audio/sfx/merchant_purchase.wav; src/音效接入说明.md</x:v>
      </x:c>
      <x:c r="Q34" s="392" t="str">
        <x:v>merchant_purchase; 音效; OGG; Android; 移动端</x:v>
      </x:c>
      <x:c r="R34" s="392" t="str">
        <x:f>LOWER(TRIM(C34)&amp;"|"&amp;TRIM(D34)&amp;"|"&amp;TRIM(E34)&amp;"|"&amp;TRIM(F34)&amp;"|"&amp;TRIM(H34)&amp;"|"&amp;TRIM(I34))</x:f>
        <x:v>音效|sfx|merchant_purchase|runtime|全局/非空间|default</x:v>
      </x:c>
      <x:c r="S34" s="392" t="str">
        <x:f>IF(COUNTIF($R$6:$R$53,R34)&gt;1,"重复","唯一")</x:f>
        <x:v>唯一</x:v>
      </x:c>
      <x:c r="T34" s="392" t="str">
        <x:v>ff71a229a012ea8ed985ab286ea01672af277dd33a62549dd080f1e9026d53c2</x:v>
      </x:c>
      <x:c r="U34" s="392" t="str">
        <x:v>Codex</x:v>
      </x:c>
      <x:c r="V34" s="396" t="n">
        <x:v>46241</x:v>
      </x:c>
      <x:c r="W34" s="392" t="str">
        <x:v>项目WAV母版转码</x:v>
      </x:c>
      <x:c r="X34" s="375" t="str">
        <x:v>—</x:v>
      </x:c>
      <x:c r="Y34" s="392" t="str">
        <x:v>正式运行OGG；WAV仅作母版；AudioManager事件=merchant_purchase；Android/桌面统一版本化路径，禁止旧音效回退。</x:v>
      </x:c>
    </x:row>
    <x:row r="35">
      <x:c r="A35" s="308" t="str">
        <x:v>AUD-SFX-PISTOL-FIRE</x:v>
      </x:c>
      <x:c r="B35" s="309" t="str">
        <x:v>手枪射击音效</x:v>
      </x:c>
      <x:c r="C35" s="309" t="str">
        <x:v>音效</x:v>
      </x:c>
      <x:c r="D35" s="309" t="str">
        <x:v>sfx</x:v>
      </x:c>
      <x:c r="E35" s="309" t="str">
        <x:v>pistol_fire</x:v>
      </x:c>
      <x:c r="F35" s="309" t="str">
        <x:v>runtime</x:v>
      </x:c>
      <x:c r="G35" s="309"/>
      <x:c r="H35" s="309" t="str">
        <x:v>全局/非空间</x:v>
      </x:c>
      <x:c r="I35" s="309" t="str">
        <x:v>default</x:v>
      </x:c>
      <x:c r="J35" s="309" t="str">
        <x:v>桌面与Android正式运行</x:v>
      </x:c>
      <x:c r="K35" s="309" t="str">
        <x:v>已完成</x:v>
      </x:c>
      <x:c r="L35" s="309" t="str">
        <x:v>P0</x:v>
      </x:c>
      <x:c r="M35" s="309" t="str">
        <x:v>v001</x:v>
      </x:c>
      <x:c r="N35" s="309" t="str">
        <x:v>44.1kHz / OGG Vorbis / stereo</x:v>
      </x:c>
      <x:c r="O35" s="309" t="str">
        <x:v>src/assets/audio/sfx/pistol_fire_v001.ogg</x:v>
      </x:c>
      <x:c r="P35" s="309" t="str">
        <x:v>src/assets/audio/sfx/pistol_fire.wav; src/音效接入说明.md</x:v>
      </x:c>
      <x:c r="Q35" s="309" t="str">
        <x:v>pistol_fire; 音效; OGG; Android; 移动端</x:v>
      </x:c>
      <x:c r="R35" s="309" t="str">
        <x:f>LOWER(TRIM(C35)&amp;"|"&amp;TRIM(D35)&amp;"|"&amp;TRIM(E35)&amp;"|"&amp;TRIM(F35)&amp;"|"&amp;TRIM(H35)&amp;"|"&amp;TRIM(I35))</x:f>
        <x:v>音效|sfx|pistol_fire|runtime|全局/非空间|default</x:v>
      </x:c>
      <x:c r="S35" s="309" t="str">
        <x:f>IF(COUNTIF($R$6:$R$53,R35)&gt;1,"重复","唯一")</x:f>
        <x:v>唯一</x:v>
      </x:c>
      <x:c r="T35" s="309" t="str">
        <x:v>b2c39d4579cf13e32f98e79eb57b6ea0efeb5af7a497c60dc1acf94e8dd16937</x:v>
      </x:c>
      <x:c r="U35" s="309" t="str">
        <x:v>Codex</x:v>
      </x:c>
      <x:c r="V35" s="397" t="n">
        <x:v>46241</x:v>
      </x:c>
      <x:c r="W35" s="309" t="str">
        <x:v>项目WAV母版转码</x:v>
      </x:c>
      <x:c r="X35" s="375" t="str">
        <x:v>—</x:v>
      </x:c>
      <x:c r="Y35" s="309" t="str">
        <x:v>正式运行OGG；WAV仅作母版；AudioManager事件=pistol_fire；Android/桌面统一版本化路径，禁止旧音效回退。</x:v>
      </x:c>
    </x:row>
    <x:row r="36">
      <x:c r="A36" s="392" t="str">
        <x:v>AUD-SFX-PLAYER-DASH</x:v>
      </x:c>
      <x:c r="B36" s="392" t="str">
        <x:v>玩家冲刺音效</x:v>
      </x:c>
      <x:c r="C36" s="392" t="str">
        <x:v>音效</x:v>
      </x:c>
      <x:c r="D36" s="392" t="str">
        <x:v>sfx</x:v>
      </x:c>
      <x:c r="E36" s="392" t="str">
        <x:v>player_dash</x:v>
      </x:c>
      <x:c r="F36" s="392" t="str">
        <x:v>runtime</x:v>
      </x:c>
      <x:c r="G36" s="392"/>
      <x:c r="H36" s="392" t="str">
        <x:v>全局/非空间</x:v>
      </x:c>
      <x:c r="I36" s="392" t="str">
        <x:v>default</x:v>
      </x:c>
      <x:c r="J36" s="392" t="str">
        <x:v>桌面与Android正式运行</x:v>
      </x:c>
      <x:c r="K36" s="392" t="str">
        <x:v>已完成</x:v>
      </x:c>
      <x:c r="L36" s="392" t="str">
        <x:v>P0</x:v>
      </x:c>
      <x:c r="M36" s="392" t="str">
        <x:v>v001</x:v>
      </x:c>
      <x:c r="N36" s="392" t="str">
        <x:v>44.1kHz / OGG Vorbis / stereo</x:v>
      </x:c>
      <x:c r="O36" s="392" t="str">
        <x:v>src/assets/audio/sfx/player_dash_v001.ogg</x:v>
      </x:c>
      <x:c r="P36" s="392" t="str">
        <x:v>src/assets/audio/sfx/player_dash.wav; src/音效接入说明.md</x:v>
      </x:c>
      <x:c r="Q36" s="392" t="str">
        <x:v>player_dash; 音效; OGG; Android; 移动端</x:v>
      </x:c>
      <x:c r="R36" s="392" t="str">
        <x:f>LOWER(TRIM(C36)&amp;"|"&amp;TRIM(D36)&amp;"|"&amp;TRIM(E36)&amp;"|"&amp;TRIM(F36)&amp;"|"&amp;TRIM(H36)&amp;"|"&amp;TRIM(I36))</x:f>
        <x:v>音效|sfx|player_dash|runtime|全局/非空间|default</x:v>
      </x:c>
      <x:c r="S36" s="392" t="str">
        <x:f>IF(COUNTIF($R$6:$R$53,R36)&gt;1,"重复","唯一")</x:f>
        <x:v>唯一</x:v>
      </x:c>
      <x:c r="T36" s="392" t="str">
        <x:v>5d437b11f4b79d593ded0045cf202542b44ac0eb7344561ec96c659ad9ea6930</x:v>
      </x:c>
      <x:c r="U36" s="392" t="str">
        <x:v>Codex</x:v>
      </x:c>
      <x:c r="V36" s="396" t="n">
        <x:v>46241</x:v>
      </x:c>
      <x:c r="W36" s="392" t="str">
        <x:v>项目WAV母版转码</x:v>
      </x:c>
      <x:c r="X36" s="375" t="str">
        <x:v>—</x:v>
      </x:c>
      <x:c r="Y36" s="392" t="str">
        <x:v>正式运行OGG；WAV仅作母版；AudioManager事件=player_dash；Android/桌面统一版本化路径，禁止旧音效回退。</x:v>
      </x:c>
    </x:row>
    <x:row r="37">
      <x:c r="A37" s="392" t="str">
        <x:v>AUD-SFX-PLAYER-HIT</x:v>
      </x:c>
      <x:c r="B37" s="392" t="str">
        <x:v>玩家受击音效</x:v>
      </x:c>
      <x:c r="C37" s="392" t="str">
        <x:v>音效</x:v>
      </x:c>
      <x:c r="D37" s="392" t="str">
        <x:v>sfx</x:v>
      </x:c>
      <x:c r="E37" s="392" t="str">
        <x:v>player_hit</x:v>
      </x:c>
      <x:c r="F37" s="392" t="str">
        <x:v>runtime</x:v>
      </x:c>
      <x:c r="G37" s="392"/>
      <x:c r="H37" s="392" t="str">
        <x:v>全局/非空间</x:v>
      </x:c>
      <x:c r="I37" s="392" t="str">
        <x:v>default</x:v>
      </x:c>
      <x:c r="J37" s="392" t="str">
        <x:v>桌面与Android正式运行</x:v>
      </x:c>
      <x:c r="K37" s="392" t="str">
        <x:v>已完成</x:v>
      </x:c>
      <x:c r="L37" s="392" t="str">
        <x:v>P0</x:v>
      </x:c>
      <x:c r="M37" s="392" t="str">
        <x:v>v001</x:v>
      </x:c>
      <x:c r="N37" s="392" t="str">
        <x:v>44.1kHz / OGG Vorbis / stereo</x:v>
      </x:c>
      <x:c r="O37" s="392" t="str">
        <x:v>src/assets/audio/sfx/player_hit_v001.ogg</x:v>
      </x:c>
      <x:c r="P37" s="392" t="str">
        <x:v>src/assets/audio/sfx/player_hit.wav; src/音效接入说明.md</x:v>
      </x:c>
      <x:c r="Q37" s="392" t="str">
        <x:v>player_hit; 音效; OGG; Android; 移动端</x:v>
      </x:c>
      <x:c r="R37" s="392" t="str">
        <x:f>LOWER(TRIM(C37)&amp;"|"&amp;TRIM(D37)&amp;"|"&amp;TRIM(E37)&amp;"|"&amp;TRIM(F37)&amp;"|"&amp;TRIM(H37)&amp;"|"&amp;TRIM(I37))</x:f>
        <x:v>音效|sfx|player_hit|runtime|全局/非空间|default</x:v>
      </x:c>
      <x:c r="S37" s="392" t="str">
        <x:f>IF(COUNTIF($R$6:$R$53,R37)&gt;1,"重复","唯一")</x:f>
        <x:v>唯一</x:v>
      </x:c>
      <x:c r="T37" s="392" t="str">
        <x:v>aa5bec92c2734e64ae75245c0fcb165c915981cf77d107c579649c228fc50eb2</x:v>
      </x:c>
      <x:c r="U37" s="392" t="str">
        <x:v>Codex</x:v>
      </x:c>
      <x:c r="V37" s="396" t="n">
        <x:v>46241</x:v>
      </x:c>
      <x:c r="W37" s="392" t="str">
        <x:v>项目WAV母版转码</x:v>
      </x:c>
      <x:c r="X37" s="375" t="str">
        <x:v>—</x:v>
      </x:c>
      <x:c r="Y37" s="392" t="str">
        <x:v>正式运行OGG；WAV仅作母版；AudioManager事件=player_hit；Android/桌面统一版本化路径，禁止旧音效回退。</x:v>
      </x:c>
    </x:row>
    <x:row r="38">
      <x:c r="A38" s="392" t="str">
        <x:v>AUD-SFX-RELOAD</x:v>
      </x:c>
      <x:c r="B38" s="392" t="str">
        <x:v>换弹音效</x:v>
      </x:c>
      <x:c r="C38" s="392" t="str">
        <x:v>音效</x:v>
      </x:c>
      <x:c r="D38" s="392" t="str">
        <x:v>sfx</x:v>
      </x:c>
      <x:c r="E38" s="392" t="str">
        <x:v>reload</x:v>
      </x:c>
      <x:c r="F38" s="392" t="str">
        <x:v>runtime</x:v>
      </x:c>
      <x:c r="G38" s="392"/>
      <x:c r="H38" s="392" t="str">
        <x:v>全局/非空间</x:v>
      </x:c>
      <x:c r="I38" s="392" t="str">
        <x:v>default</x:v>
      </x:c>
      <x:c r="J38" s="392" t="str">
        <x:v>桌面与Android正式运行</x:v>
      </x:c>
      <x:c r="K38" s="392" t="str">
        <x:v>已完成</x:v>
      </x:c>
      <x:c r="L38" s="392" t="str">
        <x:v>P0</x:v>
      </x:c>
      <x:c r="M38" s="392" t="str">
        <x:v>v001</x:v>
      </x:c>
      <x:c r="N38" s="392" t="str">
        <x:v>44.1kHz / OGG Vorbis / stereo</x:v>
      </x:c>
      <x:c r="O38" s="392" t="str">
        <x:v>src/assets/audio/sfx/reload_v001.ogg</x:v>
      </x:c>
      <x:c r="P38" s="392" t="str">
        <x:v>src/assets/audio/sfx/reload.wav; src/音效接入说明.md</x:v>
      </x:c>
      <x:c r="Q38" s="392" t="str">
        <x:v>reload; 音效; OGG; Android; 移动端</x:v>
      </x:c>
      <x:c r="R38" s="392" t="str">
        <x:f>LOWER(TRIM(C38)&amp;"|"&amp;TRIM(D38)&amp;"|"&amp;TRIM(E38)&amp;"|"&amp;TRIM(F38)&amp;"|"&amp;TRIM(H38)&amp;"|"&amp;TRIM(I38))</x:f>
        <x:v>音效|sfx|reload|runtime|全局/非空间|default</x:v>
      </x:c>
      <x:c r="S38" s="392" t="str">
        <x:f>IF(COUNTIF($R$6:$R$53,R38)&gt;1,"重复","唯一")</x:f>
        <x:v>唯一</x:v>
      </x:c>
      <x:c r="T38" s="392" t="str">
        <x:v>0d60be5b4b3e9955d34c69e5719ae8d3147d6e87d3ffa58beae8d2beae42d0c7</x:v>
      </x:c>
      <x:c r="U38" s="392" t="str">
        <x:v>Codex</x:v>
      </x:c>
      <x:c r="V38" s="396" t="n">
        <x:v>46241</x:v>
      </x:c>
      <x:c r="W38" s="392" t="str">
        <x:v>项目WAV母版转码</x:v>
      </x:c>
      <x:c r="X38" s="375" t="str">
        <x:v>—</x:v>
      </x:c>
      <x:c r="Y38" s="392" t="str">
        <x:v>正式运行OGG；WAV仅作母版；AudioManager事件=reload；Android/桌面统一版本化路径，禁止旧音效回退。</x:v>
      </x:c>
    </x:row>
    <x:row r="39">
      <x:c r="A39" s="392" t="str">
        <x:v>AUD-SFX-RIFLE-FIRE</x:v>
      </x:c>
      <x:c r="B39" s="392" t="str">
        <x:v>步枪射击音效</x:v>
      </x:c>
      <x:c r="C39" s="392" t="str">
        <x:v>音效</x:v>
      </x:c>
      <x:c r="D39" s="392" t="str">
        <x:v>sfx</x:v>
      </x:c>
      <x:c r="E39" s="392" t="str">
        <x:v>rifle_fire</x:v>
      </x:c>
      <x:c r="F39" s="392" t="str">
        <x:v>runtime</x:v>
      </x:c>
      <x:c r="G39" s="392"/>
      <x:c r="H39" s="392" t="str">
        <x:v>全局/非空间</x:v>
      </x:c>
      <x:c r="I39" s="392" t="str">
        <x:v>default</x:v>
      </x:c>
      <x:c r="J39" s="392" t="str">
        <x:v>桌面与Android正式运行</x:v>
      </x:c>
      <x:c r="K39" s="392" t="str">
        <x:v>已完成</x:v>
      </x:c>
      <x:c r="L39" s="392" t="str">
        <x:v>P0</x:v>
      </x:c>
      <x:c r="M39" s="392" t="str">
        <x:v>v001</x:v>
      </x:c>
      <x:c r="N39" s="392" t="str">
        <x:v>44.1kHz / OGG Vorbis / stereo</x:v>
      </x:c>
      <x:c r="O39" s="392" t="str">
        <x:v>src/assets/audio/sfx/rifle_fire_v001.ogg</x:v>
      </x:c>
      <x:c r="P39" s="392" t="str">
        <x:v>src/assets/audio/sfx/rifle_fire.wav; src/音效接入说明.md</x:v>
      </x:c>
      <x:c r="Q39" s="392" t="str">
        <x:v>rifle_fire; 音效; OGG; Android; 移动端</x:v>
      </x:c>
      <x:c r="R39" s="392" t="str">
        <x:f>LOWER(TRIM(C39)&amp;"|"&amp;TRIM(D39)&amp;"|"&amp;TRIM(E39)&amp;"|"&amp;TRIM(F39)&amp;"|"&amp;TRIM(H39)&amp;"|"&amp;TRIM(I39))</x:f>
        <x:v>音效|sfx|rifle_fire|runtime|全局/非空间|default</x:v>
      </x:c>
      <x:c r="S39" s="392" t="str">
        <x:f>IF(COUNTIF($R$6:$R$53,R39)&gt;1,"重复","唯一")</x:f>
        <x:v>唯一</x:v>
      </x:c>
      <x:c r="T39" s="392" t="str">
        <x:v>c5b6cc8c2beb44f22c72c1d201b750dd79dc877ae88f0067ef246103948e0e33</x:v>
      </x:c>
      <x:c r="U39" s="392" t="str">
        <x:v>Codex</x:v>
      </x:c>
      <x:c r="V39" s="396" t="n">
        <x:v>46241</x:v>
      </x:c>
      <x:c r="W39" s="392" t="str">
        <x:v>项目WAV母版转码</x:v>
      </x:c>
      <x:c r="X39" s="375" t="str">
        <x:v>—</x:v>
      </x:c>
      <x:c r="Y39" s="392" t="str">
        <x:v>正式运行OGG；WAV仅作母版；AudioManager事件=rifle_fire；Android/桌面统一版本化路径，禁止旧音效回退。</x:v>
      </x:c>
    </x:row>
    <x:row r="40">
      <x:c r="A40" s="392" t="str">
        <x:v>AUD-SFX-SHOTGUN-FIRE</x:v>
      </x:c>
      <x:c r="B40" s="392" t="str">
        <x:v>霰弹枪射击音效</x:v>
      </x:c>
      <x:c r="C40" s="392" t="str">
        <x:v>音效</x:v>
      </x:c>
      <x:c r="D40" s="392" t="str">
        <x:v>sfx</x:v>
      </x:c>
      <x:c r="E40" s="392" t="str">
        <x:v>shotgun_fire</x:v>
      </x:c>
      <x:c r="F40" s="392" t="str">
        <x:v>runtime</x:v>
      </x:c>
      <x:c r="G40" s="392"/>
      <x:c r="H40" s="392" t="str">
        <x:v>全局/非空间</x:v>
      </x:c>
      <x:c r="I40" s="392" t="str">
        <x:v>default</x:v>
      </x:c>
      <x:c r="J40" s="392" t="str">
        <x:v>桌面与Android正式运行</x:v>
      </x:c>
      <x:c r="K40" s="392" t="str">
        <x:v>已完成</x:v>
      </x:c>
      <x:c r="L40" s="392" t="str">
        <x:v>P0</x:v>
      </x:c>
      <x:c r="M40" s="392" t="str">
        <x:v>v001</x:v>
      </x:c>
      <x:c r="N40" s="392" t="str">
        <x:v>44.1kHz / OGG Vorbis / stereo</x:v>
      </x:c>
      <x:c r="O40" s="392" t="str">
        <x:v>src/assets/audio/sfx/shotgun_fire_v001.ogg</x:v>
      </x:c>
      <x:c r="P40" s="392" t="str">
        <x:v>src/assets/audio/sfx/shotgun_fire.wav; src/音效接入说明.md</x:v>
      </x:c>
      <x:c r="Q40" s="392" t="str">
        <x:v>shotgun_fire; 音效; OGG; Android; 移动端</x:v>
      </x:c>
      <x:c r="R40" s="392" t="str">
        <x:f>LOWER(TRIM(C40)&amp;"|"&amp;TRIM(D40)&amp;"|"&amp;TRIM(E40)&amp;"|"&amp;TRIM(F40)&amp;"|"&amp;TRIM(H40)&amp;"|"&amp;TRIM(I40))</x:f>
        <x:v>音效|sfx|shotgun_fire|runtime|全局/非空间|default</x:v>
      </x:c>
      <x:c r="S40" s="392" t="str">
        <x:f>IF(COUNTIF($R$6:$R$53,R40)&gt;1,"重复","唯一")</x:f>
        <x:v>唯一</x:v>
      </x:c>
      <x:c r="T40" s="392" t="str">
        <x:v>e4b8feb67d9a438892183fa3a2e4afec8e3131235be342c02b1ce72e25767466</x:v>
      </x:c>
      <x:c r="U40" s="392" t="str">
        <x:v>Codex</x:v>
      </x:c>
      <x:c r="V40" s="396" t="n">
        <x:v>46241</x:v>
      </x:c>
      <x:c r="W40" s="392" t="str">
        <x:v>项目WAV母版转码</x:v>
      </x:c>
      <x:c r="X40" s="375" t="str">
        <x:v>—</x:v>
      </x:c>
      <x:c r="Y40" s="392" t="str">
        <x:v>正式运行OGG；WAV仅作母版；AudioManager事件=shotgun_fire；Android/桌面统一版本化路径，禁止旧音效回退。</x:v>
      </x:c>
    </x:row>
    <x:row r="41">
      <x:c r="A41" s="392" t="str">
        <x:v>AUD-SFX-SMG-FIRE</x:v>
      </x:c>
      <x:c r="B41" s="392" t="str">
        <x:v>冲锋枪射击音效</x:v>
      </x:c>
      <x:c r="C41" s="392" t="str">
        <x:v>音效</x:v>
      </x:c>
      <x:c r="D41" s="392" t="str">
        <x:v>sfx</x:v>
      </x:c>
      <x:c r="E41" s="392" t="str">
        <x:v>smg_fire</x:v>
      </x:c>
      <x:c r="F41" s="392" t="str">
        <x:v>runtime</x:v>
      </x:c>
      <x:c r="G41" s="392"/>
      <x:c r="H41" s="392" t="str">
        <x:v>全局/非空间</x:v>
      </x:c>
      <x:c r="I41" s="392" t="str">
        <x:v>default</x:v>
      </x:c>
      <x:c r="J41" s="392" t="str">
        <x:v>桌面与Android正式运行</x:v>
      </x:c>
      <x:c r="K41" s="392" t="str">
        <x:v>已完成</x:v>
      </x:c>
      <x:c r="L41" s="392" t="str">
        <x:v>P0</x:v>
      </x:c>
      <x:c r="M41" s="392" t="str">
        <x:v>v001</x:v>
      </x:c>
      <x:c r="N41" s="392" t="str">
        <x:v>44.1kHz / OGG Vorbis / stereo</x:v>
      </x:c>
      <x:c r="O41" s="392" t="str">
        <x:v>src/assets/audio/sfx/smg_fire_v001.ogg</x:v>
      </x:c>
      <x:c r="P41" s="392" t="str">
        <x:v>src/assets/audio/sfx/smg_fire.wav; src/音效接入说明.md</x:v>
      </x:c>
      <x:c r="Q41" s="392" t="str">
        <x:v>smg_fire; 音效; OGG; Android; 移动端</x:v>
      </x:c>
      <x:c r="R41" s="392" t="str">
        <x:f>LOWER(TRIM(C41)&amp;"|"&amp;TRIM(D41)&amp;"|"&amp;TRIM(E41)&amp;"|"&amp;TRIM(F41)&amp;"|"&amp;TRIM(H41)&amp;"|"&amp;TRIM(I41))</x:f>
        <x:v>音效|sfx|smg_fire|runtime|全局/非空间|default</x:v>
      </x:c>
      <x:c r="S41" s="392" t="str">
        <x:f>IF(COUNTIF($R$6:$R$53,R41)&gt;1,"重复","唯一")</x:f>
        <x:v>唯一</x:v>
      </x:c>
      <x:c r="T41" s="392" t="str">
        <x:v>282379aa6850e03dd6109928a22ad7792563768414ece93374c7cff725d306fa</x:v>
      </x:c>
      <x:c r="U41" s="392" t="str">
        <x:v>Codex</x:v>
      </x:c>
      <x:c r="V41" s="396" t="n">
        <x:v>46241</x:v>
      </x:c>
      <x:c r="W41" s="392" t="str">
        <x:v>项目WAV母版转码</x:v>
      </x:c>
      <x:c r="X41" s="375" t="str">
        <x:v>—</x:v>
      </x:c>
      <x:c r="Y41" s="392" t="str">
        <x:v>正式运行OGG；WAV仅作母版；AudioManager事件=smg_fire；Android/桌面统一版本化路径，禁止旧音效回退。</x:v>
      </x:c>
    </x:row>
    <x:row r="42">
      <x:c r="A42" s="392" t="str">
        <x:v>AUD-SFX-SNIPER-FIRE</x:v>
      </x:c>
      <x:c r="B42" s="392" t="str">
        <x:v>狙击枪射击音效</x:v>
      </x:c>
      <x:c r="C42" s="392" t="str">
        <x:v>音效</x:v>
      </x:c>
      <x:c r="D42" s="392" t="str">
        <x:v>sfx</x:v>
      </x:c>
      <x:c r="E42" s="392" t="str">
        <x:v>sniper_fire</x:v>
      </x:c>
      <x:c r="F42" s="392" t="str">
        <x:v>runtime</x:v>
      </x:c>
      <x:c r="G42" s="392"/>
      <x:c r="H42" s="392" t="str">
        <x:v>全局/非空间</x:v>
      </x:c>
      <x:c r="I42" s="392" t="str">
        <x:v>default</x:v>
      </x:c>
      <x:c r="J42" s="392" t="str">
        <x:v>桌面与Android正式运行</x:v>
      </x:c>
      <x:c r="K42" s="392" t="str">
        <x:v>已完成</x:v>
      </x:c>
      <x:c r="L42" s="392" t="str">
        <x:v>P0</x:v>
      </x:c>
      <x:c r="M42" s="392" t="str">
        <x:v>v001</x:v>
      </x:c>
      <x:c r="N42" s="392" t="str">
        <x:v>44.1kHz / OGG Vorbis / stereo</x:v>
      </x:c>
      <x:c r="O42" s="392" t="str">
        <x:v>src/assets/audio/sfx/sniper_fire_v001.ogg</x:v>
      </x:c>
      <x:c r="P42" s="392" t="str">
        <x:v>src/assets/audio/sfx/sniper_fire.wav; src/音效接入说明.md</x:v>
      </x:c>
      <x:c r="Q42" s="392" t="str">
        <x:v>sniper_fire; 音效; OGG; Android; 移动端</x:v>
      </x:c>
      <x:c r="R42" s="392" t="str">
        <x:f>LOWER(TRIM(C42)&amp;"|"&amp;TRIM(D42)&amp;"|"&amp;TRIM(E42)&amp;"|"&amp;TRIM(F42)&amp;"|"&amp;TRIM(H42)&amp;"|"&amp;TRIM(I42))</x:f>
        <x:v>音效|sfx|sniper_fire|runtime|全局/非空间|default</x:v>
      </x:c>
      <x:c r="S42" s="392" t="str">
        <x:f>IF(COUNTIF($R$6:$R$53,R42)&gt;1,"重复","唯一")</x:f>
        <x:v>唯一</x:v>
      </x:c>
      <x:c r="T42" s="392" t="str">
        <x:v>0d5161b3b8faece3024ad618916c203cd3d274d3b373af7bcbbd22baa0ab3968</x:v>
      </x:c>
      <x:c r="U42" s="392" t="str">
        <x:v>Codex</x:v>
      </x:c>
      <x:c r="V42" s="396" t="n">
        <x:v>46241</x:v>
      </x:c>
      <x:c r="W42" s="392" t="str">
        <x:v>项目WAV母版转码</x:v>
      </x:c>
      <x:c r="X42" s="375" t="str">
        <x:v>—</x:v>
      </x:c>
      <x:c r="Y42" s="392" t="str">
        <x:v>正式运行OGG；WAV仅作母版；AudioManager事件=sniper_fire；Android/桌面统一版本化路径，禁止旧音效回退。</x:v>
      </x:c>
    </x:row>
    <x:row r="43">
      <x:c r="A43" s="392" t="str">
        <x:v>AUD-SFX-SOUL-PICKUP</x:v>
      </x:c>
      <x:c r="B43" s="392" t="str">
        <x:v>魂球拾取音效</x:v>
      </x:c>
      <x:c r="C43" s="392" t="str">
        <x:v>音效</x:v>
      </x:c>
      <x:c r="D43" s="392" t="str">
        <x:v>sfx</x:v>
      </x:c>
      <x:c r="E43" s="392" t="str">
        <x:v>soul_pickup</x:v>
      </x:c>
      <x:c r="F43" s="392" t="str">
        <x:v>runtime</x:v>
      </x:c>
      <x:c r="G43" s="392"/>
      <x:c r="H43" s="392" t="str">
        <x:v>全局/非空间</x:v>
      </x:c>
      <x:c r="I43" s="392" t="str">
        <x:v>default</x:v>
      </x:c>
      <x:c r="J43" s="392" t="str">
        <x:v>桌面与Android正式运行</x:v>
      </x:c>
      <x:c r="K43" s="392" t="str">
        <x:v>已完成</x:v>
      </x:c>
      <x:c r="L43" s="392" t="str">
        <x:v>P0</x:v>
      </x:c>
      <x:c r="M43" s="392" t="str">
        <x:v>v001</x:v>
      </x:c>
      <x:c r="N43" s="392" t="str">
        <x:v>44.1kHz / OGG Vorbis / stereo</x:v>
      </x:c>
      <x:c r="O43" s="392" t="str">
        <x:v>src/assets/audio/sfx/soul_pickup_v001.ogg</x:v>
      </x:c>
      <x:c r="P43" s="392" t="str">
        <x:v>src/assets/audio/sfx/soul_pickup.wav; src/音效接入说明.md</x:v>
      </x:c>
      <x:c r="Q43" s="392" t="str">
        <x:v>soul_pickup; 音效; OGG; Android; 移动端</x:v>
      </x:c>
      <x:c r="R43" s="392" t="str">
        <x:f>LOWER(TRIM(C43)&amp;"|"&amp;TRIM(D43)&amp;"|"&amp;TRIM(E43)&amp;"|"&amp;TRIM(F43)&amp;"|"&amp;TRIM(H43)&amp;"|"&amp;TRIM(I43))</x:f>
        <x:v>音效|sfx|soul_pickup|runtime|全局/非空间|default</x:v>
      </x:c>
      <x:c r="S43" s="392" t="str">
        <x:f>IF(COUNTIF($R$6:$R$53,R43)&gt;1,"重复","唯一")</x:f>
        <x:v>唯一</x:v>
      </x:c>
      <x:c r="T43" s="392" t="str">
        <x:v>c9f24f23f1c4e8ad28a5ee97e9b11efd00e53bf706faa0655cba4f78b68e76ff</x:v>
      </x:c>
      <x:c r="U43" s="392" t="str">
        <x:v>Codex</x:v>
      </x:c>
      <x:c r="V43" s="396" t="n">
        <x:v>46241</x:v>
      </x:c>
      <x:c r="W43" s="392" t="str">
        <x:v>项目WAV母版转码</x:v>
      </x:c>
      <x:c r="X43" s="375" t="str">
        <x:v>—</x:v>
      </x:c>
      <x:c r="Y43" s="392" t="str">
        <x:v>正式运行OGG；WAV仅作母版；AudioManager事件=soul_pickup；Android/桌面统一版本化路径，禁止旧音效回退。</x:v>
      </x:c>
    </x:row>
    <x:row r="44">
      <x:c r="A44" s="392" t="str">
        <x:v>AUD-SFX-UI-CLICK</x:v>
      </x:c>
      <x:c r="B44" s="392" t="str">
        <x:v>UI点击音效</x:v>
      </x:c>
      <x:c r="C44" s="392" t="str">
        <x:v>音效</x:v>
      </x:c>
      <x:c r="D44" s="392" t="str">
        <x:v>sfx</x:v>
      </x:c>
      <x:c r="E44" s="392" t="str">
        <x:v>ui_click</x:v>
      </x:c>
      <x:c r="F44" s="392" t="str">
        <x:v>runtime</x:v>
      </x:c>
      <x:c r="G44" s="392"/>
      <x:c r="H44" s="392" t="str">
        <x:v>全局/非空间</x:v>
      </x:c>
      <x:c r="I44" s="392" t="str">
        <x:v>default</x:v>
      </x:c>
      <x:c r="J44" s="392" t="str">
        <x:v>桌面与Android正式运行</x:v>
      </x:c>
      <x:c r="K44" s="392" t="str">
        <x:v>已完成</x:v>
      </x:c>
      <x:c r="L44" s="392" t="str">
        <x:v>P0</x:v>
      </x:c>
      <x:c r="M44" s="392" t="str">
        <x:v>v001</x:v>
      </x:c>
      <x:c r="N44" s="392" t="str">
        <x:v>44.1kHz / OGG Vorbis / stereo</x:v>
      </x:c>
      <x:c r="O44" s="392" t="str">
        <x:v>src/assets/audio/sfx/ui_click_v001.ogg</x:v>
      </x:c>
      <x:c r="P44" s="392" t="str">
        <x:v>src/assets/audio/sfx/ui_click.wav; src/音效接入说明.md</x:v>
      </x:c>
      <x:c r="Q44" s="392" t="str">
        <x:v>ui_click; 音效; OGG; Android; 移动端</x:v>
      </x:c>
      <x:c r="R44" s="392" t="str">
        <x:f>LOWER(TRIM(C44)&amp;"|"&amp;TRIM(D44)&amp;"|"&amp;TRIM(E44)&amp;"|"&amp;TRIM(F44)&amp;"|"&amp;TRIM(H44)&amp;"|"&amp;TRIM(I44))</x:f>
        <x:v>音效|sfx|ui_click|runtime|全局/非空间|default</x:v>
      </x:c>
      <x:c r="S44" s="392" t="str">
        <x:f>IF(COUNTIF($R$6:$R$53,R44)&gt;1,"重复","唯一")</x:f>
        <x:v>唯一</x:v>
      </x:c>
      <x:c r="T44" s="392" t="str">
        <x:v>a19f1bec70959ea5fd4715ee292080f9932fc3835b060b713a00fc19822fc3a5</x:v>
      </x:c>
      <x:c r="U44" s="392" t="str">
        <x:v>Codex</x:v>
      </x:c>
      <x:c r="V44" s="396" t="n">
        <x:v>46241</x:v>
      </x:c>
      <x:c r="W44" s="392" t="str">
        <x:v>项目WAV母版转码</x:v>
      </x:c>
      <x:c r="X44" s="375" t="str">
        <x:v>—</x:v>
      </x:c>
      <x:c r="Y44" s="392" t="str">
        <x:v>正式运行OGG；WAV仅作母版；AudioManager事件=ui_click；Android/桌面统一版本化路径，禁止旧音效回退。</x:v>
      </x:c>
    </x:row>
    <x:row r="45">
      <x:c r="A45" s="392" t="str">
        <x:v>AUD-SFX-UI-ERROR</x:v>
      </x:c>
      <x:c r="B45" s="392" t="str">
        <x:v>UI错误音效</x:v>
      </x:c>
      <x:c r="C45" s="392" t="str">
        <x:v>音效</x:v>
      </x:c>
      <x:c r="D45" s="392" t="str">
        <x:v>sfx</x:v>
      </x:c>
      <x:c r="E45" s="392" t="str">
        <x:v>ui_error</x:v>
      </x:c>
      <x:c r="F45" s="392" t="str">
        <x:v>runtime</x:v>
      </x:c>
      <x:c r="G45" s="392"/>
      <x:c r="H45" s="392" t="str">
        <x:v>全局/非空间</x:v>
      </x:c>
      <x:c r="I45" s="392" t="str">
        <x:v>default</x:v>
      </x:c>
      <x:c r="J45" s="392" t="str">
        <x:v>桌面与Android正式运行</x:v>
      </x:c>
      <x:c r="K45" s="392" t="str">
        <x:v>已完成</x:v>
      </x:c>
      <x:c r="L45" s="392" t="str">
        <x:v>P0</x:v>
      </x:c>
      <x:c r="M45" s="392" t="str">
        <x:v>v001</x:v>
      </x:c>
      <x:c r="N45" s="392" t="str">
        <x:v>44.1kHz / OGG Vorbis / stereo</x:v>
      </x:c>
      <x:c r="O45" s="392" t="str">
        <x:v>src/assets/audio/sfx/ui_error_v001.ogg</x:v>
      </x:c>
      <x:c r="P45" s="392" t="str">
        <x:v>src/assets/audio/sfx/ui_error.wav; src/音效接入说明.md</x:v>
      </x:c>
      <x:c r="Q45" s="392" t="str">
        <x:v>ui_error; 音效; OGG; Android; 移动端</x:v>
      </x:c>
      <x:c r="R45" s="392" t="str">
        <x:f>LOWER(TRIM(C45)&amp;"|"&amp;TRIM(D45)&amp;"|"&amp;TRIM(E45)&amp;"|"&amp;TRIM(F45)&amp;"|"&amp;TRIM(H45)&amp;"|"&amp;TRIM(I45))</x:f>
        <x:v>音效|sfx|ui_error|runtime|全局/非空间|default</x:v>
      </x:c>
      <x:c r="S45" s="392" t="str">
        <x:f>IF(COUNTIF($R$6:$R$53,R45)&gt;1,"重复","唯一")</x:f>
        <x:v>唯一</x:v>
      </x:c>
      <x:c r="T45" s="392" t="str">
        <x:v>eeb07b8cc575869b8d560c929431d8beb43eb533c9900403df6beb9bb83b9b5e</x:v>
      </x:c>
      <x:c r="U45" s="392" t="str">
        <x:v>Codex</x:v>
      </x:c>
      <x:c r="V45" s="396" t="n">
        <x:v>46241</x:v>
      </x:c>
      <x:c r="W45" s="392" t="str">
        <x:v>项目WAV母版转码</x:v>
      </x:c>
      <x:c r="X45" s="375" t="str">
        <x:v>—</x:v>
      </x:c>
      <x:c r="Y45" s="392" t="str">
        <x:v>正式运行OGG；WAV仅作母版；AudioManager事件=ui_error；Android/桌面统一版本化路径，禁止旧音效回退。</x:v>
      </x:c>
    </x:row>
    <x:row r="46">
      <x:c r="A46" s="392" t="str">
        <x:v>AUD-SFX-UI-HOVER</x:v>
      </x:c>
      <x:c r="B46" s="392" t="str">
        <x:v>UI悬停音效</x:v>
      </x:c>
      <x:c r="C46" s="392" t="str">
        <x:v>音效</x:v>
      </x:c>
      <x:c r="D46" s="392" t="str">
        <x:v>sfx</x:v>
      </x:c>
      <x:c r="E46" s="392" t="str">
        <x:v>ui_hover</x:v>
      </x:c>
      <x:c r="F46" s="392" t="str">
        <x:v>runtime</x:v>
      </x:c>
      <x:c r="G46" s="392"/>
      <x:c r="H46" s="392" t="str">
        <x:v>全局/非空间</x:v>
      </x:c>
      <x:c r="I46" s="392" t="str">
        <x:v>default</x:v>
      </x:c>
      <x:c r="J46" s="392" t="str">
        <x:v>桌面与Android正式运行</x:v>
      </x:c>
      <x:c r="K46" s="392" t="str">
        <x:v>已完成</x:v>
      </x:c>
      <x:c r="L46" s="392" t="str">
        <x:v>P0</x:v>
      </x:c>
      <x:c r="M46" s="392" t="str">
        <x:v>v001</x:v>
      </x:c>
      <x:c r="N46" s="392" t="str">
        <x:v>44.1kHz / OGG Vorbis / stereo</x:v>
      </x:c>
      <x:c r="O46" s="392" t="str">
        <x:v>src/assets/audio/sfx/ui_hover_v001.ogg</x:v>
      </x:c>
      <x:c r="P46" s="392" t="str">
        <x:v>src/assets/audio/sfx/ui_hover.wav; src/音效接入说明.md</x:v>
      </x:c>
      <x:c r="Q46" s="392" t="str">
        <x:v>ui_hover; 音效; OGG; Android; 移动端</x:v>
      </x:c>
      <x:c r="R46" s="392" t="str">
        <x:f>LOWER(TRIM(C46)&amp;"|"&amp;TRIM(D46)&amp;"|"&amp;TRIM(E46)&amp;"|"&amp;TRIM(F46)&amp;"|"&amp;TRIM(H46)&amp;"|"&amp;TRIM(I46))</x:f>
        <x:v>音效|sfx|ui_hover|runtime|全局/非空间|default</x:v>
      </x:c>
      <x:c r="S46" s="392" t="str">
        <x:f>IF(COUNTIF($R$6:$R$53,R46)&gt;1,"重复","唯一")</x:f>
        <x:v>唯一</x:v>
      </x:c>
      <x:c r="T46" s="392" t="str">
        <x:v>edb43f0a80a9833364555c052e01e898d39396bef925566cbadf34e009877bcb</x:v>
      </x:c>
      <x:c r="U46" s="392" t="str">
        <x:v>Codex</x:v>
      </x:c>
      <x:c r="V46" s="396" t="n">
        <x:v>46241</x:v>
      </x:c>
      <x:c r="W46" s="392" t="str">
        <x:v>项目WAV母版转码</x:v>
      </x:c>
      <x:c r="X46" s="375" t="str">
        <x:v>—</x:v>
      </x:c>
      <x:c r="Y46" s="392" t="str">
        <x:v>正式运行OGG；WAV仅作母版；AudioManager事件=ui_hover；Android/桌面统一版本化路径，禁止旧音效回退。</x:v>
      </x:c>
    </x:row>
    <x:row r="47">
      <x:c r="A47" s="392" t="str">
        <x:v>AUD-SFX-WAVE-CLEAR</x:v>
      </x:c>
      <x:c r="B47" s="392" t="str">
        <x:v>波次完成音效</x:v>
      </x:c>
      <x:c r="C47" s="392" t="str">
        <x:v>音效</x:v>
      </x:c>
      <x:c r="D47" s="392" t="str">
        <x:v>sfx</x:v>
      </x:c>
      <x:c r="E47" s="392" t="str">
        <x:v>wave_clear</x:v>
      </x:c>
      <x:c r="F47" s="392" t="str">
        <x:v>runtime</x:v>
      </x:c>
      <x:c r="G47" s="392"/>
      <x:c r="H47" s="392" t="str">
        <x:v>全局/非空间</x:v>
      </x:c>
      <x:c r="I47" s="392" t="str">
        <x:v>default</x:v>
      </x:c>
      <x:c r="J47" s="392" t="str">
        <x:v>桌面与Android正式运行</x:v>
      </x:c>
      <x:c r="K47" s="392" t="str">
        <x:v>已完成</x:v>
      </x:c>
      <x:c r="L47" s="392" t="str">
        <x:v>P0</x:v>
      </x:c>
      <x:c r="M47" s="392" t="str">
        <x:v>v001</x:v>
      </x:c>
      <x:c r="N47" s="392" t="str">
        <x:v>44.1kHz / OGG Vorbis / stereo</x:v>
      </x:c>
      <x:c r="O47" s="392" t="str">
        <x:v>src/assets/audio/sfx/wave_clear_v001.ogg</x:v>
      </x:c>
      <x:c r="P47" s="392" t="str">
        <x:v>src/assets/audio/sfx/wave_clear.wav; src/音效接入说明.md</x:v>
      </x:c>
      <x:c r="Q47" s="392" t="str">
        <x:v>wave_clear; 音效; OGG; Android; 移动端</x:v>
      </x:c>
      <x:c r="R47" s="392" t="str">
        <x:f>LOWER(TRIM(C47)&amp;"|"&amp;TRIM(D47)&amp;"|"&amp;TRIM(E47)&amp;"|"&amp;TRIM(F47)&amp;"|"&amp;TRIM(H47)&amp;"|"&amp;TRIM(I47))</x:f>
        <x:v>音效|sfx|wave_clear|runtime|全局/非空间|default</x:v>
      </x:c>
      <x:c r="S47" s="392" t="str">
        <x:f>IF(COUNTIF($R$6:$R$53,R47)&gt;1,"重复","唯一")</x:f>
        <x:v>唯一</x:v>
      </x:c>
      <x:c r="T47" s="392" t="str">
        <x:v>aa4d315fd2914681fc9a44533dc4470186f3b3349e88782a9d4a00730b5377a2</x:v>
      </x:c>
      <x:c r="U47" s="392" t="str">
        <x:v>Codex</x:v>
      </x:c>
      <x:c r="V47" s="396" t="n">
        <x:v>46241</x:v>
      </x:c>
      <x:c r="W47" s="392" t="str">
        <x:v>项目WAV母版转码</x:v>
      </x:c>
      <x:c r="X47" s="375" t="str">
        <x:v>—</x:v>
      </x:c>
      <x:c r="Y47" s="392" t="str">
        <x:v>正式运行OGG；WAV仅作母版；AudioManager事件=wave_clear；Android/桌面统一版本化路径，禁止旧音效回退。</x:v>
      </x:c>
    </x:row>
    <x:row r="48">
      <x:c r="A48" s="392" t="str">
        <x:v>AUD-SFX-WAVE-START</x:v>
      </x:c>
      <x:c r="B48" s="392" t="str">
        <x:v>波次开始音效</x:v>
      </x:c>
      <x:c r="C48" s="392" t="str">
        <x:v>音效</x:v>
      </x:c>
      <x:c r="D48" s="392" t="str">
        <x:v>sfx</x:v>
      </x:c>
      <x:c r="E48" s="392" t="str">
        <x:v>wave_start</x:v>
      </x:c>
      <x:c r="F48" s="392" t="str">
        <x:v>runtime</x:v>
      </x:c>
      <x:c r="G48" s="392"/>
      <x:c r="H48" s="392" t="str">
        <x:v>全局/非空间</x:v>
      </x:c>
      <x:c r="I48" s="392" t="str">
        <x:v>default</x:v>
      </x:c>
      <x:c r="J48" s="392" t="str">
        <x:v>桌面与Android正式运行</x:v>
      </x:c>
      <x:c r="K48" s="392" t="str">
        <x:v>已完成</x:v>
      </x:c>
      <x:c r="L48" s="392" t="str">
        <x:v>P0</x:v>
      </x:c>
      <x:c r="M48" s="392" t="str">
        <x:v>v001</x:v>
      </x:c>
      <x:c r="N48" s="392" t="str">
        <x:v>44.1kHz / OGG Vorbis / stereo</x:v>
      </x:c>
      <x:c r="O48" s="392" t="str">
        <x:v>src/assets/audio/sfx/wave_start_v001.ogg</x:v>
      </x:c>
      <x:c r="P48" s="392" t="str">
        <x:v>src/assets/audio/sfx/wave_start.wav; src/音效接入说明.md</x:v>
      </x:c>
      <x:c r="Q48" s="392" t="str">
        <x:v>wave_start; 音效; OGG; Android; 移动端</x:v>
      </x:c>
      <x:c r="R48" s="392" t="str">
        <x:f>LOWER(TRIM(C48)&amp;"|"&amp;TRIM(D48)&amp;"|"&amp;TRIM(E48)&amp;"|"&amp;TRIM(F48)&amp;"|"&amp;TRIM(H48)&amp;"|"&amp;TRIM(I48))</x:f>
        <x:v>音效|sfx|wave_start|runtime|全局/非空间|default</x:v>
      </x:c>
      <x:c r="S48" s="392" t="str">
        <x:f>IF(COUNTIF($R$6:$R$53,R48)&gt;1,"重复","唯一")</x:f>
        <x:v>唯一</x:v>
      </x:c>
      <x:c r="T48" s="392" t="str">
        <x:v>be26cec7935eda95510b606cfc8bbebc5fe6f6d4310008a363d889f4bbef6083</x:v>
      </x:c>
      <x:c r="U48" s="392" t="str">
        <x:v>Codex</x:v>
      </x:c>
      <x:c r="V48" s="396" t="n">
        <x:v>46241</x:v>
      </x:c>
      <x:c r="W48" s="392" t="str">
        <x:v>项目WAV母版转码</x:v>
      </x:c>
      <x:c r="X48" s="375" t="str">
        <x:v>—</x:v>
      </x:c>
      <x:c r="Y48" s="392" t="str">
        <x:v>正式运行OGG；WAV仅作母版；AudioManager事件=wave_start；Android/桌面统一版本化路径，禁止旧音效回退。</x:v>
      </x:c>
    </x:row>
    <x:row r="49">
      <x:c r="A49" s="392" t="str">
        <x:v>AUD-SFX-MELEE-IMPACT</x:v>
      </x:c>
      <x:c r="B49" s="392" t="str">
        <x:v>近战命中主层音效</x:v>
      </x:c>
      <x:c r="C49" s="392" t="str">
        <x:v>音效</x:v>
      </x:c>
      <x:c r="D49" s="392" t="str">
        <x:v>sfx</x:v>
      </x:c>
      <x:c r="E49" s="392" t="str">
        <x:v>melee_impact</x:v>
      </x:c>
      <x:c r="F49" s="392" t="str">
        <x:v>runtime</x:v>
      </x:c>
      <x:c r="G49" s="392"/>
      <x:c r="H49" s="392" t="str">
        <x:v>全局/非空间</x:v>
      </x:c>
      <x:c r="I49" s="392" t="str">
        <x:v>default</x:v>
      </x:c>
      <x:c r="J49" s="392" t="str">
        <x:v>桌面与Android正式运行</x:v>
      </x:c>
      <x:c r="K49" s="392" t="str">
        <x:v>已完成</x:v>
      </x:c>
      <x:c r="L49" s="392" t="str">
        <x:v>P0</x:v>
      </x:c>
      <x:c r="M49" s="392" t="str">
        <x:v>v001</x:v>
      </x:c>
      <x:c r="N49" s="392" t="str">
        <x:v>44.1kHz / OGG Vorbis / stereo</x:v>
      </x:c>
      <x:c r="O49" s="392" t="str">
        <x:v>src/assets/audio/sfx/melee_impact_v001.ogg</x:v>
      </x:c>
      <x:c r="P49" s="392" t="str">
        <x:v>src/assets/audio/sfx/melee_impact.wav; src/音效接入说明.md</x:v>
      </x:c>
      <x:c r="Q49" s="392" t="str">
        <x:v>melee_impact; 近战命中; 打击; 冲击; OGG; Android</x:v>
      </x:c>
      <x:c r="R49" s="392" t="str">
        <x:f>LOWER(TRIM(C49)&amp;"|"&amp;TRIM(D49)&amp;"|"&amp;TRIM(E49)&amp;"|"&amp;TRIM(F49)&amp;"|"&amp;TRIM(H49)&amp;"|"&amp;TRIM(I49))</x:f>
        <x:v>音效|sfx|melee_impact|runtime|全局/非空间|default</x:v>
      </x:c>
      <x:c r="S49" s="392" t="str">
        <x:f>IF(COUNTIF($R$6:$R$53,R49)&gt;1,"重复","唯一")</x:f>
        <x:v>唯一</x:v>
      </x:c>
      <x:c r="T49" s="392" t="str">
        <x:v>adef9ec927d3d54967c605bfd3b779237e4f2b2b4430c30b4b656d4a204db8f8</x:v>
      </x:c>
      <x:c r="U49" s="392" t="str">
        <x:v>Codex</x:v>
      </x:c>
      <x:c r="V49" s="398" t="n">
        <x:v>46244</x:v>
      </x:c>
      <x:c r="W49" s="392" t="str">
        <x:v>原创程序合成母版</x:v>
      </x:c>
      <x:c r="X49" s="375" t="str">
        <x:v>—</x:v>
      </x:c>
      <x:c r="Y49" s="392" t="str">
        <x:v>正式运行OGG；WAV为原创程序合成母版；AudioManager事件=melee_impact；攻击级单次播放，敌人enemy_hit/crit_hit仍逐目标负责材质接触层。</x:v>
      </x:c>
    </x:row>
    <x:row r="50">
      <x:c r="A50" s="392" t="str">
        <x:v>AUD-SFX-MELEE-SWING</x:v>
      </x:c>
      <x:c r="B50" s="392" t="str">
        <x:v>近战挥砍空气层音效</x:v>
      </x:c>
      <x:c r="C50" s="392" t="str">
        <x:v>音效</x:v>
      </x:c>
      <x:c r="D50" s="392" t="str">
        <x:v>sfx</x:v>
      </x:c>
      <x:c r="E50" s="392" t="str">
        <x:v>melee_swing</x:v>
      </x:c>
      <x:c r="F50" s="392" t="str">
        <x:v>runtime</x:v>
      </x:c>
      <x:c r="G50" s="392"/>
      <x:c r="H50" s="392" t="str">
        <x:v>全局/非空间</x:v>
      </x:c>
      <x:c r="I50" s="392" t="str">
        <x:v>default</x:v>
      </x:c>
      <x:c r="J50" s="392" t="str">
        <x:v>桌面与Android正式运行</x:v>
      </x:c>
      <x:c r="K50" s="392" t="str">
        <x:v>已完成</x:v>
      </x:c>
      <x:c r="L50" s="392" t="str">
        <x:v>P0</x:v>
      </x:c>
      <x:c r="M50" s="392" t="str">
        <x:v>v001</x:v>
      </x:c>
      <x:c r="N50" s="392" t="str">
        <x:v>44.1kHz / OGG Vorbis / stereo</x:v>
      </x:c>
      <x:c r="O50" s="392" t="str">
        <x:v>src/assets/audio/sfx/melee_swing_v001.ogg</x:v>
      </x:c>
      <x:c r="P50" s="392" t="str">
        <x:v>src/assets/audio/sfx/melee_swing.wav; src/音效接入说明.md</x:v>
      </x:c>
      <x:c r="Q50" s="392" t="str">
        <x:v>melee_swing; 近战挥砍; 切风; 空气层; OGG; Android</x:v>
      </x:c>
      <x:c r="R50" s="392" t="str">
        <x:f>LOWER(TRIM(C50)&amp;"|"&amp;TRIM(D50)&amp;"|"&amp;TRIM(E50)&amp;"|"&amp;TRIM(F50)&amp;"|"&amp;TRIM(H50)&amp;"|"&amp;TRIM(I50))</x:f>
        <x:v>音效|sfx|melee_swing|runtime|全局/非空间|default</x:v>
      </x:c>
      <x:c r="S50" s="392" t="str">
        <x:f>IF(COUNTIF($R$6:$R$53,R50)&gt;1,"重复","唯一")</x:f>
        <x:v>唯一</x:v>
      </x:c>
      <x:c r="T50" s="392" t="str">
        <x:v>a3deeeeae55f1944ccf5df07167dad6c5cc4ac2869cf7b397383ce9828cfdad4</x:v>
      </x:c>
      <x:c r="U50" s="392" t="str">
        <x:v>Codex</x:v>
      </x:c>
      <x:c r="V50" s="398" t="n">
        <x:v>46244</x:v>
      </x:c>
      <x:c r="W50" s="392" t="str">
        <x:v>原创程序合成母版</x:v>
      </x:c>
      <x:c r="X50" s="375" t="str">
        <x:v>—</x:v>
      </x:c>
      <x:c r="Y50" s="392" t="str">
        <x:v>正式运行OGG；WAV为原创程序合成母版；AudioManager事件=melee_swing；每段active一次，按连段与武器类型固定调整音高/响度。</x:v>
      </x:c>
    </x:row>
    <x:row r="51">
      <x:c r="A51" s="392" t="str">
        <x:v>AUD-SFX-FLASHLIGHT-CHARGE-UP</x:v>
      </x:c>
      <x:c r="B51" s="392" t="str">
        <x:v>手电筒充能音效</x:v>
      </x:c>
      <x:c r="C51" s="392" t="str">
        <x:v>音效</x:v>
      </x:c>
      <x:c r="D51" s="392" t="str">
        <x:v>sfx</x:v>
      </x:c>
      <x:c r="E51" s="392" t="str">
        <x:v>flashlight_charge_up</x:v>
      </x:c>
      <x:c r="F51" s="392" t="str">
        <x:v>runtime</x:v>
      </x:c>
      <x:c r="G51" s="392"/>
      <x:c r="H51" s="392" t="str">
        <x:v>全局/非空间</x:v>
      </x:c>
      <x:c r="I51" s="392" t="str">
        <x:v>default</x:v>
      </x:c>
      <x:c r="J51" s="392" t="str">
        <x:v>手电筒系统</x:v>
      </x:c>
      <x:c r="K51" s="392" t="str">
        <x:v>已完成</x:v>
      </x:c>
      <x:c r="L51" s="392" t="str">
        <x:v>P0</x:v>
      </x:c>
      <x:c r="M51" s="392" t="str">
        <x:v>v001</x:v>
      </x:c>
      <x:c r="N51" s="392" t="str">
        <x:v>0.950s；44.1kHz；stereo OGG</x:v>
      </x:c>
      <x:c r="O51" s="392" t="str">
        <x:v>src/assets/audio/sfx/flashlight_charge_up_v001.ogg</x:v>
      </x:c>
      <x:c r="P51" s="392" t="str">
        <x:v>src/assets/audio/sfx/flashlight_charge_up.wav; tools/asset_pipeline/create_flashlight_sfx.py</x:v>
      </x:c>
      <x:c r="Q51" s="392" t="str">
        <x:v>flashlight; charge; 手电筒; 充能</x:v>
      </x:c>
      <x:c r="R51" s="392" t="str">
        <x:f>LOWER(TRIM(C51)&amp;"|"&amp;TRIM(D51)&amp;"|"&amp;TRIM(E51)&amp;"|"&amp;TRIM(F51)&amp;"|"&amp;TRIM(H51)&amp;"|"&amp;TRIM(I51))</x:f>
        <x:v>音效|sfx|flashlight_charge_up|runtime|全局/非空间|default</x:v>
      </x:c>
      <x:c r="S51" s="392" t="str">
        <x:f>IF(COUNTIF($R$6:$R$53,R51)&gt;1,"重复","唯一")</x:f>
        <x:v>唯一</x:v>
      </x:c>
      <x:c r="T51" s="392" t="str">
        <x:v>eee07c1942c32004dd750f670630d087e3491f5007537ba742cd102032ade878</x:v>
      </x:c>
      <x:c r="U51" s="392" t="str">
        <x:v>Codex</x:v>
      </x:c>
      <x:c r="V51" s="398" t="n">
        <x:v>46247</x:v>
      </x:c>
      <x:c r="W51" s="392" t="str">
        <x:v>原创程序合成</x:v>
      </x:c>
      <x:c r="X51" s="375" t="str">
        <x:v>—</x:v>
      </x:c>
      <x:c r="Y51" s="392" t="str">
        <x:v>WAV母版；OGG运行；桌面/Android统一路径。
2026-08-30 AST-01规范化（原制作状态：正式接入）</x:v>
      </x:c>
    </x:row>
    <x:row r="52">
      <x:c r="A52" s="392" t="str">
        <x:v>AUD-SFX-FLASHLIGHT-DEPLETED</x:v>
      </x:c>
      <x:c r="B52" s="392" t="str">
        <x:v>手电筒耗尽音效</x:v>
      </x:c>
      <x:c r="C52" s="392" t="str">
        <x:v>音效</x:v>
      </x:c>
      <x:c r="D52" s="392" t="str">
        <x:v>sfx</x:v>
      </x:c>
      <x:c r="E52" s="392" t="str">
        <x:v>flashlight_depleted</x:v>
      </x:c>
      <x:c r="F52" s="392" t="str">
        <x:v>runtime</x:v>
      </x:c>
      <x:c r="G52" s="392"/>
      <x:c r="H52" s="392" t="str">
        <x:v>全局/非空间</x:v>
      </x:c>
      <x:c r="I52" s="392" t="str">
        <x:v>default</x:v>
      </x:c>
      <x:c r="J52" s="392" t="str">
        <x:v>手电筒系统</x:v>
      </x:c>
      <x:c r="K52" s="392" t="str">
        <x:v>已完成</x:v>
      </x:c>
      <x:c r="L52" s="392" t="str">
        <x:v>P0</x:v>
      </x:c>
      <x:c r="M52" s="392" t="str">
        <x:v>v001</x:v>
      </x:c>
      <x:c r="N52" s="392" t="str">
        <x:v>0.850s；44.1kHz；stereo OGG</x:v>
      </x:c>
      <x:c r="O52" s="392" t="str">
        <x:v>src/assets/audio/sfx/flashlight_depleted_v001.ogg</x:v>
      </x:c>
      <x:c r="P52" s="392" t="str">
        <x:v>src/assets/audio/sfx/flashlight_depleted.wav; tools/asset_pipeline/create_flashlight_sfx.py</x:v>
      </x:c>
      <x:c r="Q52" s="392" t="str">
        <x:v>flashlight; depleted; 手电筒; 耗尽</x:v>
      </x:c>
      <x:c r="R52" s="392" t="str">
        <x:f>LOWER(TRIM(C52)&amp;"|"&amp;TRIM(D52)&amp;"|"&amp;TRIM(E52)&amp;"|"&amp;TRIM(F52)&amp;"|"&amp;TRIM(H52)&amp;"|"&amp;TRIM(I52))</x:f>
        <x:v>音效|sfx|flashlight_depleted|runtime|全局/非空间|default</x:v>
      </x:c>
      <x:c r="S52" s="392" t="str">
        <x:f>IF(COUNTIF($R$6:$R$53,R52)&gt;1,"重复","唯一")</x:f>
        <x:v>唯一</x:v>
      </x:c>
      <x:c r="T52" s="392" t="str">
        <x:v>c1aa6d3eb619bd1b714689118442e873af08a05e9ebc64cd56161b96a91fa095</x:v>
      </x:c>
      <x:c r="U52" s="392" t="str">
        <x:v>Codex</x:v>
      </x:c>
      <x:c r="V52" s="398" t="n">
        <x:v>46247</x:v>
      </x:c>
      <x:c r="W52" s="392" t="str">
        <x:v>原创程序合成</x:v>
      </x:c>
      <x:c r="X52" s="375" t="str">
        <x:v>—</x:v>
      </x:c>
      <x:c r="Y52" s="392" t="str">
        <x:v>WAV母版；OGG运行；桌面/Android统一路径。
2026-08-30 AST-01规范化（原制作状态：正式接入）</x:v>
      </x:c>
    </x:row>
    <x:row r="53">
      <x:c r="A53" s="392" t="str">
        <x:v>AUD-SFX-FLASHLIGHT-LOW-BATTERY</x:v>
      </x:c>
      <x:c r="B53" s="392" t="str">
        <x:v>手电筒低电量音效</x:v>
      </x:c>
      <x:c r="C53" s="392" t="str">
        <x:v>音效</x:v>
      </x:c>
      <x:c r="D53" s="392" t="str">
        <x:v>sfx</x:v>
      </x:c>
      <x:c r="E53" s="392" t="str">
        <x:v>flashlight_low_battery</x:v>
      </x:c>
      <x:c r="F53" s="392" t="str">
        <x:v>runtime</x:v>
      </x:c>
      <x:c r="G53" s="392"/>
      <x:c r="H53" s="392" t="str">
        <x:v>全局/非空间</x:v>
      </x:c>
      <x:c r="I53" s="392" t="str">
        <x:v>default</x:v>
      </x:c>
      <x:c r="J53" s="392" t="str">
        <x:v>手电筒系统</x:v>
      </x:c>
      <x:c r="K53" s="392" t="str">
        <x:v>已完成</x:v>
      </x:c>
      <x:c r="L53" s="392" t="str">
        <x:v>P0</x:v>
      </x:c>
      <x:c r="M53" s="392" t="str">
        <x:v>v001</x:v>
      </x:c>
      <x:c r="N53" s="392" t="str">
        <x:v>0.650s；44.1kHz；stereo OGG</x:v>
      </x:c>
      <x:c r="O53" s="392" t="str">
        <x:v>src/assets/audio/sfx/flashlight_low_battery_v001.ogg</x:v>
      </x:c>
      <x:c r="P53" s="392" t="str">
        <x:v>src/assets/audio/sfx/flashlight_low_battery.wav; tools/asset_pipeline/create_flashlight_sfx.py</x:v>
      </x:c>
      <x:c r="Q53" s="392" t="str">
        <x:v>flashlight; low battery; 手电筒; 低电量</x:v>
      </x:c>
      <x:c r="R53" s="392" t="str">
        <x:f>LOWER(TRIM(C53)&amp;"|"&amp;TRIM(D53)&amp;"|"&amp;TRIM(E53)&amp;"|"&amp;TRIM(F53)&amp;"|"&amp;TRIM(H53)&amp;"|"&amp;TRIM(I53))</x:f>
        <x:v>音效|sfx|flashlight_low_battery|runtime|全局/非空间|default</x:v>
      </x:c>
      <x:c r="S53" s="392" t="str">
        <x:f>IF(COUNTIF($R$6:$R$53,R53)&gt;1,"重复","唯一")</x:f>
        <x:v>唯一</x:v>
      </x:c>
      <x:c r="T53" s="392" t="str">
        <x:v>e9fb880d366d90b203569bae843c30bfc02541bd03b16e56a30cbd440b61fb4a</x:v>
      </x:c>
      <x:c r="U53" s="392" t="str">
        <x:v>Codex</x:v>
      </x:c>
      <x:c r="V53" s="398" t="n">
        <x:v>46247</x:v>
      </x:c>
      <x:c r="W53" s="392" t="str">
        <x:v>原创程序合成</x:v>
      </x:c>
      <x:c r="X53" s="375" t="str">
        <x:v>—</x:v>
      </x:c>
      <x:c r="Y53" s="392" t="str">
        <x:v>WAV母版；OGG运行；桌面/Android统一路径。
2026-08-30 AST-01规范化（原制作状态：正式接入）</x:v>
      </x:c>
    </x:row>
    <x:row r="54">
      <x:c r="A54" s="392"/>
      <x:c r="B54" s="392"/>
      <x:c r="C54" s="392"/>
      <x:c r="D54" s="392"/>
      <x:c r="E54" s="392"/>
      <x:c r="F54" s="392"/>
      <x:c r="G54" s="392"/>
      <x:c r="H54" s="392"/>
      <x:c r="I54" s="392"/>
      <x:c r="J54" s="392"/>
      <x:c r="K54" s="392"/>
      <x:c r="L54" s="392"/>
      <x:c r="M54" s="392"/>
      <x:c r="N54" s="392"/>
      <x:c r="O54" s="392"/>
      <x:c r="P54" s="392"/>
      <x:c r="Q54" s="392"/>
      <x:c r="R54" s="392"/>
      <x:c r="S54" s="392"/>
      <x:c r="T54" s="392"/>
      <x:c r="U54" s="392"/>
      <x:c r="V54" s="348"/>
      <x:c r="W54" s="392"/>
      <x:c r="X54" s="375"/>
      <x:c r="Y54" s="392"/>
    </x:row>
    <x:row r="55">
      <x:c r="A55" s="392"/>
      <x:c r="B55" s="392"/>
      <x:c r="C55" s="392"/>
      <x:c r="D55" s="392"/>
      <x:c r="E55" s="392"/>
      <x:c r="F55" s="392"/>
      <x:c r="G55" s="392"/>
      <x:c r="H55" s="392"/>
      <x:c r="I55" s="392"/>
      <x:c r="J55" s="392"/>
      <x:c r="K55" s="392"/>
      <x:c r="L55" s="392"/>
      <x:c r="M55" s="392"/>
      <x:c r="N55" s="392"/>
      <x:c r="O55" s="392"/>
      <x:c r="P55" s="392"/>
      <x:c r="Q55" s="392"/>
      <x:c r="R55" s="392"/>
      <x:c r="S55" s="392"/>
      <x:c r="T55" s="392"/>
      <x:c r="U55" s="392"/>
      <x:c r="V55" s="348"/>
      <x:c r="W55" s="392"/>
      <x:c r="X55" s="375"/>
      <x:c r="Y55" s="392"/>
    </x:row>
    <x:row r="56">
      <x:c r="A56" s="392"/>
      <x:c r="B56" s="392"/>
      <x:c r="C56" s="392"/>
      <x:c r="D56" s="392"/>
      <x:c r="E56" s="392"/>
      <x:c r="F56" s="392"/>
      <x:c r="G56" s="392"/>
      <x:c r="H56" s="392"/>
      <x:c r="I56" s="392"/>
      <x:c r="J56" s="392"/>
      <x:c r="K56" s="392"/>
      <x:c r="L56" s="392"/>
      <x:c r="M56" s="392"/>
      <x:c r="N56" s="392"/>
      <x:c r="O56" s="392"/>
      <x:c r="P56" s="392"/>
      <x:c r="Q56" s="392"/>
      <x:c r="R56" s="392"/>
      <x:c r="S56" s="392"/>
      <x:c r="T56" s="392"/>
      <x:c r="U56" s="392"/>
      <x:c r="V56" s="348"/>
      <x:c r="W56" s="392"/>
      <x:c r="X56" s="375"/>
      <x:c r="Y56" s="392"/>
    </x:row>
    <x:row r="57">
      <x:c r="A57" s="392"/>
      <x:c r="B57" s="392"/>
      <x:c r="C57" s="392"/>
      <x:c r="D57" s="392"/>
      <x:c r="E57" s="392"/>
      <x:c r="F57" s="392"/>
      <x:c r="G57" s="392"/>
      <x:c r="H57" s="392"/>
      <x:c r="I57" s="392"/>
      <x:c r="J57" s="392"/>
      <x:c r="K57" s="392"/>
      <x:c r="L57" s="392"/>
      <x:c r="M57" s="392"/>
      <x:c r="N57" s="392"/>
      <x:c r="O57" s="392"/>
      <x:c r="P57" s="392"/>
      <x:c r="Q57" s="392"/>
      <x:c r="R57" s="392"/>
      <x:c r="S57" s="392"/>
      <x:c r="T57" s="392"/>
      <x:c r="U57" s="392"/>
      <x:c r="V57" s="348"/>
      <x:c r="W57" s="392"/>
      <x:c r="X57" s="375"/>
      <x:c r="Y57" s="392"/>
    </x:row>
    <x:row r="58">
      <x:c r="A58" s="392"/>
      <x:c r="B58" s="392"/>
      <x:c r="C58" s="392"/>
      <x:c r="D58" s="392"/>
      <x:c r="E58" s="392"/>
      <x:c r="F58" s="392"/>
      <x:c r="G58" s="392"/>
      <x:c r="H58" s="392"/>
      <x:c r="I58" s="392"/>
      <x:c r="J58" s="392"/>
      <x:c r="K58" s="392"/>
      <x:c r="L58" s="392"/>
      <x:c r="M58" s="392"/>
      <x:c r="N58" s="392"/>
      <x:c r="O58" s="392"/>
      <x:c r="P58" s="392"/>
      <x:c r="Q58" s="392"/>
      <x:c r="R58" s="392"/>
      <x:c r="S58" s="392"/>
      <x:c r="T58" s="392"/>
      <x:c r="U58" s="392"/>
      <x:c r="V58" s="348"/>
      <x:c r="W58" s="392"/>
      <x:c r="X58" s="375"/>
      <x:c r="Y58" s="392"/>
    </x:row>
    <x:row r="59">
      <x:c r="A59" s="392"/>
      <x:c r="B59" s="392"/>
      <x:c r="C59" s="392"/>
      <x:c r="D59" s="392"/>
      <x:c r="E59" s="392"/>
      <x:c r="F59" s="392"/>
      <x:c r="G59" s="392"/>
      <x:c r="H59" s="392"/>
      <x:c r="I59" s="392"/>
      <x:c r="J59" s="392"/>
      <x:c r="K59" s="392"/>
      <x:c r="L59" s="392"/>
      <x:c r="M59" s="392"/>
      <x:c r="N59" s="392"/>
      <x:c r="O59" s="392"/>
      <x:c r="P59" s="392"/>
      <x:c r="Q59" s="392"/>
      <x:c r="R59" s="392"/>
      <x:c r="S59" s="392"/>
      <x:c r="T59" s="392"/>
      <x:c r="U59" s="392"/>
      <x:c r="V59" s="348"/>
      <x:c r="W59" s="392"/>
      <x:c r="X59" s="375"/>
      <x:c r="Y59" s="392"/>
    </x:row>
    <x:row r="60">
      <x:c r="A60" s="392"/>
      <x:c r="B60" s="392"/>
      <x:c r="C60" s="392"/>
      <x:c r="D60" s="392"/>
      <x:c r="E60" s="392"/>
      <x:c r="F60" s="392"/>
      <x:c r="G60" s="392"/>
      <x:c r="H60" s="392"/>
      <x:c r="I60" s="392"/>
      <x:c r="J60" s="392"/>
      <x:c r="K60" s="392"/>
      <x:c r="L60" s="392"/>
      <x:c r="M60" s="392"/>
      <x:c r="N60" s="392"/>
      <x:c r="O60" s="392"/>
      <x:c r="P60" s="392"/>
      <x:c r="Q60" s="392"/>
      <x:c r="R60" s="392"/>
      <x:c r="S60" s="392"/>
      <x:c r="T60" s="392"/>
      <x:c r="U60" s="392"/>
      <x:c r="V60" s="348"/>
      <x:c r="W60" s="392"/>
      <x:c r="X60" s="375"/>
      <x:c r="Y60" s="392"/>
    </x:row>
    <x:row r="61">
      <x:c r="A61" s="392"/>
      <x:c r="B61" s="392"/>
      <x:c r="C61" s="392"/>
      <x:c r="D61" s="392"/>
      <x:c r="E61" s="392"/>
      <x:c r="F61" s="392"/>
      <x:c r="G61" s="392"/>
      <x:c r="H61" s="392"/>
      <x:c r="I61" s="392"/>
      <x:c r="J61" s="392"/>
      <x:c r="K61" s="392"/>
      <x:c r="L61" s="392"/>
      <x:c r="M61" s="392"/>
      <x:c r="N61" s="392"/>
      <x:c r="O61" s="392"/>
      <x:c r="P61" s="392"/>
      <x:c r="Q61" s="392"/>
      <x:c r="R61" s="392"/>
      <x:c r="S61" s="392"/>
      <x:c r="T61" s="392"/>
      <x:c r="U61" s="392"/>
      <x:c r="V61" s="348"/>
      <x:c r="W61" s="392"/>
      <x:c r="X61" s="375"/>
      <x:c r="Y61" s="392"/>
    </x:row>
    <x:row r="62">
      <x:c r="A62" s="392"/>
      <x:c r="B62" s="392"/>
      <x:c r="C62" s="392"/>
      <x:c r="D62" s="392"/>
      <x:c r="E62" s="392"/>
      <x:c r="F62" s="392"/>
      <x:c r="G62" s="392"/>
      <x:c r="H62" s="392"/>
      <x:c r="I62" s="392"/>
      <x:c r="J62" s="392"/>
      <x:c r="K62" s="392"/>
      <x:c r="L62" s="392"/>
      <x:c r="M62" s="392"/>
      <x:c r="N62" s="392"/>
      <x:c r="O62" s="392"/>
      <x:c r="P62" s="392"/>
      <x:c r="Q62" s="392"/>
      <x:c r="R62" s="392"/>
      <x:c r="S62" s="392"/>
      <x:c r="T62" s="392"/>
      <x:c r="U62" s="392"/>
      <x:c r="V62" s="348"/>
      <x:c r="W62" s="392"/>
      <x:c r="X62" s="375"/>
      <x:c r="Y62" s="392"/>
    </x:row>
    <x:row r="63">
      <x:c r="A63" s="392"/>
      <x:c r="B63" s="392"/>
      <x:c r="C63" s="392"/>
      <x:c r="D63" s="392"/>
      <x:c r="E63" s="392"/>
      <x:c r="F63" s="392"/>
      <x:c r="G63" s="392"/>
      <x:c r="H63" s="392"/>
      <x:c r="I63" s="392"/>
      <x:c r="J63" s="392"/>
      <x:c r="K63" s="392"/>
      <x:c r="L63" s="392"/>
      <x:c r="M63" s="392"/>
      <x:c r="N63" s="392"/>
      <x:c r="O63" s="392"/>
      <x:c r="P63" s="392"/>
      <x:c r="Q63" s="392"/>
      <x:c r="R63" s="392"/>
      <x:c r="S63" s="392"/>
      <x:c r="T63" s="392"/>
      <x:c r="U63" s="392"/>
      <x:c r="V63" s="348"/>
      <x:c r="W63" s="392"/>
      <x:c r="X63" s="375"/>
      <x:c r="Y63" s="392"/>
    </x:row>
    <x:row r="64">
      <x:c r="A64" s="392"/>
      <x:c r="B64" s="392"/>
      <x:c r="C64" s="392"/>
      <x:c r="D64" s="392"/>
      <x:c r="E64" s="392"/>
      <x:c r="F64" s="392"/>
      <x:c r="G64" s="392"/>
      <x:c r="H64" s="392"/>
      <x:c r="I64" s="392"/>
      <x:c r="J64" s="392"/>
      <x:c r="K64" s="392"/>
      <x:c r="L64" s="392"/>
      <x:c r="M64" s="392"/>
      <x:c r="N64" s="392"/>
      <x:c r="O64" s="392"/>
      <x:c r="P64" s="392"/>
      <x:c r="Q64" s="392"/>
      <x:c r="R64" s="392"/>
      <x:c r="S64" s="392"/>
      <x:c r="T64" s="392"/>
      <x:c r="U64" s="392"/>
      <x:c r="V64" s="348"/>
      <x:c r="W64" s="392"/>
      <x:c r="X64" s="375"/>
      <x:c r="Y64" s="392"/>
    </x:row>
    <x:row r="65">
      <x:c r="A65" s="392"/>
      <x:c r="B65" s="392"/>
      <x:c r="C65" s="392"/>
      <x:c r="D65" s="392"/>
      <x:c r="E65" s="392"/>
      <x:c r="F65" s="392"/>
      <x:c r="G65" s="392"/>
      <x:c r="H65" s="392"/>
      <x:c r="I65" s="392"/>
      <x:c r="J65" s="392"/>
      <x:c r="K65" s="392"/>
      <x:c r="L65" s="392"/>
      <x:c r="M65" s="392"/>
      <x:c r="N65" s="392"/>
      <x:c r="O65" s="392"/>
      <x:c r="P65" s="392"/>
      <x:c r="Q65" s="392"/>
      <x:c r="R65" s="392"/>
      <x:c r="S65" s="392"/>
      <x:c r="T65" s="392"/>
      <x:c r="U65" s="392"/>
      <x:c r="V65" s="348"/>
      <x:c r="W65" s="392"/>
      <x:c r="X65" s="375"/>
      <x:c r="Y65" s="392"/>
    </x:row>
    <x:row r="66">
      <x:c r="A66" s="392"/>
      <x:c r="B66" s="392"/>
      <x:c r="C66" s="392"/>
      <x:c r="D66" s="392"/>
      <x:c r="E66" s="392"/>
      <x:c r="F66" s="392"/>
      <x:c r="G66" s="392"/>
      <x:c r="H66" s="392"/>
      <x:c r="I66" s="392"/>
      <x:c r="J66" s="392"/>
      <x:c r="K66" s="392"/>
      <x:c r="L66" s="392"/>
      <x:c r="M66" s="392"/>
      <x:c r="N66" s="392"/>
      <x:c r="O66" s="392"/>
      <x:c r="P66" s="392"/>
      <x:c r="Q66" s="392"/>
      <x:c r="R66" s="392"/>
      <x:c r="S66" s="392"/>
      <x:c r="T66" s="392"/>
      <x:c r="U66" s="392"/>
      <x:c r="V66" s="348"/>
      <x:c r="W66" s="392"/>
      <x:c r="X66" s="375"/>
      <x:c r="Y66" s="392"/>
    </x:row>
    <x:row r="67">
      <x:c r="A67" s="392"/>
      <x:c r="B67" s="392"/>
      <x:c r="C67" s="392"/>
      <x:c r="D67" s="392"/>
      <x:c r="E67" s="392"/>
      <x:c r="F67" s="392"/>
      <x:c r="G67" s="392"/>
      <x:c r="H67" s="392"/>
      <x:c r="I67" s="392"/>
      <x:c r="J67" s="392"/>
      <x:c r="K67" s="392"/>
      <x:c r="L67" s="392"/>
      <x:c r="M67" s="392"/>
      <x:c r="N67" s="392"/>
      <x:c r="O67" s="392"/>
      <x:c r="P67" s="392"/>
      <x:c r="Q67" s="392"/>
      <x:c r="R67" s="392"/>
      <x:c r="S67" s="392"/>
      <x:c r="T67" s="392"/>
      <x:c r="U67" s="392"/>
      <x:c r="V67" s="392"/>
      <x:c r="W67" s="392"/>
      <x:c r="X67" s="375"/>
      <x:c r="Y67" s="392"/>
    </x:row>
    <x:row r="68">
      <x:c r="A68" s="392"/>
      <x:c r="B68" s="392"/>
      <x:c r="C68" s="392"/>
      <x:c r="D68" s="392"/>
      <x:c r="E68" s="392"/>
      <x:c r="F68" s="392"/>
      <x:c r="G68" s="392"/>
      <x:c r="H68" s="392"/>
      <x:c r="I68" s="392"/>
      <x:c r="J68" s="392"/>
      <x:c r="K68" s="392"/>
      <x:c r="L68" s="392"/>
      <x:c r="M68" s="392"/>
      <x:c r="N68" s="392"/>
      <x:c r="O68" s="392"/>
      <x:c r="P68" s="392"/>
      <x:c r="Q68" s="392"/>
      <x:c r="R68" s="392"/>
      <x:c r="S68" s="392"/>
      <x:c r="T68" s="392"/>
      <x:c r="U68" s="392"/>
      <x:c r="V68" s="392"/>
      <x:c r="W68" s="392"/>
      <x:c r="X68" s="375"/>
      <x:c r="Y68" s="392"/>
    </x:row>
    <x:row r="69">
      <x:c r="A69" s="392"/>
      <x:c r="B69" s="392"/>
      <x:c r="C69" s="392"/>
      <x:c r="D69" s="392"/>
      <x:c r="E69" s="392"/>
      <x:c r="F69" s="392"/>
      <x:c r="G69" s="392"/>
      <x:c r="H69" s="392"/>
      <x:c r="I69" s="392"/>
      <x:c r="J69" s="392"/>
      <x:c r="K69" s="392"/>
      <x:c r="L69" s="392"/>
      <x:c r="M69" s="392"/>
      <x:c r="N69" s="392"/>
      <x:c r="O69" s="392"/>
      <x:c r="P69" s="392"/>
      <x:c r="Q69" s="392"/>
      <x:c r="R69" s="392"/>
      <x:c r="S69" s="392"/>
      <x:c r="T69" s="392"/>
      <x:c r="U69" s="392"/>
      <x:c r="V69" s="392"/>
      <x:c r="W69" s="392"/>
      <x:c r="X69" s="375"/>
      <x:c r="Y69" s="392"/>
    </x:row>
    <x:row r="70">
      <x:c r="A70" s="392"/>
      <x:c r="B70" s="392"/>
      <x:c r="C70" s="392"/>
      <x:c r="D70" s="392"/>
      <x:c r="E70" s="392"/>
      <x:c r="F70" s="392"/>
      <x:c r="G70" s="392"/>
      <x:c r="H70" s="392"/>
      <x:c r="I70" s="392"/>
      <x:c r="J70" s="392"/>
      <x:c r="K70" s="392"/>
      <x:c r="L70" s="392"/>
      <x:c r="M70" s="392"/>
      <x:c r="N70" s="392"/>
      <x:c r="O70" s="392"/>
      <x:c r="P70" s="392"/>
      <x:c r="Q70" s="392"/>
      <x:c r="R70" s="392"/>
      <x:c r="S70" s="392"/>
      <x:c r="T70" s="392"/>
      <x:c r="U70" s="392"/>
      <x:c r="V70" s="392"/>
      <x:c r="W70" s="392"/>
      <x:c r="X70" s="375"/>
      <x:c r="Y70" s="392"/>
    </x:row>
    <x:row r="71">
      <x:c r="A71" s="392"/>
      <x:c r="B71" s="392"/>
      <x:c r="C71" s="392"/>
      <x:c r="D71" s="392"/>
      <x:c r="E71" s="392"/>
      <x:c r="F71" s="392"/>
      <x:c r="G71" s="392"/>
      <x:c r="H71" s="392"/>
      <x:c r="I71" s="392"/>
      <x:c r="J71" s="392"/>
      <x:c r="K71" s="392"/>
      <x:c r="L71" s="392"/>
      <x:c r="M71" s="392"/>
      <x:c r="N71" s="392"/>
      <x:c r="O71" s="392"/>
      <x:c r="P71" s="392"/>
      <x:c r="Q71" s="392"/>
      <x:c r="R71" s="392"/>
      <x:c r="S71" s="392"/>
      <x:c r="T71" s="392"/>
      <x:c r="U71" s="392"/>
      <x:c r="V71" s="392"/>
      <x:c r="W71" s="392"/>
      <x:c r="X71" s="375"/>
      <x:c r="Y71" s="392"/>
    </x:row>
    <x:row r="72">
      <x:c r="A72"/>
      <x:c r="B72"/>
      <x:c r="C72"/>
      <x:c r="D72"/>
      <x:c r="E72"/>
      <x:c r="F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 s="375"/>
      <x:c r="Y72"/>
    </x:row>
    <x:row r="73">
      <x:c r="A73"/>
      <x:c r="B73"/>
      <x:c r="C73"/>
      <x:c r="D73"/>
      <x:c r="E73"/>
      <x:c r="F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 s="375"/>
      <x:c r="Y73"/>
    </x:row>
    <x:row r="74">
      <x:c r="A74"/>
      <x:c r="B74"/>
      <x:c r="C74"/>
      <x:c r="D74"/>
      <x:c r="E74"/>
      <x:c r="F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 s="375"/>
      <x:c r="Y74"/>
    </x:row>
    <x:row r="75">
      <x:c r="A75"/>
      <x:c r="B75"/>
      <x:c r="C75"/>
      <x:c r="D75"/>
      <x:c r="E75"/>
      <x:c r="F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 s="375"/>
      <x:c r="Y75"/>
    </x:row>
    <x:row r="76">
      <x:c r="A76"/>
      <x:c r="B76"/>
      <x:c r="C76"/>
      <x:c r="D76"/>
      <x:c r="E76"/>
      <x:c r="F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 s="375"/>
      <x:c r="Y76"/>
    </x:row>
    <x:row r="77">
      <x:c r="A77"/>
      <x:c r="B77"/>
      <x:c r="C77"/>
      <x:c r="D77"/>
      <x:c r="E77"/>
      <x:c r="F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 s="375"/>
      <x:c r="Y77"/>
    </x:row>
    <x:row r="78">
      <x:c r="A78"/>
      <x:c r="B78"/>
      <x:c r="C78"/>
      <x:c r="D78"/>
      <x:c r="E78"/>
      <x:c r="F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 s="375"/>
      <x:c r="Y78"/>
    </x:row>
    <x:row r="79" ht="155" customHeight="1">
      <x:c r="A79"/>
      <x:c r="B79"/>
      <x:c r="C79"/>
      <x:c r="D79"/>
      <x:c r="E79"/>
      <x:c r="F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 s="375"/>
      <x:c r="Y79"/>
    </x:row>
    <x:row r="113" ht="155" customHeight="1"/>
    <x:row r="120" ht="155" customHeight="1"/>
    <x:row r="123" ht="155" customHeight="1"/>
    <x:row r="124" ht="34" customHeight="1"/>
    <x:row r="125" ht="34" customHeight="1"/>
    <x:row r="126" ht="34" customHeight="1"/>
    <x:row r="127" ht="34" customHeight="1"/>
    <x:row r="128" ht="155" customHeight="1"/>
    <x:row r="129" ht="34" customHeight="1"/>
    <x:row r="130" ht="34" customHeight="1"/>
    <x:row r="131" ht="34" customHeight="1"/>
    <x:row r="132" ht="34" customHeight="1"/>
    <x:row r="133" ht="34" customHeight="1"/>
    <x:row r="134" ht="34" customHeight="1"/>
    <x:row r="135" ht="34" customHeight="1"/>
    <x:row r="136" ht="34" customHeight="1"/>
    <x:row r="137" ht="34" customHeight="1"/>
    <x:row r="138" ht="34" customHeight="1"/>
    <x:row r="139" ht="34" customHeight="1"/>
    <x:row r="143" ht="155" customHeight="1"/>
    <x:row r="146" ht="44" customHeight="1"/>
    <x:row r="147" ht="44" customHeight="1"/>
    <x:row r="148" ht="44" customHeight="1"/>
    <x:row r="149" ht="44" customHeight="1"/>
    <x:row r="150" ht="44" customHeight="1"/>
    <x:row r="151" ht="44" customHeight="1"/>
    <x:row r="152" ht="44" customHeight="1"/>
    <x:row r="153" ht="44" customHeight="1"/>
    <x:row r="154" ht="44" customHeight="1"/>
    <x:row r="155" ht="44" customHeight="1"/>
    <x:row r="156" ht="132" customHeight="1"/>
    <x:row r="157" ht="118" customHeight="1"/>
    <x:row r="158" ht="118" customHeight="1"/>
    <x:row r="159" ht="118" customHeight="1"/>
    <x:row r="160" ht="118" customHeight="1"/>
    <x:row r="161" ht="132" customHeight="1"/>
    <x:row r="162" ht="132" customHeight="1"/>
    <x:row r="163" ht="155" customHeight="1"/>
    <x:row r="164" ht="132" customHeight="1"/>
    <x:row r="165" ht="132" customHeight="1"/>
    <x:row r="166" ht="132" customHeight="1"/>
    <x:row r="167" ht="155" customHeight="1"/>
    <x:row r="168" ht="220" customHeight="1"/>
    <x:row r="169" ht="220" customHeight="1"/>
    <x:row r="172" ht="42" customHeight="1"/>
    <x:row r="173" ht="42" customHeight="1"/>
    <x:row r="174" ht="44" customHeight="1"/>
    <x:row r="175" ht="44" customHeight="1"/>
    <x:row r="176" ht="44" customHeight="1"/>
    <x:row r="177" ht="44" customHeight="1"/>
    <x:row r="178" ht="44" customHeight="1"/>
    <x:row r="179" ht="44" customHeight="1"/>
    <x:row r="180" ht="44" customHeight="1"/>
    <x:row r="181" ht="44" customHeight="1"/>
    <x:row r="182" ht="44" customHeight="1"/>
    <x:row r="183" ht="44" customHeight="1"/>
    <x:row r="184" ht="44" customHeight="1"/>
    <x:row r="185" ht="44" customHeight="1"/>
    <x:row r="186" ht="44" customHeight="1"/>
    <x:row r="187" ht="44" customHeight="1"/>
    <x:row r="188" ht="44" customHeight="1"/>
    <x:row r="189" ht="44" customHeight="1"/>
    <x:row r="190" ht="44" customHeight="1"/>
    <x:row r="191" ht="44" customHeight="1"/>
    <x:row r="192" ht="44" customHeight="1"/>
    <x:row r="193" ht="44" customHeight="1"/>
    <x:row r="194" ht="44" customHeight="1"/>
    <x:row r="195" ht="44" customHeight="1"/>
    <x:row r="196" ht="44" customHeight="1"/>
    <x:row r="197" ht="44" customHeight="1"/>
    <x:row r="198" ht="44" customHeight="1"/>
    <x:row r="199" ht="44" customHeight="1"/>
    <x:row r="200" ht="44" customHeight="1"/>
    <x:row r="201" ht="44" customHeight="1"/>
    <x:row r="202" ht="44" customHeight="1"/>
    <x:row r="203" ht="44" customHeight="1"/>
    <x:row r="204" ht="44" customHeight="1"/>
    <x:row r="240" ht="255" customHeight="1"/>
    <x:row r="281" ht="66" customHeight="1"/>
    <x:row r="282" ht="66" customHeight="1"/>
    <x:row r="283" ht="66" customHeight="1"/>
    <x:row r="284" ht="66" customHeight="1"/>
    <x:row r="285" ht="66" customHeight="1"/>
    <x:row r="286" ht="66" customHeight="1"/>
    <x:row r="287" ht="56" customHeight="1"/>
    <x:row r="301" ht="132" customHeight="1"/>
    <x:row r="302" ht="54" customHeight="1"/>
    <x:row r="303" ht="54" customHeight="1"/>
    <x:row r="304" ht="54" customHeight="1"/>
    <x:row r="305" ht="54" customHeight="1"/>
    <x:row r="306" ht="54" customHeight="1"/>
    <x:row r="307" ht="54" customHeight="1"/>
    <x:row r="308" ht="54" customHeight="1"/>
    <x:row r="309" ht="54" customHeight="1"/>
    <x:row r="310" ht="54" customHeight="1"/>
    <x:row r="311" ht="72" customHeight="1"/>
    <x:row r="312" ht="54" customHeight="1"/>
    <x:row r="313" ht="54" customHeight="1"/>
    <x:row r="314" ht="54" customHeight="1"/>
    <x:row r="315" ht="54" customHeight="1"/>
    <x:row r="316" ht="54" customHeight="1"/>
    <x:row r="317" ht="54" customHeight="1"/>
    <x:row r="318" ht="54" customHeight="1"/>
    <x:row r="319" ht="54" customHeight="1"/>
    <x:row r="320" ht="54" customHeight="1"/>
    <x:row r="321" ht="54" customHeight="1"/>
    <x:row r="322" ht="54" customHeight="1"/>
    <x:row r="323" ht="54" customHeight="1"/>
    <x:row r="324" ht="54" customHeight="1"/>
    <x:row r="325" ht="54" customHeight="1"/>
    <x:row r="326" ht="54" customHeight="1"/>
    <x:row r="327" ht="54" customHeight="1"/>
    <x:row r="328" ht="54" customHeight="1"/>
    <x:row r="329" ht="54" customHeight="1"/>
    <x:row r="330" ht="54" customHeight="1"/>
    <x:row r="331" ht="54" customHeight="1"/>
    <x:row r="332" ht="54" customHeight="1"/>
    <x:row r="333" ht="54" customHeight="1"/>
    <x:row r="334" ht="54" customHeight="1"/>
    <x:row r="335" ht="54" customHeight="1"/>
    <x:row r="336" ht="54" customHeight="1"/>
    <x:row r="337" ht="54" customHeight="1"/>
    <x:row r="338" ht="54" customHeight="1"/>
    <x:row r="339" ht="54" customHeight="1"/>
    <x:row r="340" ht="54" customHeight="1"/>
    <x:row r="341" ht="54" customHeight="1"/>
    <x:row r="342" ht="54" customHeight="1"/>
    <x:row r="343" ht="54" customHeight="1"/>
    <x:row r="344" ht="54" customHeight="1"/>
    <x:row r="345" ht="54" customHeight="1"/>
    <x:row r="346" ht="54" customHeight="1"/>
    <x:row r="347" ht="54" customHeight="1"/>
    <x:row r="348" ht="54" customHeight="1"/>
    <x:row r="349" ht="54" customHeight="1"/>
    <x:row r="350" ht="54" customHeight="1"/>
    <x:row r="351" ht="54" customHeight="1"/>
    <x:row r="352" ht="54" customHeight="1"/>
    <x:row r="353" ht="54" customHeight="1"/>
    <x:row r="354" ht="54" customHeight="1"/>
    <x:row r="355" ht="54" customHeight="1"/>
    <x:row r="356" ht="54" customHeight="1"/>
    <x:row r="357" ht="54" customHeight="1"/>
    <x:row r="358" ht="54" customHeight="1"/>
    <x:row r="359" ht="72" customHeight="1"/>
    <x:row r="360" ht="54" customHeight="1"/>
    <x:row r="361" ht="54" customHeight="1"/>
    <x:row r="362" ht="54" customHeight="1"/>
    <x:row r="363" ht="54" customHeight="1"/>
    <x:row r="364" ht="54" customHeight="1"/>
    <x:row r="365" ht="54" customHeight="1"/>
    <x:row r="366" ht="54" customHeight="1"/>
    <x:row r="367" ht="54" customHeight="1"/>
    <x:row r="368" ht="72" customHeight="1"/>
    <x:row r="369" ht="54" customHeight="1"/>
    <x:row r="370" ht="54" customHeight="1"/>
    <x:row r="371" ht="54" customHeight="1"/>
    <x:row r="372" ht="54" customHeight="1"/>
    <x:row r="373" ht="54" customHeight="1"/>
    <x:row r="374" ht="54" customHeight="1"/>
    <x:row r="375" ht="54" customHeight="1"/>
    <x:row r="376" ht="54" customHeight="1"/>
    <x:row r="377" ht="54" customHeight="1"/>
    <x:row r="378" ht="54" customHeight="1"/>
    <x:row r="379" ht="54" customHeight="1"/>
    <x:row r="380" ht="54" customHeight="1"/>
    <x:row r="381" ht="54" customHeight="1"/>
    <x:row r="382" ht="54" customHeight="1"/>
    <x:row r="383" ht="54" customHeight="1"/>
    <x:row r="384" ht="54" customHeight="1"/>
    <x:row r="385" ht="54" customHeight="1"/>
    <x:row r="386" ht="54" customHeight="1"/>
    <x:row r="387" ht="54" customHeight="1"/>
    <x:row r="388" ht="54" customHeight="1"/>
    <x:row r="389" ht="54" customHeight="1"/>
    <x:row r="390" ht="54" customHeight="1"/>
    <x:row r="391" ht="54" customHeight="1"/>
    <x:row r="392" ht="54" customHeight="1"/>
    <x:row r="393" ht="54" customHeight="1"/>
    <x:row r="394" ht="54" customHeight="1"/>
    <x:row r="395" ht="54" customHeight="1"/>
    <x:row r="396" ht="54" customHeight="1"/>
    <x:row r="397" ht="54" customHeight="1"/>
    <x:row r="398" ht="54" customHeight="1"/>
    <x:row r="399" ht="54" customHeight="1"/>
    <x:row r="400" ht="54" customHeight="1"/>
    <x:row r="401" ht="54" customHeight="1"/>
    <x:row r="402" ht="54" customHeight="1"/>
    <x:row r="403" ht="54" customHeight="1"/>
    <x:row r="404" ht="54" customHeight="1"/>
    <x:row r="405" ht="54" customHeight="1"/>
    <x:row r="406" ht="54" customHeight="1"/>
    <x:row r="407" ht="54" customHeight="1"/>
    <x:row r="408" ht="54" customHeight="1"/>
    <x:row r="409" ht="54" customHeight="1"/>
    <x:row r="410" ht="54" customHeight="1"/>
    <x:row r="411" ht="54" customHeight="1"/>
    <x:row r="412" ht="54" customHeight="1"/>
    <x:row r="413" ht="76" customHeight="1"/>
    <x:row r="414" ht="72" customHeight="1"/>
    <x:row r="415" ht="72" customHeight="1"/>
    <x:row r="416" ht="72" customHeight="1"/>
    <x:row r="424" ht="85" customHeight="1"/>
    <x:row r="425" ht="85" customHeight="1"/>
    <x:row r="426" ht="85" customHeight="1"/>
    <x:row r="427" ht="85" customHeight="1"/>
    <x:row r="429" ht="120" customHeight="1"/>
  </x:sheetData>
  <x:mergeCells>
    <x:mergeCell ref="A1:X2"/>
    <x:mergeCell ref="A3:X3"/>
  </x:mergeCells>
  <x:conditionalFormatting sqref="S6:S79">
    <x:cfRule type="containsText" dxfId="0" priority="1" operator="containsText" text="重复"/>
  </x:conditionalFormatting>
  <x:conditionalFormatting sqref="K6:K79">
    <x:cfRule type="containsText" dxfId="1" priority="2" operator="containsText" text="已完成"/>
    <x:cfRule type="containsText" dxfId="2" priority="3" operator="containsText" text="待制作"/>
  </x:conditionalFormatting>
  <x:dataValidations count="4">
    <x:dataValidation type="list" allowBlank="1" showDropDown="0" showInputMessage="0" showErrorMessage="0" sqref="C6:C79">
      <x:formula1>"角色,敌人,武器,道具,场景,场景道具,基地资产包,UI,特效,音频"</x:formula1>
    </x:dataValidation>
    <x:dataValidation type="list" allowBlank="1" showDropDown="0" showInputMessage="0" showErrorMessage="0" sqref="K6:K79">
      <x:formula1>"待制作,程序占位,已完成,原型已接入,弃用,旧资产已从正式基地移除,正式美术已接入,已优化并正式接入,Blender源已完成,已导入；优化完成,已从运行场景移除,白盒组件"</x:formula1>
    </x:dataValidation>
    <x:dataValidation type="list" allowBlank="1" showDropDown="0" showInputMessage="0" showErrorMessage="0" sqref="L6:L79">
      <x:formula1>"P0,P1,P2,P3"</x:formula1>
    </x:dataValidation>
    <x:dataValidation type="list" sqref="C6:C53">
      <x:formula1>"音效"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a5f9e776c1490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70" customWidth="1"/>
    <x:col min="6" max="6" width="48" customWidth="1"/>
    <x:col min="7" max="7" width="12" customWidth="1"/>
  </x:cols>
  <x:sheetData>
    <x:row r="1">
      <x:c r="A1" s="317" t="str">
        <x:v>音效账本变更日志</x:v>
      </x:c>
    </x:row>
    <x:row r="2"/>
    <x:row r="3">
      <x:c r="A3" s="318" t="inlineStr">
        <x:is>
          <x:t xml:space="preserve">只记录本账本的域内变更；跨域与全局变更记录在主账本《版本记录》</x:t>
        </x:is>
      </x:c>
    </x:row>
    <x:row r="5">
      <x:c r="A5" s="298" t="inlineStr">
        <x:is>
          <x:t xml:space="preserve">台账版本</x:t>
        </x:is>
      </x:c>
      <x:c r="B5" s="298" t="inlineStr">
        <x:is>
          <x:t xml:space="preserve">日期</x:t>
        </x:is>
      </x:c>
      <x:c r="C5" s="298" t="inlineStr">
        <x:is>
          <x:t xml:space="preserve">变更类型</x:t>
        </x:is>
      </x:c>
      <x:c r="D5" s="298" t="inlineStr">
        <x:is>
          <x:t xml:space="preserve">范围</x:t>
        </x:is>
      </x:c>
      <x:c r="E5" s="298" t="inlineStr">
        <x:is>
          <x:t xml:space="preserve">说明</x:t>
        </x:is>
      </x:c>
      <x:c r="F5" s="298" t="inlineStr">
        <x:is>
          <x:t xml:space="preserve">兼容性</x:t>
        </x:is>
      </x:c>
      <x:c r="G5" s="298" t="inlineStr">
        <x:is>
          <x:t xml:space="preserve">负责人</x:t>
        </x:is>
      </x:c>
    </x:row>
    <x:row r="6" ht="46" customHeight="1">
      <x:c r="A6" s="301" t="str">
        <x:v>v0.2.0</x:v>
      </x:c>
      <x:c r="B6" s="301" t="str">
        <x:v>2026-09-23</x:v>
      </x:c>
      <x:c r="C6" s="301" t="str">
        <x:v>P2 独立域拆分</x:v>
      </x:c>
      <x:c r="D6" s="301" t="str">
        <x:v>音效</x:v>
      </x:c>
      <x:c r="E6" s="301" t="str">
        <x:v>由表现资源账本拆出 48 条音效资产；本账本接管大类=音效，匹配独立 Skill 与验收流程。</x:v>
      </x:c>
      <x:c r="F6" s="301" t="str">
        <x:v>AssetID、路径、SHA-256、制作状态与授权信息不变；仅账本归属和大类名称迁移。</x:v>
      </x:c>
      <x:c r="G6" s="301" t="str">
        <x:v>Codex</x:v>
      </x:c>
    </x:row>
  </x:sheetData>
  <x:mergeCells>
    <x:mergeCell ref="A3:G3"/>
    <x:mergeCell ref="A1:G2"/>
  </x:mergeCells>
  <x:pageMargins left="0.7" right="0.7" top="0.75" bottom="0.75" header="0.3" footer="0.3"/>
</x:worksheet>
</file>