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域变更日志" sheetId="4" state="visible" r:id="rId4"/>
  </sheets>
  <definedNames>
    <definedName name="_xlnm._FilterDatabase" localSheetId="2" hidden="1">'资产主表'!$A$5:$Y$183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 h:mm:ss"/>
    <numFmt numFmtId="166" formatCode="yyyy-mm-dd"/>
  </numFmts>
  <fonts count="26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17563A"/>
      <sz val="11"/>
    </font>
    <font>
      <name val="Linux Libertine G"/>
      <family val="2"/>
      <color rgb="FF15383E"/>
      <sz val="11"/>
    </font>
    <font>
      <name val="Calibri"/>
      <charset val="1"/>
      <family val="0"/>
      <color rgb="FF15383E"/>
      <sz val="11"/>
    </font>
  </fonts>
  <fills count="9">
    <fill>
      <patternFill/>
    </fill>
    <fill>
      <patternFill patternType="gray125"/>
    </fill>
    <fill>
      <patternFill patternType="solid">
        <fgColor rgb="FF13202B"/>
        <bgColor rgb="FF163246"/>
      </patternFill>
    </fill>
    <fill>
      <patternFill patternType="solid">
        <fgColor rgb="FF163246"/>
        <bgColor rgb="FF15383E"/>
      </patternFill>
    </fill>
    <fill>
      <patternFill patternType="solid">
        <fgColor rgb="FFDCE8EC"/>
        <bgColor rgb="FFD7EEE5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D7EEE5"/>
        <bgColor rgb="FFD9F3E8"/>
      </patternFill>
    </fill>
    <fill>
      <patternFill patternType="solid">
        <fgColor rgb="FFE4F2F3"/>
        <bgColor rgb="FFD9F3E8"/>
      </patternFill>
    </fill>
  </fills>
  <borders count="11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8FC3A1"/>
      </left>
      <right style="thin">
        <color rgb="FF8FC3A1"/>
      </right>
      <top style="thin">
        <color rgb="FF8FC3A1"/>
      </top>
      <bottom style="thin">
        <color rgb="FF8FC3A1"/>
      </bottom>
      <diagonal/>
    </border>
    <border>
      <left style="thin">
        <color rgb="FFAFC9CD"/>
      </left>
      <right style="thin">
        <color rgb="FFAFC9CD"/>
      </right>
      <top style="thin">
        <color rgb="FFAFC9CD"/>
      </top>
      <bottom style="thin">
        <color rgb="FFAFC9CD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2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6" fillId="2" borderId="0" applyAlignment="1" pivotButton="0" quotePrefix="0" xfId="20">
      <alignment horizontal="general" vertical="center" wrapText="1"/>
    </xf>
    <xf numFmtId="0" fontId="17" fillId="0" borderId="3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general" vertical="bottom" wrapText="1"/>
    </xf>
    <xf numFmtId="0" fontId="20" fillId="5" borderId="1" applyAlignment="1" pivotButton="0" quotePrefix="0" xfId="20">
      <alignment horizontal="center" vertical="center" wrapText="1"/>
    </xf>
    <xf numFmtId="0" fontId="13" fillId="5" borderId="5" applyAlignment="1" pivotButton="0" quotePrefix="0" xfId="20">
      <alignment horizontal="center" vertical="center" wrapText="1"/>
    </xf>
    <xf numFmtId="0" fontId="20" fillId="5" borderId="5" applyAlignment="1" pivotButton="0" quotePrefix="0" xfId="20">
      <alignment horizontal="center" vertical="center" wrapText="1"/>
    </xf>
    <xf numFmtId="0" fontId="21" fillId="0" borderId="0" applyAlignment="1" pivotButton="0" quotePrefix="0" xfId="20">
      <alignment horizontal="center" vertical="center"/>
    </xf>
    <xf numFmtId="0" fontId="13" fillId="5" borderId="6" applyAlignment="1" pivotButton="0" quotePrefix="0" xfId="20">
      <alignment horizontal="center" vertical="center" wrapText="1"/>
    </xf>
    <xf numFmtId="0" fontId="17" fillId="0" borderId="4" applyAlignment="1" pivotButton="0" quotePrefix="0" xfId="20">
      <alignment horizontal="general" vertical="center" wrapText="1"/>
    </xf>
    <xf numFmtId="0" fontId="15" fillId="0" borderId="4" applyAlignment="1" pivotButton="0" quotePrefix="0" xfId="20">
      <alignment horizontal="general" vertical="center" wrapText="1"/>
    </xf>
    <xf numFmtId="164" fontId="17" fillId="0" borderId="4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center" vertical="bottom"/>
    </xf>
    <xf numFmtId="0" fontId="17" fillId="0" borderId="4" applyAlignment="1" pivotButton="0" quotePrefix="0" xfId="20">
      <alignment horizontal="general" vertical="top" wrapText="1"/>
    </xf>
    <xf numFmtId="164" fontId="17" fillId="0" borderId="4" applyAlignment="1" pivotButton="0" quotePrefix="0" xfId="20">
      <alignment horizontal="general" vertical="top" wrapText="1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3" fillId="7" borderId="7" applyAlignment="1" pivotButton="0" quotePrefix="0" xfId="20">
      <alignment horizontal="general" vertical="center" wrapText="1"/>
    </xf>
    <xf numFmtId="0" fontId="24" fillId="8" borderId="8" applyAlignment="1" pivotButton="0" quotePrefix="0" xfId="20">
      <alignment horizontal="general" vertical="center" wrapText="1"/>
    </xf>
    <xf numFmtId="0" fontId="25" fillId="8" borderId="8" applyAlignment="1" pivotButton="0" quotePrefix="0" xfId="20">
      <alignment horizontal="general" vertical="center" wrapText="1"/>
    </xf>
    <xf numFmtId="164" fontId="25" fillId="8" borderId="8" applyAlignment="1" pivotButton="0" quotePrefix="0" xfId="2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0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6" fillId="2" borderId="0" applyAlignment="1" pivotButton="0" quotePrefix="0" xfId="20">
      <alignment horizontal="general" vertical="center" wrapText="1"/>
    </xf>
    <xf numFmtId="0" fontId="17" fillId="0" borderId="3" applyAlignment="1" pivotButton="0" quotePrefix="0" xfId="20">
      <alignment horizontal="general" vertical="top" wrapText="1"/>
    </xf>
    <xf numFmtId="0" fontId="20" fillId="5" borderId="1" applyAlignment="1" pivotButton="0" quotePrefix="0" xfId="20">
      <alignment horizontal="center" vertical="center" wrapText="1"/>
    </xf>
    <xf numFmtId="0" fontId="13" fillId="5" borderId="5" applyAlignment="1" pivotButton="0" quotePrefix="0" xfId="20">
      <alignment horizontal="center" vertical="center" wrapText="1"/>
    </xf>
    <xf numFmtId="0" fontId="20" fillId="5" borderId="5" applyAlignment="1" pivotButton="0" quotePrefix="0" xfId="20">
      <alignment horizontal="center" vertical="center" wrapText="1"/>
    </xf>
    <xf numFmtId="0" fontId="21" fillId="0" borderId="0" applyAlignment="1" pivotButton="0" quotePrefix="0" xfId="20">
      <alignment horizontal="center" vertical="center"/>
    </xf>
    <xf numFmtId="0" fontId="13" fillId="5" borderId="6" applyAlignment="1" pivotButton="0" quotePrefix="0" xfId="20">
      <alignment horizontal="center" vertical="center" wrapText="1"/>
    </xf>
    <xf numFmtId="0" fontId="17" fillId="0" borderId="4" applyAlignment="1" pivotButton="0" quotePrefix="0" xfId="20">
      <alignment horizontal="general" vertical="center" wrapText="1"/>
    </xf>
    <xf numFmtId="0" fontId="15" fillId="0" borderId="4" applyAlignment="1" pivotButton="0" quotePrefix="0" xfId="20">
      <alignment horizontal="general" vertical="center" wrapText="1"/>
    </xf>
    <xf numFmtId="164" fontId="17" fillId="0" borderId="4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center" vertical="bottom"/>
    </xf>
    <xf numFmtId="0" fontId="17" fillId="0" borderId="4" applyAlignment="1" pivotButton="0" quotePrefix="0" xfId="20">
      <alignment horizontal="general" vertical="top" wrapText="1"/>
    </xf>
    <xf numFmtId="164" fontId="17" fillId="0" borderId="4" applyAlignment="1" pivotButton="0" quotePrefix="0" xfId="20">
      <alignment horizontal="general" vertical="top" wrapText="1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3" fillId="7" borderId="7" applyAlignment="1" pivotButton="0" quotePrefix="0" xfId="20">
      <alignment horizontal="general" vertical="center" wrapText="1"/>
    </xf>
    <xf numFmtId="0" fontId="24" fillId="8" borderId="8" applyAlignment="1" pivotButton="0" quotePrefix="0" xfId="20">
      <alignment horizontal="general" vertical="center" wrapText="1"/>
    </xf>
    <xf numFmtId="0" fontId="25" fillId="8" borderId="8" applyAlignment="1" pivotButton="0" quotePrefix="0" xfId="20">
      <alignment horizontal="general" vertical="center" wrapText="1"/>
    </xf>
    <xf numFmtId="164" fontId="25" fillId="8" borderId="8" applyAlignment="1" pivotButton="0" quotePrefix="0" xfId="20">
      <alignment horizontal="general" vertical="center" wrapText="1"/>
    </xf>
    <xf numFmtId="165" fontId="4" fillId="0" borderId="0" applyAlignment="1" pivotButton="0" quotePrefix="0" xfId="20">
      <alignment horizontal="general" vertical="bottom" wrapText="1"/>
    </xf>
    <xf numFmtId="165" fontId="0" fillId="0" borderId="0" pivotButton="0" quotePrefix="0" xfId="0"/>
    <xf numFmtId="0" fontId="15" fillId="0" borderId="3" applyAlignment="1" pivotButton="0" quotePrefix="0" xfId="20">
      <alignment vertical="center" wrapText="1"/>
    </xf>
    <xf numFmtId="0" fontId="17" fillId="0" borderId="3" applyAlignment="1" pivotButton="0" quotePrefix="0" xfId="20">
      <alignment vertical="center" wrapText="1"/>
    </xf>
    <xf numFmtId="166" fontId="17" fillId="0" borderId="3" applyAlignment="1" pivotButton="0" quotePrefix="0" xfId="20">
      <alignment vertical="center" wrapText="1"/>
    </xf>
    <xf numFmtId="0" fontId="0" fillId="0" borderId="0" applyAlignment="1" pivotButton="0" quotePrefix="0" xfId="0">
      <alignment wrapText="1"/>
    </xf>
    <xf numFmtId="166" fontId="17" fillId="0" borderId="3" applyAlignment="1" pivotButton="0" quotePrefix="0" xfId="2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2">
    <dxf>
      <fill>
        <patternFill patternType="solid">
          <fgColor rgb="FF1F5A78"/>
          <bgColor rgb="FF000000"/>
        </patternFill>
      </fill>
    </dxf>
    <dxf>
      <fill>
        <patternFill patternType="solid">
          <fgColor rgb="FFD7EEE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17563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4F2F3"/>
          <bgColor rgb="FF000000"/>
        </patternFill>
      </fill>
    </dxf>
    <dxf>
      <fill>
        <patternFill patternType="solid">
          <fgColor rgb="FF15383E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FFF0D6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ill>
        <patternFill patternType="solid">
          <fgColor rgb="FF8A4B08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15"/>
      <tableStyleElement type="firstColumnStripe" dxfId="16"/>
      <tableStyleElement type="firstRowStripe" dxfId="17"/>
      <tableStyleElement type="lastColumn" dxfId="18"/>
      <tableStyleElement type="firstColumn" dxfId="19"/>
      <tableStyleElement type="headerRow" dxfId="20"/>
      <tableStyleElement type="totalRow" dxfId="21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0066CC"/>
      <rgbColor rgb="FFDCE8EC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4F2F3"/>
      <rgbColor rgb="FFD7EEE5"/>
      <rgbColor rgb="FFFFFF99"/>
      <rgbColor rgb="FFAFC9CD"/>
      <rgbColor rgb="FFFF99CC"/>
      <rgbColor rgb="FFCC99FF"/>
      <rgbColor rgb="FFFFD6D6"/>
      <rgbColor rgb="FF3366FF"/>
      <rgbColor rgb="FF46B1E1"/>
      <rgbColor rgb="FF99CC00"/>
      <rgbColor rgb="FFF2C94C"/>
      <rgbColor rgb="FFFF9900"/>
      <rgbColor rgb="FFFF6600"/>
      <rgbColor rgb="FF446170"/>
      <rgbColor rgb="FF8FC3A1"/>
      <rgbColor rgb="FF163246"/>
      <rgbColor rgb="FF339966"/>
      <rgbColor rgb="FF13202B"/>
      <rgbColor rgb="FF17563A"/>
      <rgbColor rgb="FF8A4B08"/>
      <rgbColor rgb="FF993366"/>
      <rgbColor rgb="FF1F5A78"/>
      <rgbColor rgb="FF15383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2" min="1" max="1"/>
    <col width="16.71" customWidth="1" style="32" min="2" max="3"/>
    <col width="3.58" customWidth="1" style="32" min="4" max="4"/>
    <col width="9.550000000000001" customWidth="1" style="32" min="5" max="5"/>
    <col width="35.81" customWidth="1" style="32" min="6" max="6"/>
    <col width="50.13" customWidth="1" style="32" min="7" max="7"/>
    <col width="3.58" customWidth="1" style="32" min="8" max="8"/>
    <col width="25.07" customWidth="1" style="32" min="9" max="10"/>
  </cols>
  <sheetData>
    <row r="1" ht="24.75" customHeight="1" s="33">
      <c r="A1" s="34" t="inlineStr">
        <is>
          <t>SHELLSTORM 2 · 音效资产账本 v0.1</t>
        </is>
      </c>
    </row>
    <row r="2" ht="12" customHeight="1" s="33"/>
    <row r="3" ht="22.5" customHeight="1" s="33">
      <c r="A3" s="35" t="inlineStr">
        <is>
          <t>归属域=音效｜覆盖大类=音效｜AssetID 前缀=AUD｜主账本（总目录）=assets/registry/ShellStorm2_美术资产台账_v001.xlsx；本账本可独立并行编辑，跨域契约见主账本</t>
        </is>
      </c>
    </row>
    <row r="4" ht="15" customHeight="1" s="33">
      <c r="A4" s="36" t="n"/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</row>
    <row r="5" ht="27.6" customHeight="1" s="33">
      <c r="A5" s="37" t="inlineStr">
        <is>
          <t>资产总数</t>
        </is>
      </c>
      <c r="B5" s="37" t="n"/>
      <c r="C5" s="37" t="inlineStr">
        <is>
          <t>已完成/已接入</t>
        </is>
      </c>
      <c r="D5" s="37" t="n"/>
      <c r="E5" s="37" t="inlineStr">
        <is>
          <t>待制作/程序占位</t>
        </is>
      </c>
      <c r="F5" s="37" t="n"/>
      <c r="G5" s="37" t="inlineStr">
        <is>
          <t>重复警报</t>
        </is>
      </c>
      <c r="H5" s="37" t="n"/>
      <c r="I5" s="37" t="inlineStr">
        <is>
          <t>域内专表 / 3D Prefab 分页</t>
        </is>
      </c>
      <c r="J5" s="37" t="n"/>
    </row>
    <row r="6" ht="42" customHeight="1" s="33">
      <c r="A6" s="38">
        <f>COUNTA('资产主表'!$A$6:$A$183)</f>
        <v/>
      </c>
      <c r="B6" s="36" t="n"/>
      <c r="C6" s="38">
        <f>COUNTIF('资产主表'!$K$6:$K$183,"已完成")+COUNTIF('资产主表'!$K$6:$K$183,"原型已接入")+COUNTIF('资产主表'!$K$6:$K$183,"正式美术已接入")+COUNTIF('资产主表'!$K$6:$K$183,"已优化并正式接入")+COUNTIF('资产主表'!$K$6:$K$183,"Blender源已完成")+COUNTIF('资产主表'!$K$6:$K$183,"已导入；优化完成")+COUNTIF('资产主表'!$K$6:$K$183,"白模源已完成；QA PASS")</f>
        <v/>
      </c>
      <c r="D6" s="36" t="n"/>
      <c r="E6" s="38">
        <f>COUNTIF('资产主表'!$K$6:$K$183,"待制作")+COUNTIF('资产主表'!$K$6:$K$183,"程序占位")</f>
        <v/>
      </c>
      <c r="F6" s="36" t="n"/>
      <c r="G6" s="38">
        <f>COUNTIF('资产主表'!$S$6:$S$183,"重复")</f>
        <v/>
      </c>
      <c r="H6" s="36" t="n"/>
      <c r="I6" s="37" t="inlineStr">
        <is>
          <t>域内专表：无　|　3D Prefab 分页：无</t>
        </is>
      </c>
    </row>
    <row r="7" ht="15" customHeight="1" s="33">
      <c r="A7" s="36" t="n"/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</row>
    <row r="8" ht="15" customHeight="1" s="33">
      <c r="A8" s="36" t="n"/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</row>
    <row r="9" ht="31.5" customHeight="1" s="33">
      <c r="A9" s="39" t="inlineStr">
        <is>
          <t>大类</t>
        </is>
      </c>
      <c r="B9" s="39" t="inlineStr">
        <is>
          <t>资产数</t>
        </is>
      </c>
      <c r="C9" s="39" t="inlineStr">
        <is>
          <t>完成/接入</t>
        </is>
      </c>
      <c r="D9" s="39" t="n"/>
      <c r="E9" s="40" t="inlineStr">
        <is>
          <t>本账本只登记上列大类；跨域搬运资产须同步主账本《分类与编码》并重跑门禁</t>
        </is>
      </c>
      <c r="F9" s="41" t="n"/>
      <c r="G9" s="41" t="n"/>
      <c r="H9" s="41" t="n"/>
      <c r="I9" s="41" t="n"/>
      <c r="J9" s="42" t="n"/>
    </row>
    <row r="10" ht="21.75" customHeight="1" s="33">
      <c r="A10" s="43" t="inlineStr">
        <is>
          <t>音效</t>
        </is>
      </c>
      <c r="B10" s="43">
        <f>COUNTIF('资产主表'!$C$6:$C$183,A10)</f>
        <v/>
      </c>
      <c r="C10" s="43">
        <f>SUMPRODUCT(('资产主表'!$C$6:$C$183=A10)*(('资产主表'!$K$6:$K$183="已完成")+('资产主表'!$K$6:$K$183="原型已接入")+('资产主表'!$K$6:$K$183="正式美术已接入")+('资产主表'!$K$6:$K$183="已优化并正式接入")+('资产主表'!$K$6:$K$183="Blender源已完成")+('资产主表'!$K$6:$K$183="已导入；优化完成")+('资产主表'!$K$6:$K$183="白模源已完成；QA PASS")))</f>
        <v/>
      </c>
      <c r="D10" s="43" t="n"/>
      <c r="E10" s="43" t="n"/>
      <c r="F10" s="43" t="n"/>
      <c r="G10" s="43" t="n"/>
      <c r="H10" s="43" t="n"/>
      <c r="I10" s="43" t="n"/>
      <c r="J10" s="43" t="n"/>
    </row>
    <row r="11" ht="21.75" customHeight="1" s="33">
      <c r="A11" s="43" t="inlineStr">
        <is>
          <t>合计</t>
        </is>
      </c>
      <c r="B11" s="43">
        <f>COUNTIF('资产主表'!$C$6:$C$183,A11)</f>
        <v/>
      </c>
      <c r="C11" s="43">
        <f>SUMPRODUCT(('资产主表'!$C$6:$C$183=A11)*(('资产主表'!$K$6:$K$183="已完成")+('资产主表'!$K$6:$K$183="原型已接入")+('资产主表'!$K$6:$K$183="正式美术已接入")+('资产主表'!$K$6:$K$183="已优化并正式接入")+('资产主表'!$K$6:$K$183="Blender源已完成")+('资产主表'!$K$6:$K$183="已导入；优化完成")+('资产主表'!$K$6:$K$183="白模源已完成；QA PASS")))</f>
        <v/>
      </c>
      <c r="D11" s="43" t="n"/>
      <c r="E11" s="43" t="n"/>
      <c r="F11" s="43" t="n"/>
      <c r="G11" s="43" t="n"/>
      <c r="H11" s="43" t="n"/>
      <c r="I11" s="43" t="n"/>
      <c r="J11" s="43" t="n"/>
    </row>
    <row r="12" ht="15" customHeight="1" s="33">
      <c r="A12" s="39" t="n"/>
      <c r="B12" s="39" t="n"/>
      <c r="C12" s="39" t="n"/>
      <c r="D12" s="39" t="n"/>
      <c r="E12" s="39" t="n"/>
      <c r="F12" s="39" t="n"/>
      <c r="G12" s="39" t="n"/>
      <c r="H12" s="39" t="n"/>
      <c r="I12" s="39" t="n"/>
      <c r="J12" s="39" t="n"/>
    </row>
    <row r="13" ht="15" customHeight="1" s="33">
      <c r="A13" s="44" t="n"/>
      <c r="B13" s="44" t="n"/>
      <c r="C13" s="44" t="n"/>
      <c r="D13" s="36" t="n"/>
      <c r="E13" s="45" t="n"/>
      <c r="F13" s="44" t="n"/>
      <c r="G13" s="44" t="n"/>
      <c r="H13" s="36" t="n"/>
      <c r="I13" s="36" t="n"/>
      <c r="J13" s="36" t="n"/>
    </row>
    <row r="14" ht="15" customHeight="1" s="33">
      <c r="A14" s="44" t="n"/>
      <c r="B14" s="44" t="n"/>
      <c r="C14" s="44" t="n"/>
      <c r="D14" s="36" t="n"/>
      <c r="E14" s="45" t="n"/>
      <c r="F14" s="44" t="n"/>
      <c r="G14" s="44" t="n"/>
      <c r="H14" s="36" t="n"/>
      <c r="I14" s="36" t="n"/>
      <c r="J14" s="36" t="n"/>
    </row>
    <row r="15" ht="15" customHeight="1" s="33">
      <c r="A15" s="44" t="n"/>
      <c r="B15" s="44" t="n"/>
      <c r="C15" s="44" t="n"/>
      <c r="D15" s="36" t="n"/>
      <c r="E15" s="36" t="n"/>
      <c r="F15" s="36" t="n"/>
      <c r="G15" s="36" t="n"/>
      <c r="H15" s="36" t="n"/>
      <c r="I15" s="36" t="n"/>
      <c r="J15" s="36" t="n"/>
    </row>
    <row r="16" ht="15" customHeight="1" s="33">
      <c r="A16" s="44" t="n"/>
      <c r="B16" s="44" t="n"/>
      <c r="C16" s="44" t="n"/>
      <c r="D16" s="36" t="n"/>
      <c r="E16" s="36" t="n"/>
      <c r="F16" s="36" t="n"/>
      <c r="G16" s="36" t="n"/>
      <c r="H16" s="36" t="n"/>
      <c r="I16" s="36" t="n"/>
      <c r="J16" s="36" t="n"/>
    </row>
    <row r="17" ht="15" customHeight="1" s="33">
      <c r="A17" s="44" t="n"/>
      <c r="B17" s="44" t="n"/>
      <c r="C17" s="44" t="n"/>
      <c r="D17" s="36" t="n"/>
      <c r="E17" s="36" t="n"/>
      <c r="F17" s="36" t="n"/>
      <c r="G17" s="36" t="n"/>
      <c r="H17" s="36" t="n"/>
      <c r="I17" s="36" t="n"/>
      <c r="J17" s="36" t="n"/>
    </row>
    <row r="18" ht="15" customHeight="1" s="33">
      <c r="A18" s="44" t="n"/>
      <c r="B18" s="44" t="n"/>
      <c r="C18" s="44" t="n"/>
      <c r="D18" s="36" t="n"/>
      <c r="E18" s="36" t="n"/>
      <c r="F18" s="36" t="n"/>
      <c r="G18" s="36" t="n"/>
      <c r="H18" s="36" t="n"/>
      <c r="I18" s="36" t="n"/>
      <c r="J18" s="36" t="n"/>
    </row>
    <row r="19" ht="15" customHeight="1" s="33">
      <c r="A19" s="36" t="n"/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</row>
    <row r="20" ht="15" customHeight="1" s="33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</row>
  </sheetData>
  <mergeCells count="4">
    <mergeCell ref="E9:J9"/>
    <mergeCell ref="A3:J3"/>
    <mergeCell ref="A1:J2"/>
    <mergeCell ref="I6:J6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2" min="1" max="1"/>
    <col width="74" customWidth="1" style="32" min="2" max="2"/>
    <col width="40.58" customWidth="1" style="32" min="3" max="3"/>
    <col width="28.65" customWidth="1" style="32" min="4" max="6"/>
  </cols>
  <sheetData>
    <row r="1" ht="15" customHeight="1" s="33">
      <c r="A1" s="46" t="inlineStr">
        <is>
          <t>本账本说明 · 音效</t>
        </is>
      </c>
    </row>
    <row r="2" ht="15" customHeight="1" s="33"/>
    <row r="3" ht="15" customHeight="1" s="33">
      <c r="A3" s="35" t="inlineStr">
        <is>
          <t>本表是分账本自描述；机器可读真源为 assets/registry/ledger_index.json，二者不一致时以 JSON 为准</t>
        </is>
      </c>
    </row>
    <row r="4"/>
    <row r="5" ht="15" customHeight="1" s="33">
      <c r="A5" s="39" t="inlineStr">
        <is>
          <t>项</t>
        </is>
      </c>
      <c r="B5" s="39" t="inlineStr">
        <is>
          <t>值</t>
        </is>
      </c>
      <c r="C5" s="39" t="n"/>
      <c r="D5" s="39" t="n"/>
      <c r="E5" s="39" t="n"/>
      <c r="F5" s="39" t="n"/>
    </row>
    <row r="6" ht="30" customHeight="1" s="33">
      <c r="A6" s="43" t="inlineStr">
        <is>
          <t>账本归属域</t>
        </is>
      </c>
      <c r="B6" s="43" t="inlineStr">
        <is>
          <t>音效</t>
        </is>
      </c>
      <c r="C6" s="43" t="n"/>
      <c r="D6" s="43" t="n"/>
      <c r="E6" s="43" t="n"/>
      <c r="F6" s="43" t="n"/>
    </row>
    <row r="7" ht="30" customHeight="1" s="33">
      <c r="A7" s="43" t="inlineStr">
        <is>
          <t>分账本文件</t>
        </is>
      </c>
      <c r="B7" s="47" t="inlineStr">
        <is>
          <t>assets/registry/ledgers/ShellStorm2_音效账本_v001.xlsx</t>
        </is>
      </c>
      <c r="C7" s="43" t="n"/>
      <c r="D7" s="43" t="n"/>
      <c r="E7" s="43" t="n"/>
      <c r="F7" s="43" t="n"/>
    </row>
    <row r="8" ht="30" customHeight="1" s="33">
      <c r="A8" s="43" t="inlineStr">
        <is>
          <t>覆盖大类</t>
        </is>
      </c>
      <c r="B8" s="43" t="inlineStr">
        <is>
          <t>音效</t>
        </is>
      </c>
      <c r="C8" s="43" t="n"/>
      <c r="D8" s="43" t="n"/>
      <c r="E8" s="43" t="n"/>
      <c r="F8" s="43" t="n"/>
    </row>
    <row r="9" ht="30" customHeight="1" s="33">
      <c r="A9" s="47" t="inlineStr">
        <is>
          <t>AssetID 前缀</t>
        </is>
      </c>
      <c r="B9" s="47" t="inlineStr">
        <is>
          <t>AUD</t>
        </is>
      </c>
      <c r="C9" s="43" t="n"/>
      <c r="D9" s="43" t="n"/>
      <c r="E9" s="43" t="n"/>
      <c r="F9" s="43" t="n"/>
    </row>
    <row r="10" ht="30" customHeight="1" s="33">
      <c r="A10" s="43" t="inlineStr">
        <is>
          <t>域内专表</t>
        </is>
      </c>
      <c r="B10" s="43" t="inlineStr">
        <is>
          <t>无</t>
        </is>
      </c>
      <c r="C10" s="43" t="n"/>
      <c r="D10" s="43" t="n"/>
      <c r="E10" s="43" t="n"/>
      <c r="F10" s="43" t="n"/>
    </row>
    <row r="11" ht="30" customHeight="1" s="33">
      <c r="A11" s="47" t="inlineStr">
        <is>
          <t>3D Prefab 分页</t>
        </is>
      </c>
      <c r="B11" s="43" t="inlineStr">
        <is>
          <t>无</t>
        </is>
      </c>
      <c r="C11" s="43" t="n"/>
      <c r="D11" s="43" t="n"/>
      <c r="E11" s="43" t="n"/>
      <c r="F11" s="43" t="n"/>
    </row>
    <row r="12" ht="30" customHeight="1" s="33">
      <c r="A12" s="43" t="inlineStr">
        <is>
          <t>动画登记表</t>
        </is>
      </c>
      <c r="B12" s="43" t="inlineStr">
        <is>
          <t>无</t>
        </is>
      </c>
      <c r="C12" s="43" t="n"/>
      <c r="D12" s="43" t="n"/>
      <c r="E12" s="43" t="n"/>
      <c r="F12" s="43" t="n"/>
    </row>
    <row r="13" ht="30" customHeight="1" s="33">
      <c r="A13" s="43" t="inlineStr">
        <is>
          <t>主账本（总目录）</t>
        </is>
      </c>
      <c r="B13" s="47" t="inlineStr">
        <is>
          <t>assets/registry/ShellStorm2_美术资产台账_v001.xlsx</t>
        </is>
      </c>
      <c r="C13" s="43" t="n"/>
      <c r="D13" s="43" t="n"/>
      <c r="E13" s="43" t="n"/>
      <c r="F13" s="43" t="n"/>
    </row>
    <row r="14" ht="30" customHeight="1" s="33">
      <c r="A14" s="43" t="inlineStr">
        <is>
          <t>跨域契约</t>
        </is>
      </c>
      <c r="B14" s="43" t="inlineStr">
        <is>
          <t>分类与编码 / 命名与查重 / 版本记录 / Skill 清单 / 3D Prefab 总控 —— 全部只在主账本维护</t>
        </is>
      </c>
      <c r="C14" s="43" t="n"/>
      <c r="D14" s="43" t="n"/>
      <c r="E14" s="43" t="n"/>
      <c r="F14" s="43" t="n"/>
    </row>
    <row r="15" ht="30" customHeight="1" s="33">
      <c r="A15" s="43" t="inlineStr">
        <is>
          <t>首选制作 Skill</t>
        </is>
      </c>
      <c r="B15" s="47" t="inlineStr">
        <is>
          <t>audio-sfx-asset-pipeline</t>
        </is>
      </c>
      <c r="C15" s="43" t="n"/>
      <c r="D15" s="43" t="n"/>
      <c r="E15" s="43" t="n"/>
      <c r="F15" s="43" t="n"/>
    </row>
    <row r="16" ht="30" customHeight="1" s="33">
      <c r="A16" s="43" t="inlineStr">
        <is>
          <t>协作 Skill</t>
        </is>
      </c>
      <c r="B16" s="43" t="inlineStr">
        <is>
          <t>无</t>
        </is>
      </c>
      <c r="C16" s="43" t="n"/>
      <c r="D16" s="43" t="n"/>
      <c r="E16" s="43" t="n"/>
      <c r="F16" s="43" t="n"/>
    </row>
    <row r="17" ht="30" customHeight="1" s="33">
      <c r="A17" s="43" t="inlineStr">
        <is>
          <t>负责人</t>
        </is>
      </c>
      <c r="B17" s="43" t="inlineStr">
        <is>
          <t>待分配</t>
        </is>
      </c>
      <c r="C17" s="43" t="n"/>
      <c r="D17" s="43" t="n"/>
      <c r="E17" s="43" t="n"/>
      <c r="F17" s="43" t="n"/>
    </row>
    <row r="18" ht="30" customHeight="1" s="33">
      <c r="A18" s="43" t="inlineStr">
        <is>
          <t>登记范围</t>
        </is>
      </c>
      <c r="B18" s="43" t="inlineStr">
        <is>
          <t>武器、近战、受击、UI、门、容器、波次、Boss 与交互短时音效；事件键由 AudioManager 持有，运行资产为 OGG。</t>
        </is>
      </c>
      <c r="C18" s="43" t="n"/>
      <c r="D18" s="43" t="n"/>
      <c r="E18" s="43" t="n"/>
      <c r="F18" s="43" t="n"/>
    </row>
    <row r="19" ht="30" customHeight="1" s="33">
      <c r="A19" s="43" t="inlineStr">
        <is>
          <t>编辑边界</t>
        </is>
      </c>
      <c r="B19" s="43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3" t="n"/>
      <c r="D19" s="43" t="n"/>
      <c r="E19" s="43" t="n"/>
      <c r="F19" s="43" t="n"/>
    </row>
    <row r="20" ht="30" customHeight="1" s="33">
      <c r="A20" s="43" t="inlineStr">
        <is>
          <t>登记口径</t>
        </is>
      </c>
      <c r="B20" s="43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3" t="n"/>
      <c r="D20" s="43" t="n"/>
      <c r="E20" s="43" t="n"/>
      <c r="F20" s="43" t="n"/>
    </row>
    <row r="21" ht="30" customHeight="1" s="33">
      <c r="A21" s="43" t="inlineStr">
        <is>
          <t>门禁</t>
        </is>
      </c>
      <c r="B21" s="47" t="inlineStr">
        <is>
          <t>python3 scripts/check_media_asset_domains.py；python3 scripts/check_asset_registry.py --scope structure</t>
        </is>
      </c>
      <c r="C21" s="43" t="n"/>
      <c r="D21" s="43" t="n"/>
      <c r="E21" s="43" t="n"/>
      <c r="F21" s="43" t="n"/>
    </row>
    <row r="22" ht="30" customHeight="1" s="33">
      <c r="A22" s="43" t="inlineStr">
        <is>
          <t>无损基线</t>
        </is>
      </c>
      <c r="B22" s="47" t="inlineStr">
        <is>
          <t>assets/registry/ledger_split_baseline.json + assets/registry/media_domain_split_manifest.json；门禁断言 AssetID/路径/哈希/状态不丢失</t>
        </is>
      </c>
      <c r="C22" s="43" t="n"/>
      <c r="D22" s="43" t="n"/>
      <c r="E22" s="43" t="n"/>
      <c r="F22" s="43" t="n"/>
    </row>
    <row r="23" ht="30" customHeight="1" s="33">
      <c r="A23" s="43" t="inlineStr">
        <is>
          <t>快照日期</t>
        </is>
      </c>
      <c r="B23" s="47" t="inlineStr">
        <is>
          <t>2026-10-19</t>
        </is>
      </c>
      <c r="C23" s="43" t="n"/>
      <c r="D23" s="43" t="n"/>
      <c r="E23" s="43" t="n"/>
      <c r="F23" s="43" t="n"/>
    </row>
    <row r="24" ht="48" customHeight="1" s="33">
      <c r="A24" s="67" t="inlineStr">
        <is>
          <t>枪种声音映射</t>
        </is>
      </c>
      <c r="B24" s="67" t="inlineStr">
        <is>
          <t>以 src/assets/audio/sfx/sfx_catalog.json.weapon_profiles 为准；9个枪身ID，7类，每类独立开火/换弹/拾取。</t>
        </is>
      </c>
    </row>
    <row r="25" ht="48" customHeight="1" s="33">
      <c r="A25" s="67" t="inlineStr">
        <is>
          <t>手枪</t>
        </is>
      </c>
      <c r="B25" s="67" t="inlineStr">
        <is>
          <t>枪身=bp_pistol；开火=pistol_fire；换弹=reload_pistol；拾取=pickup_pistol</t>
        </is>
      </c>
    </row>
    <row r="26" ht="48" customHeight="1" s="33">
      <c r="A26" s="67" t="inlineStr">
        <is>
          <t>步枪</t>
        </is>
      </c>
      <c r="B26" s="67" t="inlineStr">
        <is>
          <t>枪身=bp_rifle, bp_starter_rifle；开火=rifle_fire；换弹=reload_rifle；拾取=pickup_rifle</t>
        </is>
      </c>
    </row>
    <row r="27" ht="48" customHeight="1" s="33">
      <c r="A27" s="67" t="inlineStr">
        <is>
          <t>机枪</t>
        </is>
      </c>
      <c r="B27" s="67" t="inlineStr">
        <is>
          <t>枪身=bp_machinegun, bp_sprinkler；开火=smg_fire；换弹=reload_machinegun；拾取=pickup_machinegun</t>
        </is>
      </c>
    </row>
    <row r="28" ht="48" customHeight="1" s="33">
      <c r="A28" s="67" t="inlineStr">
        <is>
          <t>霰弹枪</t>
        </is>
      </c>
      <c r="B28" s="67" t="inlineStr">
        <is>
          <t>枪身=bp_shotgun；开火=shotgun_fire；换弹=reload_shotgun；拾取=pickup_shotgun</t>
        </is>
      </c>
    </row>
    <row r="29" ht="48" customHeight="1" s="33">
      <c r="A29" s="67" t="inlineStr">
        <is>
          <t>狙击枪</t>
        </is>
      </c>
      <c r="B29" s="67" t="inlineStr">
        <is>
          <t>枪身=bp_sniper；开火=sniper_fire；换弹=reload_sniper；拾取=pickup_sniper</t>
        </is>
      </c>
    </row>
    <row r="30" ht="48" customHeight="1" s="33">
      <c r="A30" s="67" t="inlineStr">
        <is>
          <t>榴弹筒</t>
        </is>
      </c>
      <c r="B30" s="67" t="inlineStr">
        <is>
          <t>枪身=bp_launcher；开火=launcher_fire；换弹=reload_launcher；拾取=pickup_launcher</t>
        </is>
      </c>
    </row>
    <row r="31" ht="48" customHeight="1" s="33">
      <c r="A31" s="67" t="inlineStr">
        <is>
          <t>蓄力炮</t>
        </is>
      </c>
      <c r="B31" s="67" t="inlineStr">
        <is>
          <t>枪身=bp_charge；开火=laser_fire；换弹=reload_charge；拾取=pickup_charge</t>
        </is>
      </c>
    </row>
    <row r="32" ht="48" customHeight="1" s="33">
      <c r="A32" s="67" t="inlineStr">
        <is>
          <t>当前音效数量</t>
        </is>
      </c>
      <c r="B32" s="67" t="inlineStr">
        <is>
          <t>资产主表169条（157条运行声音、12条弃用历史占位）；运行SoundSet 104组；36个兼容事件键。</t>
        </is>
      </c>
    </row>
    <row r="33" ht="48" customHeight="1" s="33">
      <c r="A33" s="67" t="inlineStr">
        <is>
          <t>本轮验收口径</t>
        </is>
      </c>
      <c r="B33" s="67" t="inlineStr">
        <is>
          <t>七类枪种及普通物品拾取保持原型已接入；空仓、通用换弹、分段换弹、切枪、装配仅素材/映射就绪，记authored。人工听感及Android尚未验收。</t>
        </is>
      </c>
    </row>
    <row r="34" ht="52" customHeight="1" s="33">
      <c r="A34" s="32" t="inlineStr">
        <is>
          <t>环境/实体声音风格</t>
        </is>
      </c>
      <c r="B34" s="70" t="inlineStr">
        <is>
          <t>47组84条自然Foley/录音，含7组无缝环境循环；29组系统提示风格保留；既有七类枪声不变。人工听感与Android待验。</t>
        </is>
      </c>
    </row>
  </sheetData>
  <mergeCells count="2">
    <mergeCell ref="A3:F3"/>
    <mergeCell ref="A1:F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18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2" min="1" max="1"/>
    <col width="21.48" customWidth="1" style="32" min="2" max="2"/>
    <col width="11.94" customWidth="1" style="32" min="3" max="3"/>
    <col width="21.48" customWidth="1" style="32" min="4" max="4"/>
    <col width="26.26" customWidth="1" style="32" min="5" max="5"/>
    <col width="14.33" customWidth="1" style="32" min="6" max="6"/>
    <col width="29.84" customWidth="1" style="32" min="7" max="7"/>
    <col width="22.68" customWidth="1" style="32" min="8" max="8"/>
    <col width="17.9" customWidth="1" style="32" min="9" max="9"/>
    <col width="21.48" customWidth="1" style="32" min="10" max="10"/>
    <col width="14.33" customWidth="1" style="32" min="11" max="11"/>
    <col width="9.550000000000001" customWidth="1" style="32" min="12" max="12"/>
    <col width="10.74" customWidth="1" style="32" min="13" max="13"/>
    <col width="19.1" customWidth="1" style="32" min="14" max="14"/>
    <col width="42.97" customWidth="1" style="32" min="15" max="15"/>
    <col width="40.58" customWidth="1" style="32" min="16" max="16"/>
    <col width="31.03" customWidth="1" style="32" min="17" max="17"/>
    <col width="50.13" customWidth="1" style="32" min="18" max="18"/>
    <col width="14.33" customWidth="1" style="32" min="19" max="19"/>
    <col width="35.81" customWidth="1" style="32" min="20" max="20"/>
    <col width="14.33" customWidth="1" style="32" min="21" max="21"/>
    <col width="15.51" customWidth="1" style="32" min="22" max="22"/>
    <col width="19.1" customWidth="1" style="32" min="23" max="23"/>
    <col width="62.06" customWidth="1" style="32" min="24" max="24"/>
  </cols>
  <sheetData>
    <row r="1" ht="24.75" customHeight="1" s="33">
      <c r="A1" s="46" t="inlineStr">
        <is>
          <t>资产主表 · 唯一登记源</t>
        </is>
      </c>
    </row>
    <row r="2" ht="12" customHeight="1" s="33"/>
    <row r="3" ht="22.5" customHeight="1" s="33">
      <c r="A3" s="35" t="inlineStr">
        <is>
          <t>查重键由公式生成；S 列出现“重复”时禁止制作，先合并或建立变体父子关系</t>
        </is>
      </c>
    </row>
    <row r="4" ht="15" customHeight="1" s="33">
      <c r="A4" s="36" t="n"/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Y4" s="36" t="n"/>
    </row>
    <row r="5" ht="31.5" customHeight="1" s="33">
      <c r="A5" s="48" t="inlineStr">
        <is>
          <t>AssetID</t>
        </is>
      </c>
      <c r="B5" s="49" t="inlineStr">
        <is>
          <t>中文名</t>
        </is>
      </c>
      <c r="C5" s="49" t="inlineStr">
        <is>
          <t>大类</t>
        </is>
      </c>
      <c r="D5" s="49" t="inlineStr">
        <is>
          <t>子类</t>
        </is>
      </c>
      <c r="E5" s="49" t="inlineStr">
        <is>
          <t>逻辑ID/源键</t>
        </is>
      </c>
      <c r="F5" s="49" t="inlineStr">
        <is>
          <t>组件槽</t>
        </is>
      </c>
      <c r="G5" s="49" t="inlineStr">
        <is>
          <t>变体父ID</t>
        </is>
      </c>
      <c r="H5" s="49" t="inlineStr">
        <is>
          <t>视角</t>
        </is>
      </c>
      <c r="I5" s="49" t="inlineStr">
        <is>
          <t>状态/动画</t>
        </is>
      </c>
      <c r="J5" s="49" t="inlineStr">
        <is>
          <t>复用范围</t>
        </is>
      </c>
      <c r="K5" s="49" t="inlineStr">
        <is>
          <t>制作状态</t>
        </is>
      </c>
      <c r="L5" s="49" t="inlineStr">
        <is>
          <t>优先级</t>
        </is>
      </c>
      <c r="M5" s="49" t="inlineStr">
        <is>
          <t>版本</t>
        </is>
      </c>
      <c r="N5" s="49" t="inlineStr">
        <is>
          <t>规格(px)</t>
        </is>
      </c>
      <c r="O5" s="49" t="inlineStr">
        <is>
          <t>文件路径</t>
        </is>
      </c>
      <c r="P5" s="49" t="inlineStr">
        <is>
          <t>源码/策划依据</t>
        </is>
      </c>
      <c r="Q5" s="49" t="inlineStr">
        <is>
          <t>关键词/别名</t>
        </is>
      </c>
      <c r="R5" s="49" t="inlineStr">
        <is>
          <t>查重键</t>
        </is>
      </c>
      <c r="S5" s="49" t="inlineStr">
        <is>
          <t>查重结果</t>
        </is>
      </c>
      <c r="T5" s="50" t="inlineStr">
        <is>
          <t>SHA-256</t>
        </is>
      </c>
      <c r="U5" s="49" t="inlineStr">
        <is>
          <t>负责人</t>
        </is>
      </c>
      <c r="V5" s="49" t="inlineStr">
        <is>
          <t>更新时间</t>
        </is>
      </c>
      <c r="W5" s="49" t="inlineStr">
        <is>
          <t>来源/许可</t>
        </is>
      </c>
      <c r="X5" s="51" t="inlineStr">
        <is>
          <t>源编号（Blender collection）</t>
        </is>
      </c>
      <c r="Y5" s="52" t="inlineStr">
        <is>
          <t>备注</t>
        </is>
      </c>
    </row>
    <row r="6" ht="15" customHeight="1" s="33">
      <c r="A6" s="53" t="inlineStr">
        <is>
          <t>AUD-PISTOL-FIRE</t>
        </is>
      </c>
      <c r="B6" s="54" t="inlineStr">
        <is>
          <t>手枪射击</t>
        </is>
      </c>
      <c r="C6" s="54" t="inlineStr">
        <is>
          <t>音效</t>
        </is>
      </c>
      <c r="D6" s="53" t="inlineStr">
        <is>
          <t>sfx</t>
        </is>
      </c>
      <c r="E6" s="53" t="inlineStr">
        <is>
          <t>pistol_fire</t>
        </is>
      </c>
      <c r="F6" s="53" t="inlineStr">
        <is>
          <t>legacy_design_retired</t>
        </is>
      </c>
      <c r="G6" s="54" t="n"/>
      <c r="H6" s="54" t="inlineStr">
        <is>
          <t>不适用</t>
        </is>
      </c>
      <c r="I6" s="53" t="inlineStr">
        <is>
          <t>default</t>
        </is>
      </c>
      <c r="J6" s="54" t="inlineStr">
        <is>
          <t>按事件复用</t>
        </is>
      </c>
      <c r="K6" s="54" t="inlineStr">
        <is>
          <t>弃用</t>
        </is>
      </c>
      <c r="L6" s="53" t="inlineStr">
        <is>
          <t>P2</t>
        </is>
      </c>
      <c r="M6" s="53" t="inlineStr">
        <is>
          <t>v001</t>
        </is>
      </c>
      <c r="N6" s="53" t="inlineStr">
        <is>
          <t>0.1–2.0s WAV/OGG</t>
        </is>
      </c>
      <c r="O6" s="54" t="n"/>
      <c r="P6" s="53" t="inlineStr">
        <is>
          <t>src/core/AudioManager.gd</t>
        </is>
      </c>
      <c r="Q6" s="54" t="n"/>
      <c r="R6" s="54">
        <f>LOWER(TRIM(C6)&amp;"|"&amp;TRIM(D6)&amp;"|"&amp;TRIM(E6)&amp;"|"&amp;TRIM(F6)&amp;"|"&amp;TRIM(H6)&amp;"|"&amp;TRIM(I6))</f>
        <v/>
      </c>
      <c r="S6" s="54">
        <f>IF(COUNTIF($R$6:$R$183,R6)&gt;1,"重复","唯一")</f>
        <v/>
      </c>
      <c r="T6" s="54" t="n"/>
      <c r="U6" s="54" t="inlineStr">
        <is>
          <t>待分配</t>
        </is>
      </c>
      <c r="V6" s="55" t="n">
        <v>46224</v>
      </c>
      <c r="W6" s="54" t="inlineStr">
        <is>
          <t>原创/待确认</t>
        </is>
      </c>
      <c r="X6" s="56" t="inlineStr">
        <is>
          <t>—</t>
        </is>
      </c>
      <c r="Y6" s="54" t="inlineStr">
        <is>
          <t>旧设计占位；由 AUD-SFX 系列正式音效取代</t>
        </is>
      </c>
    </row>
    <row r="7" ht="15" customHeight="1" s="33">
      <c r="A7" s="57" t="inlineStr">
        <is>
          <t>AUD-RIFLE-FIRE</t>
        </is>
      </c>
      <c r="B7" s="44" t="inlineStr">
        <is>
          <t>步枪射击</t>
        </is>
      </c>
      <c r="C7" s="44" t="inlineStr">
        <is>
          <t>音效</t>
        </is>
      </c>
      <c r="D7" s="57" t="inlineStr">
        <is>
          <t>sfx</t>
        </is>
      </c>
      <c r="E7" s="57" t="inlineStr">
        <is>
          <t>rifle_fire</t>
        </is>
      </c>
      <c r="F7" s="57" t="inlineStr">
        <is>
          <t>legacy_design_retired</t>
        </is>
      </c>
      <c r="G7" s="44" t="n"/>
      <c r="H7" s="44" t="inlineStr">
        <is>
          <t>不适用</t>
        </is>
      </c>
      <c r="I7" s="57" t="inlineStr">
        <is>
          <t>default</t>
        </is>
      </c>
      <c r="J7" s="44" t="inlineStr">
        <is>
          <t>按事件复用</t>
        </is>
      </c>
      <c r="K7" s="44" t="inlineStr">
        <is>
          <t>弃用</t>
        </is>
      </c>
      <c r="L7" s="57" t="inlineStr">
        <is>
          <t>P2</t>
        </is>
      </c>
      <c r="M7" s="57" t="inlineStr">
        <is>
          <t>v001</t>
        </is>
      </c>
      <c r="N7" s="57" t="inlineStr">
        <is>
          <t>0.1–2.0s WAV/OGG</t>
        </is>
      </c>
      <c r="O7" s="44" t="n"/>
      <c r="P7" s="57" t="inlineStr">
        <is>
          <t>src/core/AudioManager.gd</t>
        </is>
      </c>
      <c r="Q7" s="44" t="n"/>
      <c r="R7" s="44">
        <f>LOWER(TRIM(C7)&amp;"|"&amp;TRIM(D7)&amp;"|"&amp;TRIM(E7)&amp;"|"&amp;TRIM(F7)&amp;"|"&amp;TRIM(H7)&amp;"|"&amp;TRIM(I7))</f>
        <v/>
      </c>
      <c r="S7" s="44">
        <f>IF(COUNTIF($R$6:$R$183,R7)&gt;1,"重复","唯一")</f>
        <v/>
      </c>
      <c r="T7" s="44" t="n"/>
      <c r="U7" s="44" t="inlineStr">
        <is>
          <t>待分配</t>
        </is>
      </c>
      <c r="V7" s="58" t="n">
        <v>46224</v>
      </c>
      <c r="W7" s="44" t="inlineStr">
        <is>
          <t>原创/待确认</t>
        </is>
      </c>
      <c r="X7" s="56" t="inlineStr">
        <is>
          <t>—</t>
        </is>
      </c>
      <c r="Y7" s="44" t="inlineStr">
        <is>
          <t>旧设计占位；由 AUD-SFX 系列正式音效取代</t>
        </is>
      </c>
    </row>
    <row r="8" ht="15" customHeight="1" s="33">
      <c r="A8" s="57" t="inlineStr">
        <is>
          <t>AUD-SHOTGUN-FIRE</t>
        </is>
      </c>
      <c r="B8" s="44" t="inlineStr">
        <is>
          <t>霰弹枪射击</t>
        </is>
      </c>
      <c r="C8" s="44" t="inlineStr">
        <is>
          <t>音效</t>
        </is>
      </c>
      <c r="D8" s="57" t="inlineStr">
        <is>
          <t>sfx</t>
        </is>
      </c>
      <c r="E8" s="57" t="inlineStr">
        <is>
          <t>shotgun_fire</t>
        </is>
      </c>
      <c r="F8" s="57" t="inlineStr">
        <is>
          <t>legacy_design_retired</t>
        </is>
      </c>
      <c r="G8" s="44" t="n"/>
      <c r="H8" s="44" t="inlineStr">
        <is>
          <t>不适用</t>
        </is>
      </c>
      <c r="I8" s="57" t="inlineStr">
        <is>
          <t>default</t>
        </is>
      </c>
      <c r="J8" s="44" t="inlineStr">
        <is>
          <t>按事件复用</t>
        </is>
      </c>
      <c r="K8" s="44" t="inlineStr">
        <is>
          <t>弃用</t>
        </is>
      </c>
      <c r="L8" s="57" t="inlineStr">
        <is>
          <t>P2</t>
        </is>
      </c>
      <c r="M8" s="57" t="inlineStr">
        <is>
          <t>v001</t>
        </is>
      </c>
      <c r="N8" s="57" t="inlineStr">
        <is>
          <t>0.1–2.0s WAV/OGG</t>
        </is>
      </c>
      <c r="O8" s="44" t="n"/>
      <c r="P8" s="57" t="inlineStr">
        <is>
          <t>src/core/AudioManager.gd</t>
        </is>
      </c>
      <c r="Q8" s="44" t="n"/>
      <c r="R8" s="44">
        <f>LOWER(TRIM(C8)&amp;"|"&amp;TRIM(D8)&amp;"|"&amp;TRIM(E8)&amp;"|"&amp;TRIM(F8)&amp;"|"&amp;TRIM(H8)&amp;"|"&amp;TRIM(I8))</f>
        <v/>
      </c>
      <c r="S8" s="44">
        <f>IF(COUNTIF($R$6:$R$183,R8)&gt;1,"重复","唯一")</f>
        <v/>
      </c>
      <c r="T8" s="44" t="n"/>
      <c r="U8" s="44" t="inlineStr">
        <is>
          <t>待分配</t>
        </is>
      </c>
      <c r="V8" s="58" t="n">
        <v>46224</v>
      </c>
      <c r="W8" s="44" t="inlineStr">
        <is>
          <t>原创/待确认</t>
        </is>
      </c>
      <c r="X8" s="56" t="inlineStr">
        <is>
          <t>—</t>
        </is>
      </c>
      <c r="Y8" s="44" t="inlineStr">
        <is>
          <t>旧设计占位；由 AUD-SFX 系列正式音效取代</t>
        </is>
      </c>
    </row>
    <row r="9" ht="15" customHeight="1" s="33">
      <c r="A9" s="57" t="inlineStr">
        <is>
          <t>AUD-SMG-FIRE</t>
        </is>
      </c>
      <c r="B9" s="44" t="inlineStr">
        <is>
          <t>机枪射击</t>
        </is>
      </c>
      <c r="C9" s="44" t="inlineStr">
        <is>
          <t>音效</t>
        </is>
      </c>
      <c r="D9" s="57" t="inlineStr">
        <is>
          <t>sfx</t>
        </is>
      </c>
      <c r="E9" s="57" t="inlineStr">
        <is>
          <t>smg_fire</t>
        </is>
      </c>
      <c r="F9" s="57" t="inlineStr">
        <is>
          <t>legacy_design_retired</t>
        </is>
      </c>
      <c r="G9" s="44" t="n"/>
      <c r="H9" s="44" t="inlineStr">
        <is>
          <t>不适用</t>
        </is>
      </c>
      <c r="I9" s="57" t="inlineStr">
        <is>
          <t>default</t>
        </is>
      </c>
      <c r="J9" s="44" t="inlineStr">
        <is>
          <t>按事件复用</t>
        </is>
      </c>
      <c r="K9" s="44" t="inlineStr">
        <is>
          <t>弃用</t>
        </is>
      </c>
      <c r="L9" s="57" t="inlineStr">
        <is>
          <t>P2</t>
        </is>
      </c>
      <c r="M9" s="57" t="inlineStr">
        <is>
          <t>v001</t>
        </is>
      </c>
      <c r="N9" s="57" t="inlineStr">
        <is>
          <t>0.1–2.0s WAV/OGG</t>
        </is>
      </c>
      <c r="O9" s="44" t="n"/>
      <c r="P9" s="57" t="inlineStr">
        <is>
          <t>src/core/AudioManager.gd</t>
        </is>
      </c>
      <c r="Q9" s="44" t="n"/>
      <c r="R9" s="44">
        <f>LOWER(TRIM(C9)&amp;"|"&amp;TRIM(D9)&amp;"|"&amp;TRIM(E9)&amp;"|"&amp;TRIM(F9)&amp;"|"&amp;TRIM(H9)&amp;"|"&amp;TRIM(I9))</f>
        <v/>
      </c>
      <c r="S9" s="44">
        <f>IF(COUNTIF($R$6:$R$183,R9)&gt;1,"重复","唯一")</f>
        <v/>
      </c>
      <c r="T9" s="44" t="n"/>
      <c r="U9" s="44" t="inlineStr">
        <is>
          <t>待分配</t>
        </is>
      </c>
      <c r="V9" s="58" t="n">
        <v>46224</v>
      </c>
      <c r="W9" s="44" t="inlineStr">
        <is>
          <t>原创/待确认</t>
        </is>
      </c>
      <c r="X9" s="56" t="inlineStr">
        <is>
          <t>—</t>
        </is>
      </c>
      <c r="Y9" s="44" t="inlineStr">
        <is>
          <t>旧设计占位；由 AUD-SFX 系列正式音效取代</t>
        </is>
      </c>
    </row>
    <row r="10" ht="15" customHeight="1" s="33">
      <c r="A10" s="57" t="inlineStr">
        <is>
          <t>AUD-SNIPER-FIRE</t>
        </is>
      </c>
      <c r="B10" s="44" t="inlineStr">
        <is>
          <t>狙击射击</t>
        </is>
      </c>
      <c r="C10" s="44" t="inlineStr">
        <is>
          <t>音效</t>
        </is>
      </c>
      <c r="D10" s="57" t="inlineStr">
        <is>
          <t>sfx</t>
        </is>
      </c>
      <c r="E10" s="57" t="inlineStr">
        <is>
          <t>sniper_fire</t>
        </is>
      </c>
      <c r="F10" s="57" t="inlineStr">
        <is>
          <t>legacy_design_retired</t>
        </is>
      </c>
      <c r="G10" s="44" t="n"/>
      <c r="H10" s="44" t="inlineStr">
        <is>
          <t>不适用</t>
        </is>
      </c>
      <c r="I10" s="57" t="inlineStr">
        <is>
          <t>default</t>
        </is>
      </c>
      <c r="J10" s="44" t="inlineStr">
        <is>
          <t>按事件复用</t>
        </is>
      </c>
      <c r="K10" s="44" t="inlineStr">
        <is>
          <t>弃用</t>
        </is>
      </c>
      <c r="L10" s="57" t="inlineStr">
        <is>
          <t>P2</t>
        </is>
      </c>
      <c r="M10" s="57" t="inlineStr">
        <is>
          <t>v001</t>
        </is>
      </c>
      <c r="N10" s="57" t="inlineStr">
        <is>
          <t>0.1–2.0s WAV/OGG</t>
        </is>
      </c>
      <c r="O10" s="44" t="n"/>
      <c r="P10" s="57" t="inlineStr">
        <is>
          <t>src/core/AudioManager.gd</t>
        </is>
      </c>
      <c r="Q10" s="44" t="n"/>
      <c r="R10" s="44">
        <f>LOWER(TRIM(C10)&amp;"|"&amp;TRIM(D10)&amp;"|"&amp;TRIM(E10)&amp;"|"&amp;TRIM(F10)&amp;"|"&amp;TRIM(H10)&amp;"|"&amp;TRIM(I10))</f>
        <v/>
      </c>
      <c r="S10" s="44">
        <f>IF(COUNTIF($R$6:$R$183,R10)&gt;1,"重复","唯一")</f>
        <v/>
      </c>
      <c r="T10" s="44" t="n"/>
      <c r="U10" s="44" t="inlineStr">
        <is>
          <t>待分配</t>
        </is>
      </c>
      <c r="V10" s="58" t="n">
        <v>46224</v>
      </c>
      <c r="W10" s="44" t="inlineStr">
        <is>
          <t>原创/待确认</t>
        </is>
      </c>
      <c r="X10" s="56" t="inlineStr">
        <is>
          <t>—</t>
        </is>
      </c>
      <c r="Y10" s="44" t="inlineStr">
        <is>
          <t>旧设计占位；由 AUD-SFX 系列正式音效取代</t>
        </is>
      </c>
    </row>
    <row r="11" ht="15" customHeight="1" s="33">
      <c r="A11" s="57" t="inlineStr">
        <is>
          <t>AUD-PLAYER-HIT</t>
        </is>
      </c>
      <c r="B11" s="44" t="inlineStr">
        <is>
          <t>玩家受击</t>
        </is>
      </c>
      <c r="C11" s="44" t="inlineStr">
        <is>
          <t>音效</t>
        </is>
      </c>
      <c r="D11" s="57" t="inlineStr">
        <is>
          <t>sfx</t>
        </is>
      </c>
      <c r="E11" s="57" t="inlineStr">
        <is>
          <t>player_hit</t>
        </is>
      </c>
      <c r="F11" s="57" t="inlineStr">
        <is>
          <t>legacy_design_retired</t>
        </is>
      </c>
      <c r="G11" s="44" t="n"/>
      <c r="H11" s="44" t="inlineStr">
        <is>
          <t>不适用</t>
        </is>
      </c>
      <c r="I11" s="57" t="inlineStr">
        <is>
          <t>default</t>
        </is>
      </c>
      <c r="J11" s="44" t="inlineStr">
        <is>
          <t>按事件复用</t>
        </is>
      </c>
      <c r="K11" s="44" t="inlineStr">
        <is>
          <t>弃用</t>
        </is>
      </c>
      <c r="L11" s="57" t="inlineStr">
        <is>
          <t>P2</t>
        </is>
      </c>
      <c r="M11" s="57" t="inlineStr">
        <is>
          <t>v001</t>
        </is>
      </c>
      <c r="N11" s="57" t="inlineStr">
        <is>
          <t>0.1–2.0s WAV/OGG</t>
        </is>
      </c>
      <c r="O11" s="44" t="n"/>
      <c r="P11" s="57" t="inlineStr">
        <is>
          <t>src/core/AudioManager.gd</t>
        </is>
      </c>
      <c r="Q11" s="44" t="n"/>
      <c r="R11" s="44">
        <f>LOWER(TRIM(C11)&amp;"|"&amp;TRIM(D11)&amp;"|"&amp;TRIM(E11)&amp;"|"&amp;TRIM(F11)&amp;"|"&amp;TRIM(H11)&amp;"|"&amp;TRIM(I11))</f>
        <v/>
      </c>
      <c r="S11" s="44">
        <f>IF(COUNTIF($R$6:$R$183,R11)&gt;1,"重复","唯一")</f>
        <v/>
      </c>
      <c r="T11" s="44" t="n"/>
      <c r="U11" s="44" t="inlineStr">
        <is>
          <t>待分配</t>
        </is>
      </c>
      <c r="V11" s="58" t="n">
        <v>46224</v>
      </c>
      <c r="W11" s="44" t="inlineStr">
        <is>
          <t>原创/待确认</t>
        </is>
      </c>
      <c r="X11" s="56" t="inlineStr">
        <is>
          <t>—</t>
        </is>
      </c>
      <c r="Y11" s="44" t="inlineStr">
        <is>
          <t>旧设计占位；由 AUD-SFX 系列正式音效取代</t>
        </is>
      </c>
    </row>
    <row r="12" ht="15" customHeight="1" s="33">
      <c r="A12" s="57" t="inlineStr">
        <is>
          <t>AUD-PLAYER-DASH</t>
        </is>
      </c>
      <c r="B12" s="44" t="inlineStr">
        <is>
          <t>玩家冲刺</t>
        </is>
      </c>
      <c r="C12" s="44" t="inlineStr">
        <is>
          <t>音效</t>
        </is>
      </c>
      <c r="D12" s="57" t="inlineStr">
        <is>
          <t>sfx</t>
        </is>
      </c>
      <c r="E12" s="57" t="inlineStr">
        <is>
          <t>player_dash</t>
        </is>
      </c>
      <c r="F12" s="57" t="inlineStr">
        <is>
          <t>legacy_design_retired</t>
        </is>
      </c>
      <c r="G12" s="44" t="n"/>
      <c r="H12" s="44" t="inlineStr">
        <is>
          <t>不适用</t>
        </is>
      </c>
      <c r="I12" s="57" t="inlineStr">
        <is>
          <t>default</t>
        </is>
      </c>
      <c r="J12" s="44" t="inlineStr">
        <is>
          <t>按事件复用</t>
        </is>
      </c>
      <c r="K12" s="44" t="inlineStr">
        <is>
          <t>弃用</t>
        </is>
      </c>
      <c r="L12" s="57" t="inlineStr">
        <is>
          <t>P2</t>
        </is>
      </c>
      <c r="M12" s="57" t="inlineStr">
        <is>
          <t>v001</t>
        </is>
      </c>
      <c r="N12" s="57" t="inlineStr">
        <is>
          <t>0.1–2.0s WAV/OGG</t>
        </is>
      </c>
      <c r="O12" s="44" t="n"/>
      <c r="P12" s="57" t="inlineStr">
        <is>
          <t>src/core/AudioManager.gd</t>
        </is>
      </c>
      <c r="Q12" s="44" t="n"/>
      <c r="R12" s="44">
        <f>LOWER(TRIM(C12)&amp;"|"&amp;TRIM(D12)&amp;"|"&amp;TRIM(E12)&amp;"|"&amp;TRIM(F12)&amp;"|"&amp;TRIM(H12)&amp;"|"&amp;TRIM(I12))</f>
        <v/>
      </c>
      <c r="S12" s="44">
        <f>IF(COUNTIF($R$6:$R$183,R12)&gt;1,"重复","唯一")</f>
        <v/>
      </c>
      <c r="T12" s="44" t="n"/>
      <c r="U12" s="44" t="inlineStr">
        <is>
          <t>待分配</t>
        </is>
      </c>
      <c r="V12" s="58" t="n">
        <v>46224</v>
      </c>
      <c r="W12" s="44" t="inlineStr">
        <is>
          <t>原创/待确认</t>
        </is>
      </c>
      <c r="X12" s="56" t="inlineStr">
        <is>
          <t>—</t>
        </is>
      </c>
      <c r="Y12" s="44" t="inlineStr">
        <is>
          <t>旧设计占位；由 AUD-SFX 系列正式音效取代</t>
        </is>
      </c>
    </row>
    <row r="13" ht="15" customHeight="1" s="33">
      <c r="A13" s="57" t="inlineStr">
        <is>
          <t>AUD-ENEMY-HIT</t>
        </is>
      </c>
      <c r="B13" s="44" t="inlineStr">
        <is>
          <t>敌人受击</t>
        </is>
      </c>
      <c r="C13" s="44" t="inlineStr">
        <is>
          <t>音效</t>
        </is>
      </c>
      <c r="D13" s="57" t="inlineStr">
        <is>
          <t>sfx</t>
        </is>
      </c>
      <c r="E13" s="57" t="inlineStr">
        <is>
          <t>enemy_hit</t>
        </is>
      </c>
      <c r="F13" s="57" t="inlineStr">
        <is>
          <t>legacy_design_retired</t>
        </is>
      </c>
      <c r="G13" s="44" t="n"/>
      <c r="H13" s="44" t="inlineStr">
        <is>
          <t>不适用</t>
        </is>
      </c>
      <c r="I13" s="57" t="inlineStr">
        <is>
          <t>default</t>
        </is>
      </c>
      <c r="J13" s="44" t="inlineStr">
        <is>
          <t>按事件复用</t>
        </is>
      </c>
      <c r="K13" s="44" t="inlineStr">
        <is>
          <t>弃用</t>
        </is>
      </c>
      <c r="L13" s="57" t="inlineStr">
        <is>
          <t>P2</t>
        </is>
      </c>
      <c r="M13" s="57" t="inlineStr">
        <is>
          <t>v001</t>
        </is>
      </c>
      <c r="N13" s="57" t="inlineStr">
        <is>
          <t>0.1–2.0s WAV/OGG</t>
        </is>
      </c>
      <c r="O13" s="44" t="n"/>
      <c r="P13" s="57" t="inlineStr">
        <is>
          <t>src/core/AudioManager.gd</t>
        </is>
      </c>
      <c r="Q13" s="44" t="n"/>
      <c r="R13" s="44">
        <f>LOWER(TRIM(C13)&amp;"|"&amp;TRIM(D13)&amp;"|"&amp;TRIM(E13)&amp;"|"&amp;TRIM(F13)&amp;"|"&amp;TRIM(H13)&amp;"|"&amp;TRIM(I13))</f>
        <v/>
      </c>
      <c r="S13" s="44">
        <f>IF(COUNTIF($R$6:$R$183,R13)&gt;1,"重复","唯一")</f>
        <v/>
      </c>
      <c r="T13" s="44" t="n"/>
      <c r="U13" s="44" t="inlineStr">
        <is>
          <t>待分配</t>
        </is>
      </c>
      <c r="V13" s="58" t="n">
        <v>46224</v>
      </c>
      <c r="W13" s="44" t="inlineStr">
        <is>
          <t>原创/待确认</t>
        </is>
      </c>
      <c r="X13" s="56" t="inlineStr">
        <is>
          <t>—</t>
        </is>
      </c>
      <c r="Y13" s="44" t="inlineStr">
        <is>
          <t>旧设计占位；由 AUD-SFX 系列正式音效取代</t>
        </is>
      </c>
    </row>
    <row r="14" ht="15" customHeight="1" s="33">
      <c r="A14" s="57" t="inlineStr">
        <is>
          <t>AUD-ENEMY-DIE</t>
        </is>
      </c>
      <c r="B14" s="44" t="inlineStr">
        <is>
          <t>敌人死亡</t>
        </is>
      </c>
      <c r="C14" s="44" t="inlineStr">
        <is>
          <t>音效</t>
        </is>
      </c>
      <c r="D14" s="57" t="inlineStr">
        <is>
          <t>sfx</t>
        </is>
      </c>
      <c r="E14" s="57" t="inlineStr">
        <is>
          <t>enemy_die</t>
        </is>
      </c>
      <c r="F14" s="57" t="inlineStr">
        <is>
          <t>legacy_design_retired</t>
        </is>
      </c>
      <c r="G14" s="44" t="n"/>
      <c r="H14" s="44" t="inlineStr">
        <is>
          <t>不适用</t>
        </is>
      </c>
      <c r="I14" s="57" t="inlineStr">
        <is>
          <t>default</t>
        </is>
      </c>
      <c r="J14" s="44" t="inlineStr">
        <is>
          <t>按事件复用</t>
        </is>
      </c>
      <c r="K14" s="44" t="inlineStr">
        <is>
          <t>弃用</t>
        </is>
      </c>
      <c r="L14" s="57" t="inlineStr">
        <is>
          <t>P2</t>
        </is>
      </c>
      <c r="M14" s="57" t="inlineStr">
        <is>
          <t>v001</t>
        </is>
      </c>
      <c r="N14" s="57" t="inlineStr">
        <is>
          <t>0.1–2.0s WAV/OGG</t>
        </is>
      </c>
      <c r="O14" s="44" t="n"/>
      <c r="P14" s="57" t="inlineStr">
        <is>
          <t>src/core/AudioManager.gd</t>
        </is>
      </c>
      <c r="Q14" s="44" t="n"/>
      <c r="R14" s="44">
        <f>LOWER(TRIM(C14)&amp;"|"&amp;TRIM(D14)&amp;"|"&amp;TRIM(E14)&amp;"|"&amp;TRIM(F14)&amp;"|"&amp;TRIM(H14)&amp;"|"&amp;TRIM(I14))</f>
        <v/>
      </c>
      <c r="S14" s="44">
        <f>IF(COUNTIF($R$6:$R$183,R14)&gt;1,"重复","唯一")</f>
        <v/>
      </c>
      <c r="T14" s="44" t="n"/>
      <c r="U14" s="44" t="inlineStr">
        <is>
          <t>待分配</t>
        </is>
      </c>
      <c r="V14" s="58" t="n">
        <v>46224</v>
      </c>
      <c r="W14" s="44" t="inlineStr">
        <is>
          <t>原创/待确认</t>
        </is>
      </c>
      <c r="X14" s="56" t="inlineStr">
        <is>
          <t>—</t>
        </is>
      </c>
      <c r="Y14" s="44" t="inlineStr">
        <is>
          <t>旧设计占位；由 AUD-SFX 系列正式音效取代</t>
        </is>
      </c>
    </row>
    <row r="15" ht="15" customHeight="1" s="33">
      <c r="A15" s="57" t="inlineStr">
        <is>
          <t>AUD-RELOAD</t>
        </is>
      </c>
      <c r="B15" s="44" t="inlineStr">
        <is>
          <t>换弹</t>
        </is>
      </c>
      <c r="C15" s="44" t="inlineStr">
        <is>
          <t>音效</t>
        </is>
      </c>
      <c r="D15" s="57" t="inlineStr">
        <is>
          <t>sfx</t>
        </is>
      </c>
      <c r="E15" s="57" t="inlineStr">
        <is>
          <t>reload</t>
        </is>
      </c>
      <c r="F15" s="57" t="inlineStr">
        <is>
          <t>legacy_design_retired</t>
        </is>
      </c>
      <c r="G15" s="44" t="n"/>
      <c r="H15" s="44" t="inlineStr">
        <is>
          <t>不适用</t>
        </is>
      </c>
      <c r="I15" s="57" t="inlineStr">
        <is>
          <t>default</t>
        </is>
      </c>
      <c r="J15" s="44" t="inlineStr">
        <is>
          <t>按事件复用</t>
        </is>
      </c>
      <c r="K15" s="44" t="inlineStr">
        <is>
          <t>弃用</t>
        </is>
      </c>
      <c r="L15" s="57" t="inlineStr">
        <is>
          <t>P2</t>
        </is>
      </c>
      <c r="M15" s="57" t="inlineStr">
        <is>
          <t>v001</t>
        </is>
      </c>
      <c r="N15" s="57" t="inlineStr">
        <is>
          <t>0.1–2.0s WAV/OGG</t>
        </is>
      </c>
      <c r="O15" s="44" t="n"/>
      <c r="P15" s="57" t="inlineStr">
        <is>
          <t>src/core/AudioManager.gd</t>
        </is>
      </c>
      <c r="Q15" s="44" t="n"/>
      <c r="R15" s="44">
        <f>LOWER(TRIM(C15)&amp;"|"&amp;TRIM(D15)&amp;"|"&amp;TRIM(E15)&amp;"|"&amp;TRIM(F15)&amp;"|"&amp;TRIM(H15)&amp;"|"&amp;TRIM(I15))</f>
        <v/>
      </c>
      <c r="S15" s="44">
        <f>IF(COUNTIF($R$6:$R$183,R15)&gt;1,"重复","唯一")</f>
        <v/>
      </c>
      <c r="T15" s="44" t="n"/>
      <c r="U15" s="44" t="inlineStr">
        <is>
          <t>待分配</t>
        </is>
      </c>
      <c r="V15" s="58" t="n">
        <v>46224</v>
      </c>
      <c r="W15" s="44" t="inlineStr">
        <is>
          <t>原创/待确认</t>
        </is>
      </c>
      <c r="X15" s="56" t="inlineStr">
        <is>
          <t>—</t>
        </is>
      </c>
      <c r="Y15" s="44" t="inlineStr">
        <is>
          <t>旧设计占位；由 AUD-SFX 系列正式音效取代</t>
        </is>
      </c>
    </row>
    <row r="16" ht="15" customHeight="1" s="33">
      <c r="A16" s="57" t="inlineStr">
        <is>
          <t>AUD-EXTRACTION-START</t>
        </is>
      </c>
      <c r="B16" s="44" t="inlineStr">
        <is>
          <t>撤离启动</t>
        </is>
      </c>
      <c r="C16" s="44" t="inlineStr">
        <is>
          <t>音效</t>
        </is>
      </c>
      <c r="D16" s="57" t="inlineStr">
        <is>
          <t>sfx</t>
        </is>
      </c>
      <c r="E16" s="57" t="inlineStr">
        <is>
          <t>extraction_start</t>
        </is>
      </c>
      <c r="F16" s="57" t="inlineStr">
        <is>
          <t>legacy_design_retired</t>
        </is>
      </c>
      <c r="G16" s="44" t="n"/>
      <c r="H16" s="44" t="inlineStr">
        <is>
          <t>不适用</t>
        </is>
      </c>
      <c r="I16" s="57" t="inlineStr">
        <is>
          <t>default</t>
        </is>
      </c>
      <c r="J16" s="44" t="inlineStr">
        <is>
          <t>按事件复用</t>
        </is>
      </c>
      <c r="K16" s="44" t="inlineStr">
        <is>
          <t>弃用</t>
        </is>
      </c>
      <c r="L16" s="57" t="inlineStr">
        <is>
          <t>P2</t>
        </is>
      </c>
      <c r="M16" s="57" t="inlineStr">
        <is>
          <t>v001</t>
        </is>
      </c>
      <c r="N16" s="57" t="inlineStr">
        <is>
          <t>0.1–2.0s WAV/OGG</t>
        </is>
      </c>
      <c r="O16" s="44" t="n"/>
      <c r="P16" s="57" t="inlineStr">
        <is>
          <t>src/core/AudioManager.gd</t>
        </is>
      </c>
      <c r="Q16" s="44" t="n"/>
      <c r="R16" s="44">
        <f>LOWER(TRIM(C16)&amp;"|"&amp;TRIM(D16)&amp;"|"&amp;TRIM(E16)&amp;"|"&amp;TRIM(F16)&amp;"|"&amp;TRIM(H16)&amp;"|"&amp;TRIM(I16))</f>
        <v/>
      </c>
      <c r="S16" s="44">
        <f>IF(COUNTIF($R$6:$R$183,R16)&gt;1,"重复","唯一")</f>
        <v/>
      </c>
      <c r="T16" s="44" t="n"/>
      <c r="U16" s="44" t="inlineStr">
        <is>
          <t>待分配</t>
        </is>
      </c>
      <c r="V16" s="58" t="n">
        <v>46224</v>
      </c>
      <c r="W16" s="44" t="inlineStr">
        <is>
          <t>原创/待确认</t>
        </is>
      </c>
      <c r="X16" s="56" t="inlineStr">
        <is>
          <t>—</t>
        </is>
      </c>
      <c r="Y16" s="44" t="inlineStr">
        <is>
          <t>旧设计占位；由 AUD-SFX 系列正式音效取代</t>
        </is>
      </c>
    </row>
    <row r="17" ht="15" customHeight="1" s="33">
      <c r="A17" s="57" t="inlineStr">
        <is>
          <t>AUD-EXTRACTION-DONE</t>
        </is>
      </c>
      <c r="B17" s="44" t="inlineStr">
        <is>
          <t>撤离完成</t>
        </is>
      </c>
      <c r="C17" s="44" t="inlineStr">
        <is>
          <t>音效</t>
        </is>
      </c>
      <c r="D17" s="57" t="inlineStr">
        <is>
          <t>sfx</t>
        </is>
      </c>
      <c r="E17" s="57" t="inlineStr">
        <is>
          <t>extraction_done</t>
        </is>
      </c>
      <c r="F17" s="57" t="inlineStr">
        <is>
          <t>legacy_design_retired</t>
        </is>
      </c>
      <c r="G17" s="44" t="n"/>
      <c r="H17" s="44" t="inlineStr">
        <is>
          <t>不适用</t>
        </is>
      </c>
      <c r="I17" s="57" t="inlineStr">
        <is>
          <t>default</t>
        </is>
      </c>
      <c r="J17" s="44" t="inlineStr">
        <is>
          <t>按事件复用</t>
        </is>
      </c>
      <c r="K17" s="44" t="inlineStr">
        <is>
          <t>弃用</t>
        </is>
      </c>
      <c r="L17" s="57" t="inlineStr">
        <is>
          <t>P2</t>
        </is>
      </c>
      <c r="M17" s="57" t="inlineStr">
        <is>
          <t>v001</t>
        </is>
      </c>
      <c r="N17" s="57" t="inlineStr">
        <is>
          <t>0.1–2.0s WAV/OGG</t>
        </is>
      </c>
      <c r="O17" s="44" t="n"/>
      <c r="P17" s="57" t="inlineStr">
        <is>
          <t>src/core/AudioManager.gd</t>
        </is>
      </c>
      <c r="Q17" s="44" t="n"/>
      <c r="R17" s="44">
        <f>LOWER(TRIM(C17)&amp;"|"&amp;TRIM(D17)&amp;"|"&amp;TRIM(E17)&amp;"|"&amp;TRIM(F17)&amp;"|"&amp;TRIM(H17)&amp;"|"&amp;TRIM(I17))</f>
        <v/>
      </c>
      <c r="S17" s="44">
        <f>IF(COUNTIF($R$6:$R$183,R17)&gt;1,"重复","唯一")</f>
        <v/>
      </c>
      <c r="T17" s="44" t="n"/>
      <c r="U17" s="44" t="inlineStr">
        <is>
          <t>待分配</t>
        </is>
      </c>
      <c r="V17" s="58" t="n">
        <v>46224</v>
      </c>
      <c r="W17" s="44" t="inlineStr">
        <is>
          <t>原创/待确认</t>
        </is>
      </c>
      <c r="X17" s="56" t="inlineStr">
        <is>
          <t>—</t>
        </is>
      </c>
      <c r="Y17" s="44" t="inlineStr">
        <is>
          <t>旧设计占位；由 AUD-SFX 系列正式音效取代</t>
        </is>
      </c>
    </row>
    <row r="18" ht="92.5" customHeight="1" s="33">
      <c r="A18" s="57" t="inlineStr">
        <is>
          <t>AUD-SFX-AMMO-EMPTY</t>
        </is>
      </c>
      <c r="B18" s="44" t="inlineStr">
        <is>
          <t>空仓扳机</t>
        </is>
      </c>
      <c r="C18" s="44" t="inlineStr">
        <is>
          <t>音效</t>
        </is>
      </c>
      <c r="D18" s="57" t="inlineStr">
        <is>
          <t>sfx</t>
        </is>
      </c>
      <c r="E18" s="57" t="inlineStr">
        <is>
          <t>ammo_empty</t>
        </is>
      </c>
      <c r="F18" s="57" t="inlineStr">
        <is>
          <t>root</t>
        </is>
      </c>
      <c r="G18" s="44" t="n"/>
      <c r="H18" s="44" t="inlineStr">
        <is>
          <t>不适用</t>
        </is>
      </c>
      <c r="I18" s="57" t="inlineStr">
        <is>
          <t>default</t>
        </is>
      </c>
      <c r="J18" s="44" t="inlineStr">
        <is>
          <t>combat.weapon.empty</t>
        </is>
      </c>
      <c r="K18" s="44" t="inlineStr">
        <is>
          <t>authored</t>
        </is>
      </c>
      <c r="L18" s="57" t="inlineStr">
        <is>
          <t>P2</t>
        </is>
      </c>
      <c r="M18" s="57" t="inlineStr">
        <is>
          <t>v003</t>
        </is>
      </c>
      <c r="N18" s="57" t="inlineStr">
        <is>
          <t>44100Hz / mono / PCM24 master / Vorbis q6 / 0.100000s</t>
        </is>
      </c>
      <c r="O18" s="57" t="inlineStr">
        <is>
          <t>src/assets/audio/sfx/ammo_empty_v003.ogg</t>
        </is>
      </c>
      <c r="P18" s="57" t="inlineStr">
        <is>
          <t>art_source/audio/sfx/AUD-SFX-AMMO-EMPTY/source/ammo_empty_v003.wav</t>
        </is>
      </c>
      <c r="Q18" s="57" t="inlineStr">
        <is>
          <t>ammo_empty</t>
        </is>
      </c>
      <c r="R18" s="44">
        <f>LOWER(TRIM(C18)&amp;"|"&amp;TRIM(D18)&amp;"|"&amp;TRIM(E18)&amp;"|"&amp;TRIM(F18)&amp;"|"&amp;TRIM(H18)&amp;"|"&amp;TRIM(I18))</f>
        <v/>
      </c>
      <c r="S18" s="44">
        <f>IF(COUNTIF($R$6:$R$183,R18)&gt;1,"重复","唯一")</f>
        <v/>
      </c>
      <c r="T18" s="57" t="inlineStr">
        <is>
          <t>2edcf45a5ceff21bcc5f3d2288df5a89e9828df21dfc6102e03287a866078b04</t>
        </is>
      </c>
      <c r="U18" s="57" t="inlineStr">
        <is>
          <t>Codex sound design</t>
        </is>
      </c>
      <c r="V18" s="58" t="n">
        <v>46314</v>
      </c>
      <c r="W18" s="44" t="inlineStr">
        <is>
          <t>https://opengameart.org/content/equipment-clicks-iii | LFA | CC0-1.0; edited recording; OpenSpades free pak distribution</t>
        </is>
      </c>
      <c r="X18" s="56" t="inlineStr">
        <is>
          <t>art_source/audio/sfx/AUD-SFX-AMMO-EMPTY/source/ammo_empty_v003.wav</t>
        </is>
      </c>
      <c r="Y18" s="44" t="inlineStr">
        <is>
          <t>素材与事件映射已制作；尚无正式领域触发调用；资源解码与哈希已核验；人工听感与Android待验</t>
        </is>
      </c>
    </row>
    <row r="19" ht="92.5" customHeight="1" s="33">
      <c r="A19" s="57" t="inlineStr">
        <is>
          <t>AUD-SFX-BOSS-DEFEAT</t>
        </is>
      </c>
      <c r="B19" s="57" t="inlineStr">
        <is>
          <t>Boss击败</t>
        </is>
      </c>
      <c r="C19" s="44" t="inlineStr">
        <is>
          <t>音效</t>
        </is>
      </c>
      <c r="D19" s="57" t="inlineStr">
        <is>
          <t>sfx</t>
        </is>
      </c>
      <c r="E19" s="57" t="inlineStr">
        <is>
          <t>boss_defeat</t>
        </is>
      </c>
      <c r="F19" s="57" t="inlineStr">
        <is>
          <t>root</t>
        </is>
      </c>
      <c r="G19" s="44" t="n"/>
      <c r="H19" s="44" t="inlineStr">
        <is>
          <t>不适用</t>
        </is>
      </c>
      <c r="I19" s="57" t="inlineStr">
        <is>
          <t>default</t>
        </is>
      </c>
      <c r="J19" s="44" t="inlineStr">
        <is>
          <t>boss.defeated</t>
        </is>
      </c>
      <c r="K19" s="44" t="inlineStr">
        <is>
          <t>原型已接入</t>
        </is>
      </c>
      <c r="L19" s="57" t="inlineStr">
        <is>
          <t>P1</t>
        </is>
      </c>
      <c r="M19" s="57" t="inlineStr">
        <is>
          <t>v002</t>
        </is>
      </c>
      <c r="N19" s="57" t="inlineStr">
        <is>
          <t>44100Hz / mono / PCM24 master / Vorbis q6 / 1.8s</t>
        </is>
      </c>
      <c r="O19" s="57" t="inlineStr">
        <is>
          <t>src/assets/audio/sfx/boss_defeat_v002.ogg</t>
        </is>
      </c>
      <c r="P19" s="57" t="inlineStr">
        <is>
          <t>docs/v0.1/design/音效系统与资产设计.md; src/core/AudioManager.gd</t>
        </is>
      </c>
      <c r="Q19" s="57" t="inlineStr">
        <is>
          <t>boss_defeat</t>
        </is>
      </c>
      <c r="R19" s="44">
        <f>LOWER(TRIM(C19)&amp;"|"&amp;TRIM(D19)&amp;"|"&amp;TRIM(E19)&amp;"|"&amp;TRIM(F19)&amp;"|"&amp;TRIM(H19)&amp;"|"&amp;TRIM(I19))</f>
        <v/>
      </c>
      <c r="S19" s="44">
        <f>IF(COUNTIF($R$6:$R$183,R19)&gt;1,"重复","唯一")</f>
        <v/>
      </c>
      <c r="T19" s="57" t="inlineStr">
        <is>
          <t>19d332b369ea8a4ab4e27e7b2e14aad7ef2cbcfc66b59a31e7ac094daeea0119</t>
        </is>
      </c>
      <c r="U19" s="57" t="inlineStr">
        <is>
          <t>Codex sound design</t>
        </is>
      </c>
      <c r="V19" s="58" t="n">
        <v>46308</v>
      </c>
      <c r="W19" s="44" t="inlineStr">
        <is>
          <t>原创离线分层DSP；无第三方采样；制作脚本与seed可追溯</t>
        </is>
      </c>
      <c r="X19" s="56" t="inlineStr">
        <is>
          <t>art_source/audio/sfx/AUD-SFX-BOSS-DEFEAT/source/boss_defeat_v002.wav</t>
        </is>
      </c>
      <c r="Y19" s="44" t="inlineStr">
        <is>
          <t>SFXSET-BOSS-DEFEAT；技术导入后待人工听感/Android验收；旧事件已替换</t>
        </is>
      </c>
    </row>
    <row r="20" ht="82.05" customHeight="1" s="33">
      <c r="A20" s="57" t="inlineStr">
        <is>
          <t>AUD-SFX-BOSS-INTRO</t>
        </is>
      </c>
      <c r="B20" s="57" t="inlineStr">
        <is>
          <t>Boss入场</t>
        </is>
      </c>
      <c r="C20" s="44" t="inlineStr">
        <is>
          <t>音效</t>
        </is>
      </c>
      <c r="D20" s="57" t="inlineStr">
        <is>
          <t>sfx</t>
        </is>
      </c>
      <c r="E20" s="57" t="inlineStr">
        <is>
          <t>boss_intro</t>
        </is>
      </c>
      <c r="F20" s="57" t="inlineStr">
        <is>
          <t>root</t>
        </is>
      </c>
      <c r="G20" s="44" t="n"/>
      <c r="H20" s="44" t="inlineStr">
        <is>
          <t>不适用</t>
        </is>
      </c>
      <c r="I20" s="57" t="inlineStr">
        <is>
          <t>default</t>
        </is>
      </c>
      <c r="J20" s="44" t="inlineStr">
        <is>
          <t>boss.intro</t>
        </is>
      </c>
      <c r="K20" s="44" t="inlineStr">
        <is>
          <t>原型已接入</t>
        </is>
      </c>
      <c r="L20" s="57" t="inlineStr">
        <is>
          <t>P1</t>
        </is>
      </c>
      <c r="M20" s="57" t="inlineStr">
        <is>
          <t>v002</t>
        </is>
      </c>
      <c r="N20" s="57" t="inlineStr">
        <is>
          <t>44100Hz / mono / PCM24 master / Vorbis q6 / 1.9s</t>
        </is>
      </c>
      <c r="O20" s="57" t="inlineStr">
        <is>
          <t>src/assets/audio/sfx/boss_intro_v002.ogg</t>
        </is>
      </c>
      <c r="P20" s="57" t="inlineStr">
        <is>
          <t>docs/v0.1/design/音效系统与资产设计.md; src/core/AudioManager.gd</t>
        </is>
      </c>
      <c r="Q20" s="57" t="inlineStr">
        <is>
          <t>boss_intro</t>
        </is>
      </c>
      <c r="R20" s="44">
        <f>LOWER(TRIM(C20)&amp;"|"&amp;TRIM(D20)&amp;"|"&amp;TRIM(E20)&amp;"|"&amp;TRIM(F20)&amp;"|"&amp;TRIM(H20)&amp;"|"&amp;TRIM(I20))</f>
        <v/>
      </c>
      <c r="S20" s="44">
        <f>IF(COUNTIF($R$6:$R$183,R20)&gt;1,"重复","唯一")</f>
        <v/>
      </c>
      <c r="T20" s="57" t="inlineStr">
        <is>
          <t>acf8bc4b1181bece760040e4fe2322ae11028bb1db849158d247176099cf7453</t>
        </is>
      </c>
      <c r="U20" s="57" t="inlineStr">
        <is>
          <t>Codex sound design</t>
        </is>
      </c>
      <c r="V20" s="58" t="n">
        <v>46308</v>
      </c>
      <c r="W20" s="44" t="inlineStr">
        <is>
          <t>原创离线分层DSP；无第三方采样；制作脚本与seed可追溯</t>
        </is>
      </c>
      <c r="X20" s="56" t="inlineStr">
        <is>
          <t>art_source/audio/sfx/AUD-SFX-BOSS-INTRO/source/boss_intro_v002.wav</t>
        </is>
      </c>
      <c r="Y20" s="44" t="inlineStr">
        <is>
          <t>SFXSET-BOSS-INTRO；技术导入后待人工听感/Android验收；旧事件已替换</t>
        </is>
      </c>
    </row>
    <row r="21" ht="92.5" customHeight="1" s="33">
      <c r="A21" s="57" t="inlineStr">
        <is>
          <t>AUD-SFX-BOSS-PHASE</t>
        </is>
      </c>
      <c r="B21" s="57" t="inlineStr">
        <is>
          <t>Boss阶段切换</t>
        </is>
      </c>
      <c r="C21" s="44" t="inlineStr">
        <is>
          <t>音效</t>
        </is>
      </c>
      <c r="D21" s="57" t="inlineStr">
        <is>
          <t>sfx</t>
        </is>
      </c>
      <c r="E21" s="57" t="inlineStr">
        <is>
          <t>boss_phase</t>
        </is>
      </c>
      <c r="F21" s="57" t="inlineStr">
        <is>
          <t>root</t>
        </is>
      </c>
      <c r="G21" s="44" t="n"/>
      <c r="H21" s="44" t="inlineStr">
        <is>
          <t>不适用</t>
        </is>
      </c>
      <c r="I21" s="57" t="inlineStr">
        <is>
          <t>default</t>
        </is>
      </c>
      <c r="J21" s="44" t="inlineStr">
        <is>
          <t>boss.phase_changed</t>
        </is>
      </c>
      <c r="K21" s="44" t="inlineStr">
        <is>
          <t>原型已接入</t>
        </is>
      </c>
      <c r="L21" s="57" t="inlineStr">
        <is>
          <t>P1</t>
        </is>
      </c>
      <c r="M21" s="57" t="inlineStr">
        <is>
          <t>v002</t>
        </is>
      </c>
      <c r="N21" s="57" t="inlineStr">
        <is>
          <t>44100Hz / mono / PCM24 master / Vorbis q6 / 1.05s</t>
        </is>
      </c>
      <c r="O21" s="57" t="inlineStr">
        <is>
          <t>src/assets/audio/sfx/boss_phase_v002.ogg</t>
        </is>
      </c>
      <c r="P21" s="57" t="inlineStr">
        <is>
          <t>docs/v0.1/design/音效系统与资产设计.md; src/core/AudioManager.gd</t>
        </is>
      </c>
      <c r="Q21" s="57" t="inlineStr">
        <is>
          <t>boss_phase</t>
        </is>
      </c>
      <c r="R21" s="44">
        <f>LOWER(TRIM(C21)&amp;"|"&amp;TRIM(D21)&amp;"|"&amp;TRIM(E21)&amp;"|"&amp;TRIM(F21)&amp;"|"&amp;TRIM(H21)&amp;"|"&amp;TRIM(I21))</f>
        <v/>
      </c>
      <c r="S21" s="44">
        <f>IF(COUNTIF($R$6:$R$183,R21)&gt;1,"重复","唯一")</f>
        <v/>
      </c>
      <c r="T21" s="57" t="inlineStr">
        <is>
          <t>df208905b6e702275ae3da3dcd2641203eb71d9badd41a996f8f1efd44afe1d3</t>
        </is>
      </c>
      <c r="U21" s="57" t="inlineStr">
        <is>
          <t>Codex sound design</t>
        </is>
      </c>
      <c r="V21" s="58" t="n">
        <v>46308</v>
      </c>
      <c r="W21" s="44" t="inlineStr">
        <is>
          <t>原创离线分层DSP；无第三方采样；制作脚本与seed可追溯</t>
        </is>
      </c>
      <c r="X21" s="56" t="inlineStr">
        <is>
          <t>art_source/audio/sfx/AUD-SFX-BOSS-PHASE/source/boss_phase_v002.wav</t>
        </is>
      </c>
      <c r="Y21" s="44" t="inlineStr">
        <is>
          <t>SFXSET-BOSS-PHASE；技术导入后待人工听感/Android验收；旧事件已替换</t>
        </is>
      </c>
    </row>
    <row r="22" ht="92.5" customHeight="1" s="33">
      <c r="A22" s="57" t="inlineStr">
        <is>
          <t>AUD-SFX-CONTAINER-OPEN</t>
        </is>
      </c>
      <c r="B22" s="44" t="inlineStr">
        <is>
          <t>计时搜索完成</t>
        </is>
      </c>
      <c r="C22" s="44" t="inlineStr">
        <is>
          <t>音效</t>
        </is>
      </c>
      <c r="D22" s="57" t="inlineStr">
        <is>
          <t>sfx</t>
        </is>
      </c>
      <c r="E22" s="57" t="inlineStr">
        <is>
          <t>container_open</t>
        </is>
      </c>
      <c r="F22" s="57" t="inlineStr">
        <is>
          <t>root</t>
        </is>
      </c>
      <c r="G22" s="44" t="n"/>
      <c r="H22" s="44" t="inlineStr">
        <is>
          <t>不适用</t>
        </is>
      </c>
      <c r="I22" s="57" t="inlineStr">
        <is>
          <t>default</t>
        </is>
      </c>
      <c r="J22" s="44" t="inlineStr">
        <is>
          <t>world.container.search_finish</t>
        </is>
      </c>
      <c r="K22" s="44" t="inlineStr">
        <is>
          <t>原型已接入</t>
        </is>
      </c>
      <c r="L22" s="57" t="inlineStr">
        <is>
          <t>P2</t>
        </is>
      </c>
      <c r="M22" s="57" t="inlineStr">
        <is>
          <t>v003</t>
        </is>
      </c>
      <c r="N22" s="57" t="inlineStr">
        <is>
          <t>44100Hz / mono / PCM24 master / Vorbis q6 / 0.85s</t>
        </is>
      </c>
      <c r="O22" s="57" t="inlineStr">
        <is>
          <t>src/assets/audio/sfx/container_open_v003.ogg</t>
        </is>
      </c>
      <c r="P22" s="57" t="inlineStr">
        <is>
          <t>art_source/audio/sfx/AUD-SFX-CONTAINER-OPEN/source/container_open_v003.wav</t>
        </is>
      </c>
      <c r="Q22" s="57" t="inlineStr">
        <is>
          <t>container_open</t>
        </is>
      </c>
      <c r="R22" s="44">
        <f>LOWER(TRIM(C22)&amp;"|"&amp;TRIM(D22)&amp;"|"&amp;TRIM(E22)&amp;"|"&amp;TRIM(F22)&amp;"|"&amp;TRIM(H22)&amp;"|"&amp;TRIM(I22))</f>
        <v/>
      </c>
      <c r="S22" s="44">
        <f>IF(COUNTIF($R$6:$R$183,R22)&gt;1,"重复","唯一")</f>
        <v/>
      </c>
      <c r="T22" s="57" t="inlineStr">
        <is>
          <t>8602c081ee19d37f7911db8b05b7e27a0d0142bd4fa0274342bd48060c8227fa</t>
        </is>
      </c>
      <c r="U22" s="57" t="inlineStr">
        <is>
          <t>Codex sound design</t>
        </is>
      </c>
      <c r="V22" s="58" t="n">
        <v>46314</v>
      </c>
      <c r="W22" s="44" t="inlineStr">
        <is>
          <t>https://kenney.nl/assets/rpg-audio | Kenney | CC0-1.0</t>
        </is>
      </c>
      <c r="X22" s="56" t="inlineStr">
        <is>
          <t>art_source/audio/sfx/AUD-SFX-CONTAINER-OPEN/source/container_open_v003.wav</t>
        </is>
      </c>
      <c r="Y22" s="44" t="inlineStr">
        <is>
          <t>自然材质/录音替换；已接入；人工听感及Android待验；verify_audio_library_flow；docs/v0.1/development/2026-10-19_natural_world_audio.md</t>
        </is>
      </c>
    </row>
    <row r="23" ht="83.55" customHeight="1" s="33">
      <c r="A23" s="57" t="inlineStr">
        <is>
          <t>AUD-SFX-CRIT-HIT</t>
        </is>
      </c>
      <c r="B23" s="44" t="inlineStr">
        <is>
          <t>暴击</t>
        </is>
      </c>
      <c r="C23" s="44" t="inlineStr">
        <is>
          <t>音效</t>
        </is>
      </c>
      <c r="D23" s="57" t="inlineStr">
        <is>
          <t>sfx</t>
        </is>
      </c>
      <c r="E23" s="57" t="inlineStr">
        <is>
          <t>crit_hit</t>
        </is>
      </c>
      <c r="F23" s="57" t="inlineStr">
        <is>
          <t>root</t>
        </is>
      </c>
      <c r="G23" s="44" t="n"/>
      <c r="H23" s="44" t="inlineStr">
        <is>
          <t>不适用</t>
        </is>
      </c>
      <c r="I23" s="57" t="inlineStr">
        <is>
          <t>default</t>
        </is>
      </c>
      <c r="J23" s="44" t="inlineStr">
        <is>
          <t>enemy.crit</t>
        </is>
      </c>
      <c r="K23" s="44" t="inlineStr">
        <is>
          <t>原型已接入</t>
        </is>
      </c>
      <c r="L23" s="57" t="inlineStr">
        <is>
          <t>P2</t>
        </is>
      </c>
      <c r="M23" s="57" t="inlineStr">
        <is>
          <t>v003</t>
        </is>
      </c>
      <c r="N23" s="57" t="inlineStr">
        <is>
          <t>44100Hz / mono / PCM24 master / Vorbis q6 / 0.4s</t>
        </is>
      </c>
      <c r="O23" s="57" t="inlineStr">
        <is>
          <t>src/assets/audio/sfx/crit_hit_v003.ogg</t>
        </is>
      </c>
      <c r="P23" s="57" t="inlineStr">
        <is>
          <t>art_source/audio/sfx/AUD-SFX-CRIT-HIT/source/crit_hit_v003.wav</t>
        </is>
      </c>
      <c r="Q23" s="57" t="inlineStr">
        <is>
          <t>crit_hit</t>
        </is>
      </c>
      <c r="R23" s="44">
        <f>LOWER(TRIM(C23)&amp;"|"&amp;TRIM(D23)&amp;"|"&amp;TRIM(E23)&amp;"|"&amp;TRIM(F23)&amp;"|"&amp;TRIM(H23)&amp;"|"&amp;TRIM(I23))</f>
        <v/>
      </c>
      <c r="S23" s="44">
        <f>IF(COUNTIF($R$6:$R$183,R23)&gt;1,"重复","唯一")</f>
        <v/>
      </c>
      <c r="T23" s="57" t="inlineStr">
        <is>
          <t>ae5205c27375177d4f4631d9fa46a4eb339b1bc2c9b2cead4d6c54100391d95f</t>
        </is>
      </c>
      <c r="U23" s="57" t="inlineStr">
        <is>
          <t>Codex sound design</t>
        </is>
      </c>
      <c r="V23" s="58" t="n">
        <v>46314</v>
      </c>
      <c r="W23" s="44" t="inlineStr">
        <is>
          <t>https://freesound.org/people/magnuswaker/sounds/522091/ | magnuswaker; https://kenney.nl/assets/impact-sounds | Kenney | CC0; CC0-1.0</t>
        </is>
      </c>
      <c r="X23" s="56" t="inlineStr">
        <is>
          <t>art_source/audio/sfx/AUD-SFX-CRIT-HIT/source/crit_hit_v003.wav</t>
        </is>
      </c>
      <c r="Y23" s="44" t="inlineStr">
        <is>
          <t>自然材质/录音替换；已接入；人工听感及Android待验；verify_audio_library_flow；docs/v0.1/development/2026-10-19_natural_world_audio.md</t>
        </is>
      </c>
    </row>
    <row r="24" ht="92.5" customHeight="1" s="33">
      <c r="A24" s="57" t="inlineStr">
        <is>
          <t>AUD-SFX-DOOR-LOCKED</t>
        </is>
      </c>
      <c r="B24" s="44" t="inlineStr">
        <is>
          <t>门锁定或条件不足</t>
        </is>
      </c>
      <c r="C24" s="44" t="inlineStr">
        <is>
          <t>音效</t>
        </is>
      </c>
      <c r="D24" s="57" t="inlineStr">
        <is>
          <t>sfx</t>
        </is>
      </c>
      <c r="E24" s="57" t="inlineStr">
        <is>
          <t>door_locked</t>
        </is>
      </c>
      <c r="F24" s="57" t="inlineStr">
        <is>
          <t>root</t>
        </is>
      </c>
      <c r="G24" s="44" t="n"/>
      <c r="H24" s="44" t="inlineStr">
        <is>
          <t>不适用</t>
        </is>
      </c>
      <c r="I24" s="57" t="inlineStr">
        <is>
          <t>default</t>
        </is>
      </c>
      <c r="J24" s="44" t="inlineStr">
        <is>
          <t>world.door.denied</t>
        </is>
      </c>
      <c r="K24" s="44" t="inlineStr">
        <is>
          <t>原型已接入</t>
        </is>
      </c>
      <c r="L24" s="57" t="inlineStr">
        <is>
          <t>P2</t>
        </is>
      </c>
      <c r="M24" s="57" t="inlineStr">
        <is>
          <t>v003</t>
        </is>
      </c>
      <c r="N24" s="57" t="inlineStr">
        <is>
          <t>44100Hz / mono / PCM24 master / Vorbis q6 / 0.35s</t>
        </is>
      </c>
      <c r="O24" s="57" t="inlineStr">
        <is>
          <t>src/assets/audio/sfx/door_locked_v003.ogg</t>
        </is>
      </c>
      <c r="P24" s="57" t="inlineStr">
        <is>
          <t>art_source/audio/sfx/AUD-SFX-DOOR-LOCKED/source/door_locked_v003.wav</t>
        </is>
      </c>
      <c r="Q24" s="57" t="inlineStr">
        <is>
          <t>door_locked</t>
        </is>
      </c>
      <c r="R24" s="44">
        <f>LOWER(TRIM(C24)&amp;"|"&amp;TRIM(D24)&amp;"|"&amp;TRIM(E24)&amp;"|"&amp;TRIM(F24)&amp;"|"&amp;TRIM(H24)&amp;"|"&amp;TRIM(I24))</f>
        <v/>
      </c>
      <c r="S24" s="44">
        <f>IF(COUNTIF($R$6:$R$183,R24)&gt;1,"重复","唯一")</f>
        <v/>
      </c>
      <c r="T24" s="57" t="inlineStr">
        <is>
          <t>988b276d1cafc4bc8524ca7a3f8483ce88667d440caeacd63048a26415dcbf86</t>
        </is>
      </c>
      <c r="U24" s="57" t="inlineStr">
        <is>
          <t>Codex sound design</t>
        </is>
      </c>
      <c r="V24" s="58" t="n">
        <v>46314</v>
      </c>
      <c r="W24" s="44" t="inlineStr">
        <is>
          <t>https://kenney.nl/assets/rpg-audio | Kenney | CC0-1.0</t>
        </is>
      </c>
      <c r="X24" s="56" t="inlineStr">
        <is>
          <t>art_source/audio/sfx/AUD-SFX-DOOR-LOCKED/source/door_locked_v003.wav</t>
        </is>
      </c>
      <c r="Y24" s="44" t="inlineStr">
        <is>
          <t>自然材质/录音替换；已接入；人工听感及Android待验；verify_audio_library_flow；docs/v0.1/development/2026-10-19_natural_world_audio.md</t>
        </is>
      </c>
    </row>
    <row r="25" ht="92.5" customHeight="1" s="33">
      <c r="A25" s="57" t="inlineStr">
        <is>
          <t>AUD-SFX-DOOR-OPEN</t>
        </is>
      </c>
      <c r="B25" s="44" t="inlineStr">
        <is>
          <t>门开启</t>
        </is>
      </c>
      <c r="C25" s="44" t="inlineStr">
        <is>
          <t>音效</t>
        </is>
      </c>
      <c r="D25" s="57" t="inlineStr">
        <is>
          <t>sfx</t>
        </is>
      </c>
      <c r="E25" s="57" t="inlineStr">
        <is>
          <t>door_open</t>
        </is>
      </c>
      <c r="F25" s="57" t="inlineStr">
        <is>
          <t>root</t>
        </is>
      </c>
      <c r="G25" s="44" t="n"/>
      <c r="H25" s="44" t="inlineStr">
        <is>
          <t>不适用</t>
        </is>
      </c>
      <c r="I25" s="57" t="inlineStr">
        <is>
          <t>default</t>
        </is>
      </c>
      <c r="J25" s="44" t="inlineStr">
        <is>
          <t>world.door.open</t>
        </is>
      </c>
      <c r="K25" s="44" t="inlineStr">
        <is>
          <t>原型已接入</t>
        </is>
      </c>
      <c r="L25" s="57" t="inlineStr">
        <is>
          <t>P2</t>
        </is>
      </c>
      <c r="M25" s="57" t="inlineStr">
        <is>
          <t>v003</t>
        </is>
      </c>
      <c r="N25" s="57" t="inlineStr">
        <is>
          <t>44100Hz / mono / PCM24 master / Vorbis q6 / 1.4s</t>
        </is>
      </c>
      <c r="O25" s="57" t="inlineStr">
        <is>
          <t>src/assets/audio/sfx/door_open_v003.ogg</t>
        </is>
      </c>
      <c r="P25" s="57" t="inlineStr">
        <is>
          <t>art_source/audio/sfx/AUD-SFX-DOOR-OPEN/source/door_open_v003.wav</t>
        </is>
      </c>
      <c r="Q25" s="57" t="inlineStr">
        <is>
          <t>door_open</t>
        </is>
      </c>
      <c r="R25" s="44">
        <f>LOWER(TRIM(C25)&amp;"|"&amp;TRIM(D25)&amp;"|"&amp;TRIM(E25)&amp;"|"&amp;TRIM(F25)&amp;"|"&amp;TRIM(H25)&amp;"|"&amp;TRIM(I25))</f>
        <v/>
      </c>
      <c r="S25" s="44">
        <f>IF(COUNTIF($R$6:$R$183,R25)&gt;1,"重复","唯一")</f>
        <v/>
      </c>
      <c r="T25" s="57" t="inlineStr">
        <is>
          <t>a960e1dfe50feb087785495473eaea09e7833fcf4d8e6084de24af24707091f5</t>
        </is>
      </c>
      <c r="U25" s="57" t="inlineStr">
        <is>
          <t>Codex sound design</t>
        </is>
      </c>
      <c r="V25" s="58" t="n">
        <v>46314</v>
      </c>
      <c r="W25" s="44" t="inlineStr">
        <is>
          <t>https://kenney.nl/assets/rpg-audio | Kenney | CC0-1.0</t>
        </is>
      </c>
      <c r="X25" s="56" t="inlineStr">
        <is>
          <t>art_source/audio/sfx/AUD-SFX-DOOR-OPEN/source/door_open_v003.wav</t>
        </is>
      </c>
      <c r="Y25" s="44" t="inlineStr">
        <is>
          <t>自然材质/录音替换；已接入；人工听感及Android待验；verify_audio_library_flow；docs/v0.1/development/2026-10-19_natural_world_audio.md</t>
        </is>
      </c>
    </row>
    <row r="26" ht="92.5" customHeight="1" s="33">
      <c r="A26" s="57" t="inlineStr">
        <is>
          <t>AUD-SFX-ENEMY-DIE</t>
        </is>
      </c>
      <c r="B26" s="44" t="inlineStr">
        <is>
          <t>敌人死亡</t>
        </is>
      </c>
      <c r="C26" s="44" t="inlineStr">
        <is>
          <t>音效</t>
        </is>
      </c>
      <c r="D26" s="57" t="inlineStr">
        <is>
          <t>sfx</t>
        </is>
      </c>
      <c r="E26" s="57" t="inlineStr">
        <is>
          <t>enemy_die</t>
        </is>
      </c>
      <c r="F26" s="57" t="inlineStr">
        <is>
          <t>root</t>
        </is>
      </c>
      <c r="G26" s="44" t="n"/>
      <c r="H26" s="44" t="inlineStr">
        <is>
          <t>不适用</t>
        </is>
      </c>
      <c r="I26" s="57" t="inlineStr">
        <is>
          <t>default</t>
        </is>
      </c>
      <c r="J26" s="44" t="inlineStr">
        <is>
          <t>enemy.death</t>
        </is>
      </c>
      <c r="K26" s="44" t="inlineStr">
        <is>
          <t>原型已接入</t>
        </is>
      </c>
      <c r="L26" s="57" t="inlineStr">
        <is>
          <t>P2</t>
        </is>
      </c>
      <c r="M26" s="57" t="inlineStr">
        <is>
          <t>v003</t>
        </is>
      </c>
      <c r="N26" s="57" t="inlineStr">
        <is>
          <t>44100Hz / mono / PCM24 master / Vorbis q6 / 1.0s</t>
        </is>
      </c>
      <c r="O26" s="57" t="inlineStr">
        <is>
          <t>src/assets/audio/sfx/enemy_die_v003.ogg</t>
        </is>
      </c>
      <c r="P26" s="57" t="inlineStr">
        <is>
          <t>art_source/audio/sfx/AUD-SFX-ENEMY-DIE/source/enemy_die_v003.wav</t>
        </is>
      </c>
      <c r="Q26" s="57" t="inlineStr">
        <is>
          <t>enemy_die</t>
        </is>
      </c>
      <c r="R26" s="44">
        <f>LOWER(TRIM(C26)&amp;"|"&amp;TRIM(D26)&amp;"|"&amp;TRIM(E26)&amp;"|"&amp;TRIM(F26)&amp;"|"&amp;TRIM(H26)&amp;"|"&amp;TRIM(I26))</f>
        <v/>
      </c>
      <c r="S26" s="44">
        <f>IF(COUNTIF($R$6:$R$183,R26)&gt;1,"重复","唯一")</f>
        <v/>
      </c>
      <c r="T26" s="57" t="inlineStr">
        <is>
          <t>daa09ded09a7bd7a7e327811f594cd96eb9678bc6719fb6a5729dce14efe840c</t>
        </is>
      </c>
      <c r="U26" s="57" t="inlineStr">
        <is>
          <t>Codex sound design</t>
        </is>
      </c>
      <c r="V26" s="58" t="n">
        <v>46314</v>
      </c>
      <c r="W26" s="44" t="inlineStr">
        <is>
          <t>https://kenney.nl/assets/impact-sounds | Kenney; https://opengameart.org/content/16-monster-growls | StarNinjas | CC0-1.0</t>
        </is>
      </c>
      <c r="X26" s="56" t="inlineStr">
        <is>
          <t>art_source/audio/sfx/AUD-SFX-ENEMY-DIE/source/enemy_die_v003.wav</t>
        </is>
      </c>
      <c r="Y26" s="44" t="inlineStr">
        <is>
          <t>自然材质/录音替换；已接入；人工听感及Android待验；verify_audio_library_flow；docs/v0.1/development/2026-10-19_natural_world_audio.md</t>
        </is>
      </c>
    </row>
    <row r="27" ht="82.05" customHeight="1" s="33">
      <c r="A27" s="57" t="inlineStr">
        <is>
          <t>AUD-SFX-ENEMY-HIT</t>
        </is>
      </c>
      <c r="B27" s="44" t="inlineStr">
        <is>
          <t>敌人受击</t>
        </is>
      </c>
      <c r="C27" s="44" t="inlineStr">
        <is>
          <t>音效</t>
        </is>
      </c>
      <c r="D27" s="57" t="inlineStr">
        <is>
          <t>sfx</t>
        </is>
      </c>
      <c r="E27" s="57" t="inlineStr">
        <is>
          <t>enemy_hit</t>
        </is>
      </c>
      <c r="F27" s="57" t="inlineStr">
        <is>
          <t>root</t>
        </is>
      </c>
      <c r="G27" s="44" t="n"/>
      <c r="H27" s="44" t="inlineStr">
        <is>
          <t>不适用</t>
        </is>
      </c>
      <c r="I27" s="57" t="inlineStr">
        <is>
          <t>default</t>
        </is>
      </c>
      <c r="J27" s="44" t="inlineStr">
        <is>
          <t>enemy.hit</t>
        </is>
      </c>
      <c r="K27" s="44" t="inlineStr">
        <is>
          <t>原型已接入</t>
        </is>
      </c>
      <c r="L27" s="57" t="inlineStr">
        <is>
          <t>P2</t>
        </is>
      </c>
      <c r="M27" s="57" t="inlineStr">
        <is>
          <t>v003</t>
        </is>
      </c>
      <c r="N27" s="57" t="inlineStr">
        <is>
          <t>44100Hz / mono / PCM24 master / Vorbis q6 / 0.36s</t>
        </is>
      </c>
      <c r="O27" s="57" t="inlineStr">
        <is>
          <t>src/assets/audio/sfx/enemy_hit_v003.ogg</t>
        </is>
      </c>
      <c r="P27" s="57" t="inlineStr">
        <is>
          <t>art_source/audio/sfx/AUD-SFX-ENEMY-HIT/source/enemy_hit_v003.wav</t>
        </is>
      </c>
      <c r="Q27" s="57" t="inlineStr">
        <is>
          <t>enemy_hit</t>
        </is>
      </c>
      <c r="R27" s="44">
        <f>LOWER(TRIM(C27)&amp;"|"&amp;TRIM(D27)&amp;"|"&amp;TRIM(E27)&amp;"|"&amp;TRIM(F27)&amp;"|"&amp;TRIM(H27)&amp;"|"&amp;TRIM(I27))</f>
        <v/>
      </c>
      <c r="S27" s="44">
        <f>IF(COUNTIF($R$6:$R$183,R27)&gt;1,"重复","唯一")</f>
        <v/>
      </c>
      <c r="T27" s="57" t="inlineStr">
        <is>
          <t>8f9cec69a21d95d36a615bd3a250350433cd09a708e38a9f2e00dbab88895b81</t>
        </is>
      </c>
      <c r="U27" s="57" t="inlineStr">
        <is>
          <t>Codex sound design</t>
        </is>
      </c>
      <c r="V27" s="58" t="n">
        <v>46314</v>
      </c>
      <c r="W27" s="44" t="inlineStr">
        <is>
          <t>https://freesound.org/people/magnuswaker/sounds/522091/ | magnuswaker; https://kenney.nl/assets/impact-sounds | Kenney | CC0; CC0-1.0</t>
        </is>
      </c>
      <c r="X27" s="56" t="inlineStr">
        <is>
          <t>art_source/audio/sfx/AUD-SFX-ENEMY-HIT/source/enemy_hit_v003.wav</t>
        </is>
      </c>
      <c r="Y27" s="44" t="inlineStr">
        <is>
          <t>自然材质/录音替换；已接入；人工听感及Android待验；verify_audio_library_flow；docs/v0.1/development/2026-10-19_natural_world_audio.md</t>
        </is>
      </c>
    </row>
    <row r="28" ht="92.5" customHeight="1" s="33">
      <c r="A28" s="57" t="inlineStr">
        <is>
          <t>AUD-SFX-EXTRACTION-ABORT</t>
        </is>
      </c>
      <c r="B28" s="44" t="inlineStr">
        <is>
          <t>撤离中断</t>
        </is>
      </c>
      <c r="C28" s="44" t="inlineStr">
        <is>
          <t>音效</t>
        </is>
      </c>
      <c r="D28" s="57" t="inlineStr">
        <is>
          <t>sfx</t>
        </is>
      </c>
      <c r="E28" s="57" t="inlineStr">
        <is>
          <t>extraction_abort</t>
        </is>
      </c>
      <c r="F28" s="57" t="inlineStr">
        <is>
          <t>root</t>
        </is>
      </c>
      <c r="G28" s="44" t="n"/>
      <c r="H28" s="44" t="inlineStr">
        <is>
          <t>不适用</t>
        </is>
      </c>
      <c r="I28" s="57" t="inlineStr">
        <is>
          <t>default</t>
        </is>
      </c>
      <c r="J28" s="44" t="inlineStr">
        <is>
          <t>run.extraction.interrupted</t>
        </is>
      </c>
      <c r="K28" s="44" t="inlineStr">
        <is>
          <t>原型已接入</t>
        </is>
      </c>
      <c r="L28" s="57" t="inlineStr">
        <is>
          <t>P2</t>
        </is>
      </c>
      <c r="M28" s="57" t="inlineStr">
        <is>
          <t>v002</t>
        </is>
      </c>
      <c r="N28" s="57" t="inlineStr">
        <is>
          <t>44100Hz / mono / PCM24 master / Vorbis q6 / 0.58s</t>
        </is>
      </c>
      <c r="O28" s="57" t="inlineStr">
        <is>
          <t>src/assets/audio/sfx/extraction_abort_v002.ogg</t>
        </is>
      </c>
      <c r="P28" s="57" t="inlineStr">
        <is>
          <t>docs/v0.1/design/音效系统与资产设计.md; src/core/AudioManager.gd</t>
        </is>
      </c>
      <c r="Q28" s="57" t="inlineStr">
        <is>
          <t>extraction_abort</t>
        </is>
      </c>
      <c r="R28" s="44">
        <f>LOWER(TRIM(C28)&amp;"|"&amp;TRIM(D28)&amp;"|"&amp;TRIM(E28)&amp;"|"&amp;TRIM(F28)&amp;"|"&amp;TRIM(H28)&amp;"|"&amp;TRIM(I28))</f>
        <v/>
      </c>
      <c r="S28" s="44">
        <f>IF(COUNTIF($R$6:$R$183,R28)&gt;1,"重复","唯一")</f>
        <v/>
      </c>
      <c r="T28" s="57" t="inlineStr">
        <is>
          <t>76fc5f2ff8d22245de8a48851621dfd0c4e4949cf3a1875f6fa539d4ffcbc11a</t>
        </is>
      </c>
      <c r="U28" s="57" t="inlineStr">
        <is>
          <t>Codex sound design</t>
        </is>
      </c>
      <c r="V28" s="58" t="n">
        <v>46308</v>
      </c>
      <c r="W28" s="44" t="inlineStr">
        <is>
          <t>原创离线分层DSP；无第三方采样；制作脚本与seed可追溯</t>
        </is>
      </c>
      <c r="X28" s="56" t="inlineStr">
        <is>
          <t>art_source/audio/sfx/AUD-SFX-EXTRACTION-ABORT/source/extraction_abort_v002.wav</t>
        </is>
      </c>
      <c r="Y28" s="44" t="inlineStr">
        <is>
          <t>SFXSET-EXTRACTION-ABORT；技术导入后待人工听感/Android验收；旧事件已替换</t>
        </is>
      </c>
    </row>
    <row r="29" ht="92.5" customHeight="1" s="33">
      <c r="A29" s="57" t="inlineStr">
        <is>
          <t>AUD-SFX-EXTRACTION-DONE</t>
        </is>
      </c>
      <c r="B29" s="44" t="inlineStr">
        <is>
          <t>撤离成功</t>
        </is>
      </c>
      <c r="C29" s="44" t="inlineStr">
        <is>
          <t>音效</t>
        </is>
      </c>
      <c r="D29" s="57" t="inlineStr">
        <is>
          <t>sfx</t>
        </is>
      </c>
      <c r="E29" s="57" t="inlineStr">
        <is>
          <t>extraction_done</t>
        </is>
      </c>
      <c r="F29" s="57" t="inlineStr">
        <is>
          <t>root</t>
        </is>
      </c>
      <c r="G29" s="44" t="n"/>
      <c r="H29" s="44" t="inlineStr">
        <is>
          <t>不适用</t>
        </is>
      </c>
      <c r="I29" s="57" t="inlineStr">
        <is>
          <t>default</t>
        </is>
      </c>
      <c r="J29" s="44" t="inlineStr">
        <is>
          <t>run.extraction.completed</t>
        </is>
      </c>
      <c r="K29" s="44" t="inlineStr">
        <is>
          <t>原型已接入</t>
        </is>
      </c>
      <c r="L29" s="57" t="inlineStr">
        <is>
          <t>P1</t>
        </is>
      </c>
      <c r="M29" s="57" t="inlineStr">
        <is>
          <t>v002</t>
        </is>
      </c>
      <c r="N29" s="57" t="inlineStr">
        <is>
          <t>44100Hz / mono / PCM24 master / Vorbis q6 / 1.4s</t>
        </is>
      </c>
      <c r="O29" s="57" t="inlineStr">
        <is>
          <t>src/assets/audio/sfx/extraction_done_v002.ogg</t>
        </is>
      </c>
      <c r="P29" s="57" t="inlineStr">
        <is>
          <t>docs/v0.1/design/音效系统与资产设计.md; src/core/AudioManager.gd</t>
        </is>
      </c>
      <c r="Q29" s="57" t="inlineStr">
        <is>
          <t>extraction_done</t>
        </is>
      </c>
      <c r="R29" s="44">
        <f>LOWER(TRIM(C29)&amp;"|"&amp;TRIM(D29)&amp;"|"&amp;TRIM(E29)&amp;"|"&amp;TRIM(F29)&amp;"|"&amp;TRIM(H29)&amp;"|"&amp;TRIM(I29))</f>
        <v/>
      </c>
      <c r="S29" s="44">
        <f>IF(COUNTIF($R$6:$R$183,R29)&gt;1,"重复","唯一")</f>
        <v/>
      </c>
      <c r="T29" s="57" t="inlineStr">
        <is>
          <t>b0c9c53e094458748b45ee4ad7863ff29ba0cb9beeb816db79cf5900793a1ee8</t>
        </is>
      </c>
      <c r="U29" s="57" t="inlineStr">
        <is>
          <t>Codex sound design</t>
        </is>
      </c>
      <c r="V29" s="58" t="n">
        <v>46308</v>
      </c>
      <c r="W29" s="44" t="inlineStr">
        <is>
          <t>原创离线分层DSP；无第三方采样；制作脚本与seed可追溯</t>
        </is>
      </c>
      <c r="X29" s="56" t="inlineStr">
        <is>
          <t>art_source/audio/sfx/AUD-SFX-EXTRACTION-DONE/source/extraction_done_v002.wav</t>
        </is>
      </c>
      <c r="Y29" s="44" t="inlineStr">
        <is>
          <t>SFXSET-EXTRACTION-DONE；技术导入后待人工听感/Android验收；旧事件已替换</t>
        </is>
      </c>
    </row>
    <row r="30" ht="92.5" customHeight="1" s="33">
      <c r="A30" s="57" t="inlineStr">
        <is>
          <t>AUD-SFX-EXTRACTION-START</t>
        </is>
      </c>
      <c r="B30" s="44" t="inlineStr">
        <is>
          <t>撤离开始</t>
        </is>
      </c>
      <c r="C30" s="44" t="inlineStr">
        <is>
          <t>音效</t>
        </is>
      </c>
      <c r="D30" s="57" t="inlineStr">
        <is>
          <t>sfx</t>
        </is>
      </c>
      <c r="E30" s="57" t="inlineStr">
        <is>
          <t>extraction_start</t>
        </is>
      </c>
      <c r="F30" s="57" t="inlineStr">
        <is>
          <t>root</t>
        </is>
      </c>
      <c r="G30" s="44" t="n"/>
      <c r="H30" s="44" t="inlineStr">
        <is>
          <t>不适用</t>
        </is>
      </c>
      <c r="I30" s="57" t="inlineStr">
        <is>
          <t>default</t>
        </is>
      </c>
      <c r="J30" s="44" t="inlineStr">
        <is>
          <t>run.extraction.started</t>
        </is>
      </c>
      <c r="K30" s="44" t="inlineStr">
        <is>
          <t>原型已接入</t>
        </is>
      </c>
      <c r="L30" s="57" t="inlineStr">
        <is>
          <t>P2</t>
        </is>
      </c>
      <c r="M30" s="57" t="inlineStr">
        <is>
          <t>v002</t>
        </is>
      </c>
      <c r="N30" s="57" t="inlineStr">
        <is>
          <t>44100Hz / mono / PCM24 master / Vorbis q6 / 1.05s</t>
        </is>
      </c>
      <c r="O30" s="57" t="inlineStr">
        <is>
          <t>src/assets/audio/sfx/extraction_start_v002.ogg</t>
        </is>
      </c>
      <c r="P30" s="57" t="inlineStr">
        <is>
          <t>docs/v0.1/design/音效系统与资产设计.md; src/core/AudioManager.gd</t>
        </is>
      </c>
      <c r="Q30" s="57" t="inlineStr">
        <is>
          <t>extraction_start</t>
        </is>
      </c>
      <c r="R30" s="44">
        <f>LOWER(TRIM(C30)&amp;"|"&amp;TRIM(D30)&amp;"|"&amp;TRIM(E30)&amp;"|"&amp;TRIM(F30)&amp;"|"&amp;TRIM(H30)&amp;"|"&amp;TRIM(I30))</f>
        <v/>
      </c>
      <c r="S30" s="44">
        <f>IF(COUNTIF($R$6:$R$183,R30)&gt;1,"重复","唯一")</f>
        <v/>
      </c>
      <c r="T30" s="57" t="inlineStr">
        <is>
          <t>449fcee06e0f4cc6a0740fe9ad3c1e1e4a53f8a95818dd5b29d2c366b3457036</t>
        </is>
      </c>
      <c r="U30" s="57" t="inlineStr">
        <is>
          <t>Codex sound design</t>
        </is>
      </c>
      <c r="V30" s="58" t="n">
        <v>46308</v>
      </c>
      <c r="W30" s="44" t="inlineStr">
        <is>
          <t>原创离线分层DSP；无第三方采样；制作脚本与seed可追溯</t>
        </is>
      </c>
      <c r="X30" s="56" t="inlineStr">
        <is>
          <t>art_source/audio/sfx/AUD-SFX-EXTRACTION-START/source/extraction_start_v002.wav</t>
        </is>
      </c>
      <c r="Y30" s="44" t="inlineStr">
        <is>
          <t>SFXSET-EXTRACTION-START；技术导入后待人工听感/Android验收；旧事件已替换</t>
        </is>
      </c>
    </row>
    <row r="31" ht="83.55" customHeight="1" s="33">
      <c r="A31" s="57" t="inlineStr">
        <is>
          <t>AUD-SFX-FATE-CARD</t>
        </is>
      </c>
      <c r="B31" s="44" t="inlineStr">
        <is>
          <t>命运卡生效</t>
        </is>
      </c>
      <c r="C31" s="44" t="inlineStr">
        <is>
          <t>音效</t>
        </is>
      </c>
      <c r="D31" s="57" t="inlineStr">
        <is>
          <t>sfx</t>
        </is>
      </c>
      <c r="E31" s="57" t="inlineStr">
        <is>
          <t>fate_card</t>
        </is>
      </c>
      <c r="F31" s="57" t="inlineStr">
        <is>
          <t>root</t>
        </is>
      </c>
      <c r="G31" s="44" t="n"/>
      <c r="H31" s="44" t="inlineStr">
        <is>
          <t>不适用</t>
        </is>
      </c>
      <c r="I31" s="57" t="inlineStr">
        <is>
          <t>default</t>
        </is>
      </c>
      <c r="J31" s="44" t="inlineStr">
        <is>
          <t>run.fate.revealed</t>
        </is>
      </c>
      <c r="K31" s="44" t="inlineStr">
        <is>
          <t>原型已接入</t>
        </is>
      </c>
      <c r="L31" s="57" t="inlineStr">
        <is>
          <t>P2</t>
        </is>
      </c>
      <c r="M31" s="57" t="inlineStr">
        <is>
          <t>v002</t>
        </is>
      </c>
      <c r="N31" s="57" t="inlineStr">
        <is>
          <t>44100Hz / mono / PCM24 master / Vorbis q6 / 0.66s</t>
        </is>
      </c>
      <c r="O31" s="57" t="inlineStr">
        <is>
          <t>src/assets/audio/sfx/fate_card_v002.ogg</t>
        </is>
      </c>
      <c r="P31" s="57" t="inlineStr">
        <is>
          <t>docs/v0.1/design/音效系统与资产设计.md; src/core/AudioManager.gd</t>
        </is>
      </c>
      <c r="Q31" s="57" t="inlineStr">
        <is>
          <t>fate_card</t>
        </is>
      </c>
      <c r="R31" s="44">
        <f>LOWER(TRIM(C31)&amp;"|"&amp;TRIM(D31)&amp;"|"&amp;TRIM(E31)&amp;"|"&amp;TRIM(F31)&amp;"|"&amp;TRIM(H31)&amp;"|"&amp;TRIM(I31))</f>
        <v/>
      </c>
      <c r="S31" s="44">
        <f>IF(COUNTIF($R$6:$R$183,R31)&gt;1,"重复","唯一")</f>
        <v/>
      </c>
      <c r="T31" s="57" t="inlineStr">
        <is>
          <t>033341ed92ed32763400ade5761c0c038a8da4d6538ea95e8a14e67be8ce47be</t>
        </is>
      </c>
      <c r="U31" s="57" t="inlineStr">
        <is>
          <t>Codex sound design</t>
        </is>
      </c>
      <c r="V31" s="58" t="n">
        <v>46308</v>
      </c>
      <c r="W31" s="44" t="inlineStr">
        <is>
          <t>原创离线分层DSP；无第三方采样；制作脚本与seed可追溯</t>
        </is>
      </c>
      <c r="X31" s="56" t="inlineStr">
        <is>
          <t>art_source/audio/sfx/AUD-SFX-FATE-CARD/source/fate_card_v002.wav</t>
        </is>
      </c>
      <c r="Y31" s="44" t="inlineStr">
        <is>
          <t>SFXSET-FATE-CARD；技术导入后待人工听感/Android验收；旧事件已替换</t>
        </is>
      </c>
    </row>
    <row r="32" ht="149.25" customHeight="1" s="33">
      <c r="A32" s="59" t="inlineStr">
        <is>
          <t>AUD-SFX-ITEM-PICKUP</t>
        </is>
      </c>
      <c r="B32" s="36" t="inlineStr">
        <is>
          <t>普通物品拾取</t>
        </is>
      </c>
      <c r="C32" s="36" t="inlineStr">
        <is>
          <t>音效</t>
        </is>
      </c>
      <c r="D32" s="59" t="inlineStr">
        <is>
          <t>sfx</t>
        </is>
      </c>
      <c r="E32" s="59" t="inlineStr">
        <is>
          <t>item_pickup</t>
        </is>
      </c>
      <c r="F32" s="59" t="inlineStr">
        <is>
          <t>root</t>
        </is>
      </c>
      <c r="G32" s="59" t="n"/>
      <c r="H32" s="36" t="inlineStr">
        <is>
          <t>不适用</t>
        </is>
      </c>
      <c r="I32" s="59" t="inlineStr">
        <is>
          <t>default</t>
        </is>
      </c>
      <c r="J32" s="36" t="inlineStr">
        <is>
          <t>world.pickup.item</t>
        </is>
      </c>
      <c r="K32" s="36" t="inlineStr">
        <is>
          <t>原型已接入</t>
        </is>
      </c>
      <c r="L32" s="59" t="inlineStr">
        <is>
          <t>P2</t>
        </is>
      </c>
      <c r="M32" s="59" t="inlineStr">
        <is>
          <t>v003</t>
        </is>
      </c>
      <c r="N32" s="59" t="inlineStr">
        <is>
          <t>44100Hz / mono / PCM24 master / Vorbis q6 / 0.390000s</t>
        </is>
      </c>
      <c r="O32" s="59" t="inlineStr">
        <is>
          <t>src/assets/audio/sfx/item_pickup_v003.ogg</t>
        </is>
      </c>
      <c r="P32" s="59" t="inlineStr">
        <is>
          <t>art_source/audio/sfx/AUD-SFX-ITEM-PICKUP/source/item_pickup_v003.wav</t>
        </is>
      </c>
      <c r="Q32" s="59" t="inlineStr">
        <is>
          <t>item_pickup</t>
        </is>
      </c>
      <c r="R32" s="59">
        <f>LOWER(TRIM(C32)&amp;"|"&amp;TRIM(D32)&amp;"|"&amp;TRIM(E32)&amp;"|"&amp;TRIM(F32)&amp;"|"&amp;TRIM(H32)&amp;"|"&amp;TRIM(I32))</f>
        <v/>
      </c>
      <c r="S32" s="36">
        <f>IF(COUNTIF($R$6:$R$183,R32)&gt;1,"重复","唯一")</f>
        <v/>
      </c>
      <c r="T32" s="59" t="inlineStr">
        <is>
          <t>fe2208533d781612f7fa619fd7b145a717d890cccc20480293c9f2cc7824c6b0</t>
        </is>
      </c>
      <c r="U32" s="59" t="inlineStr">
        <is>
          <t>Codex sound design</t>
        </is>
      </c>
      <c r="V32" s="60" t="n">
        <v>46314</v>
      </c>
      <c r="W32" s="36" t="inlineStr">
        <is>
          <t>https://opengameart.org/content/gun-reload-sounds | SpringySpringo | CC0-1.0; edited recording; OpenSpades free pak distribution</t>
        </is>
      </c>
      <c r="X32" s="56" t="inlineStr">
        <is>
          <t>art_source/audio/sfx/AUD-SFX-ITEM-PICKUP/source/item_pickup_v003.wav</t>
        </is>
      </c>
      <c r="Y32" s="36" t="inlineStr">
        <is>
          <t>普通物品正式拾取使用；枪械改用七类 pickup_*；资源解码与哈希已核验；人工听感与Android待验</t>
        </is>
      </c>
    </row>
    <row r="33" ht="149.25" customHeight="1" s="33">
      <c r="A33" s="59" t="inlineStr">
        <is>
          <t>AUD-SFX-LASER-FIRE</t>
        </is>
      </c>
      <c r="B33" s="36" t="inlineStr">
        <is>
          <t>蓄力炮开火</t>
        </is>
      </c>
      <c r="C33" s="36" t="inlineStr">
        <is>
          <t>音效</t>
        </is>
      </c>
      <c r="D33" s="59" t="inlineStr">
        <is>
          <t>sfx</t>
        </is>
      </c>
      <c r="E33" s="59" t="inlineStr">
        <is>
          <t>laser_fire</t>
        </is>
      </c>
      <c r="F33" s="59" t="inlineStr">
        <is>
          <t>root</t>
        </is>
      </c>
      <c r="G33" s="59" t="n"/>
      <c r="H33" s="36" t="inlineStr">
        <is>
          <t>不适用</t>
        </is>
      </c>
      <c r="I33" s="59" t="inlineStr">
        <is>
          <t>default</t>
        </is>
      </c>
      <c r="J33" s="36" t="inlineStr">
        <is>
          <t>枪种=蓄力炮；枪身=bp_charge；动作=fire；事件=combat.weapon.fire_energy</t>
        </is>
      </c>
      <c r="K33" s="36" t="inlineStr">
        <is>
          <t>原型已接入</t>
        </is>
      </c>
      <c r="L33" s="59" t="inlineStr">
        <is>
          <t>P1</t>
        </is>
      </c>
      <c r="M33" s="59" t="inlineStr">
        <is>
          <t>v004</t>
        </is>
      </c>
      <c r="N33" s="59" t="inlineStr">
        <is>
          <t>44100Hz / mono / PCM24 master / Vorbis q6 / 0.900000s</t>
        </is>
      </c>
      <c r="O33" s="59" t="inlineStr">
        <is>
          <t>src/assets/audio/sfx/laser_fire_v004.ogg</t>
        </is>
      </c>
      <c r="P33" s="59" t="inlineStr">
        <is>
          <t>art_source/audio/sfx/AUD-SFX-LASER-FIRE/source/laser_fire_v004.wav</t>
        </is>
      </c>
      <c r="Q33" s="59" t="inlineStr">
        <is>
          <t>laser_fire；bp_charge</t>
        </is>
      </c>
      <c r="R33" s="59">
        <f>LOWER(TRIM(C33)&amp;"|"&amp;TRIM(D33)&amp;"|"&amp;TRIM(E33)&amp;"|"&amp;TRIM(F33)&amp;"|"&amp;TRIM(H33)&amp;"|"&amp;TRIM(I33))</f>
        <v/>
      </c>
      <c r="S33" s="36">
        <f>IF(COUNTIF($R$6:$R$183,R33)&gt;1,"重复","唯一")</f>
        <v/>
      </c>
      <c r="T33" s="59" t="inlineStr">
        <is>
          <t>7dc1e5d2ff243d6cd181cbc02ae9037f04371a6e18e2d0176519b489ae06a203</t>
        </is>
      </c>
      <c r="U33" s="59" t="inlineStr">
        <is>
          <t>Codex recording edit</t>
        </is>
      </c>
      <c r="V33" s="60" t="n">
        <v>46314</v>
      </c>
      <c r="W33" s="36" t="inlineStr">
        <is>
          <t>https://opengameart.org/content/gun-reload-sounds | SpringySpringo; https://opengameart.org/content/gunshot-sounds | Vincent Sevedge / Tabasco | CC-BY-3.0 (archive notice; page also offers CC0; retain stricter attribution); CC0-1.0</t>
        </is>
      </c>
      <c r="X33" s="56" t="inlineStr">
        <is>
          <t>art_source/audio/sfx/AUD-SFX-LASER-FIRE/source/laser_fire_v004.wav</t>
        </is>
      </c>
      <c r="Y33" s="36" t="inlineStr">
        <is>
          <t>已接入 weapon_profiles；自动资源/正式路由/真实播放器验收通过；人工听感与Android待验；verify_audio_library_flow；docs/v0.1/development/2026-10-19_weapon_audio_profiles.md</t>
        </is>
      </c>
    </row>
    <row r="34" ht="160.4" customHeight="1" s="33">
      <c r="A34" s="59" t="inlineStr">
        <is>
          <t>AUD-SFX-MERCHANT-PURCHASE</t>
        </is>
      </c>
      <c r="B34" s="36" t="inlineStr">
        <is>
          <t>购买成功</t>
        </is>
      </c>
      <c r="C34" s="36" t="inlineStr">
        <is>
          <t>音效</t>
        </is>
      </c>
      <c r="D34" s="59" t="inlineStr">
        <is>
          <t>sfx</t>
        </is>
      </c>
      <c r="E34" s="59" t="inlineStr">
        <is>
          <t>merchant_purchase</t>
        </is>
      </c>
      <c r="F34" s="59" t="inlineStr">
        <is>
          <t>root</t>
        </is>
      </c>
      <c r="G34" s="59" t="n"/>
      <c r="H34" s="36" t="inlineStr">
        <is>
          <t>不适用</t>
        </is>
      </c>
      <c r="I34" s="59" t="inlineStr">
        <is>
          <t>default</t>
        </is>
      </c>
      <c r="J34" s="36" t="inlineStr">
        <is>
          <t>ui.action.purchase</t>
        </is>
      </c>
      <c r="K34" s="36" t="inlineStr">
        <is>
          <t>原型已接入</t>
        </is>
      </c>
      <c r="L34" s="59" t="inlineStr">
        <is>
          <t>P2</t>
        </is>
      </c>
      <c r="M34" s="59" t="inlineStr">
        <is>
          <t>v002</t>
        </is>
      </c>
      <c r="N34" s="59" t="inlineStr">
        <is>
          <t>44100Hz / mono / PCM24 master / Vorbis q6 / 0.43s</t>
        </is>
      </c>
      <c r="O34" s="59" t="inlineStr">
        <is>
          <t>src/assets/audio/sfx/merchant_purchase_v002.ogg</t>
        </is>
      </c>
      <c r="P34" s="59" t="inlineStr">
        <is>
          <t>docs/v0.1/design/音效系统与资产设计.md; src/core/AudioManager.gd</t>
        </is>
      </c>
      <c r="Q34" s="59" t="inlineStr">
        <is>
          <t>merchant_purchase</t>
        </is>
      </c>
      <c r="R34" s="59">
        <f>LOWER(TRIM(C34)&amp;"|"&amp;TRIM(D34)&amp;"|"&amp;TRIM(E34)&amp;"|"&amp;TRIM(F34)&amp;"|"&amp;TRIM(H34)&amp;"|"&amp;TRIM(I34))</f>
        <v/>
      </c>
      <c r="S34" s="36">
        <f>IF(COUNTIF($R$6:$R$183,R34)&gt;1,"重复","唯一")</f>
        <v/>
      </c>
      <c r="T34" s="59" t="inlineStr">
        <is>
          <t>a906d3f454b8b99e6033041d656a5d8865c103c196dc7b7fd9c037f6ab091f1c</t>
        </is>
      </c>
      <c r="U34" s="59" t="inlineStr">
        <is>
          <t>Codex sound design</t>
        </is>
      </c>
      <c r="V34" s="60" t="n">
        <v>46308</v>
      </c>
      <c r="W34" s="36" t="inlineStr">
        <is>
          <t>原创离线分层DSP；无第三方采样；制作脚本与seed可追溯</t>
        </is>
      </c>
      <c r="X34" s="56" t="inlineStr">
        <is>
          <t>art_source/audio/sfx/AUD-SFX-MERCHANT-PURCHASE/source/merchant_purchase_v002.wav</t>
        </is>
      </c>
      <c r="Y34" s="36" t="inlineStr">
        <is>
          <t>SFXSET-MERCHANT-PURCHASE；技术导入后待人工听感/Android验收；旧事件已替换</t>
        </is>
      </c>
    </row>
    <row r="35" ht="149.25" customHeight="1" s="33">
      <c r="A35" s="61" t="inlineStr">
        <is>
          <t>AUD-SFX-PISTOL-FIRE</t>
        </is>
      </c>
      <c r="B35" s="62" t="inlineStr">
        <is>
          <t>手枪开火</t>
        </is>
      </c>
      <c r="C35" s="62" t="inlineStr">
        <is>
          <t>音效</t>
        </is>
      </c>
      <c r="D35" s="63" t="inlineStr">
        <is>
          <t>sfx</t>
        </is>
      </c>
      <c r="E35" s="63" t="inlineStr">
        <is>
          <t>pistol_fire</t>
        </is>
      </c>
      <c r="F35" s="63" t="inlineStr">
        <is>
          <t>root</t>
        </is>
      </c>
      <c r="G35" s="62" t="n"/>
      <c r="H35" s="62" t="inlineStr">
        <is>
          <t>不适用</t>
        </is>
      </c>
      <c r="I35" s="63" t="inlineStr">
        <is>
          <t>default</t>
        </is>
      </c>
      <c r="J35" s="62" t="inlineStr">
        <is>
          <t>枪种=手枪；枪身=bp_pistol；动作=fire；事件=combat.weapon.fire.pistol</t>
        </is>
      </c>
      <c r="K35" s="62" t="inlineStr">
        <is>
          <t>原型已接入</t>
        </is>
      </c>
      <c r="L35" s="63" t="inlineStr">
        <is>
          <t>P1</t>
        </is>
      </c>
      <c r="M35" s="63" t="inlineStr">
        <is>
          <t>v004</t>
        </is>
      </c>
      <c r="N35" s="63" t="inlineStr">
        <is>
          <t>44100Hz / mono / PCM24 master / Vorbis q6 / 0.380000s</t>
        </is>
      </c>
      <c r="O35" s="63" t="inlineStr">
        <is>
          <t>src/assets/audio/sfx/pistol_fire_v004.ogg</t>
        </is>
      </c>
      <c r="P35" s="63" t="inlineStr">
        <is>
          <t>art_source/audio/sfx/AUD-SFX-PISTOL-FIRE/source/pistol_fire_v004.wav</t>
        </is>
      </c>
      <c r="Q35" s="63" t="inlineStr">
        <is>
          <t>pistol_fire；bp_pistol</t>
        </is>
      </c>
      <c r="R35" s="62">
        <f>LOWER(TRIM(C35)&amp;"|"&amp;TRIM(D35)&amp;"|"&amp;TRIM(E35)&amp;"|"&amp;TRIM(F35)&amp;"|"&amp;TRIM(H35)&amp;"|"&amp;TRIM(I35))</f>
        <v/>
      </c>
      <c r="S35" s="62">
        <f>IF(COUNTIF($R$6:$R$183,R35)&gt;1,"重复","唯一")</f>
        <v/>
      </c>
      <c r="T35" s="63" t="inlineStr">
        <is>
          <t>2d1576d7c3c9084d3346db4d9cc1d13d430b1c76f94dcdac37c6e213fc052ce1</t>
        </is>
      </c>
      <c r="U35" s="63" t="inlineStr">
        <is>
          <t>Codex recording edit</t>
        </is>
      </c>
      <c r="V35" s="64" t="n">
        <v>46314</v>
      </c>
      <c r="W35" s="62" t="inlineStr">
        <is>
          <t>https://opengameart.org/content/gunshot-sounds | Vincent Sevedge / Tabasco | CC-BY-3.0 (archive notice; page also offers CC0; retain stricter attribution)</t>
        </is>
      </c>
      <c r="X35" s="56" t="inlineStr">
        <is>
          <t>art_source/audio/sfx/AUD-SFX-PISTOL-FIRE/source/pistol_fire_v004.wav</t>
        </is>
      </c>
      <c r="Y35" s="62" t="inlineStr">
        <is>
          <t>已接入 weapon_profiles；自动资源/正式路由/真实播放器验收通过；人工听感与Android待验；verify_audio_library_flow；docs/v0.1/development/2026-10-19_weapon_audio_profiles.md</t>
        </is>
      </c>
    </row>
    <row r="36" ht="149.25" customHeight="1" s="33">
      <c r="A36" s="59" t="inlineStr">
        <is>
          <t>AUD-SFX-PLAYER-DASH</t>
        </is>
      </c>
      <c r="B36" s="36" t="inlineStr">
        <is>
          <t>玩家闪避</t>
        </is>
      </c>
      <c r="C36" s="36" t="inlineStr">
        <is>
          <t>音效</t>
        </is>
      </c>
      <c r="D36" s="59" t="inlineStr">
        <is>
          <t>sfx</t>
        </is>
      </c>
      <c r="E36" s="59" t="inlineStr">
        <is>
          <t>player_dash</t>
        </is>
      </c>
      <c r="F36" s="59" t="inlineStr">
        <is>
          <t>root</t>
        </is>
      </c>
      <c r="G36" s="59" t="n"/>
      <c r="H36" s="36" t="inlineStr">
        <is>
          <t>不适用</t>
        </is>
      </c>
      <c r="I36" s="59" t="inlineStr">
        <is>
          <t>default</t>
        </is>
      </c>
      <c r="J36" s="36" t="inlineStr">
        <is>
          <t>player.dash</t>
        </is>
      </c>
      <c r="K36" s="36" t="inlineStr">
        <is>
          <t>原型已接入</t>
        </is>
      </c>
      <c r="L36" s="59" t="inlineStr">
        <is>
          <t>P2</t>
        </is>
      </c>
      <c r="M36" s="59" t="inlineStr">
        <is>
          <t>v003</t>
        </is>
      </c>
      <c r="N36" s="59" t="inlineStr">
        <is>
          <t>44100Hz / mono / PCM24 master / Vorbis q6 / 0.42s</t>
        </is>
      </c>
      <c r="O36" s="59" t="inlineStr">
        <is>
          <t>src/assets/audio/sfx/player_dash_v003.ogg</t>
        </is>
      </c>
      <c r="P36" s="59" t="inlineStr">
        <is>
          <t>art_source/audio/sfx/AUD-SFX-PLAYER-DASH/source/player_dash_v003.wav</t>
        </is>
      </c>
      <c r="Q36" s="59" t="inlineStr">
        <is>
          <t>player_dash</t>
        </is>
      </c>
      <c r="R36" s="59">
        <f>LOWER(TRIM(C36)&amp;"|"&amp;TRIM(D36)&amp;"|"&amp;TRIM(E36)&amp;"|"&amp;TRIM(F36)&amp;"|"&amp;TRIM(H36)&amp;"|"&amp;TRIM(I36))</f>
        <v/>
      </c>
      <c r="S36" s="36">
        <f>IF(COUNTIF($R$6:$R$183,R36)&gt;1,"重复","唯一")</f>
        <v/>
      </c>
      <c r="T36" s="59" t="inlineStr">
        <is>
          <t>9327937bd38dab6b19973ea4d93ee95dfa6325bd807c42b1a4610f35bf32278b</t>
        </is>
      </c>
      <c r="U36" s="59" t="inlineStr">
        <is>
          <t>Codex sound design</t>
        </is>
      </c>
      <c r="V36" s="60" t="n">
        <v>46314</v>
      </c>
      <c r="W36" s="36" t="inlineStr">
        <is>
          <t>https://kenney.nl/assets/rpg-audio | Kenney; https://opengameart.org/content/swish-bamboo-stick-weapon-swhoshes | Iwan Gabovitch | CC0; CC0-1.0</t>
        </is>
      </c>
      <c r="X36" s="56" t="inlineStr">
        <is>
          <t>art_source/audio/sfx/AUD-SFX-PLAYER-DASH/source/player_dash_v003.wav</t>
        </is>
      </c>
      <c r="Y36" s="36" t="inlineStr">
        <is>
          <t>自然材质/录音替换；已接入；人工听感及Android待验；verify_audio_library_flow；docs/v0.1/development/2026-10-19_natural_world_audio.md</t>
        </is>
      </c>
    </row>
    <row r="37" ht="149.25" customHeight="1" s="33">
      <c r="A37" s="59" t="inlineStr">
        <is>
          <t>AUD-SFX-PLAYER-HIT</t>
        </is>
      </c>
      <c r="B37" s="36" t="inlineStr">
        <is>
          <t>玩家受伤</t>
        </is>
      </c>
      <c r="C37" s="36" t="inlineStr">
        <is>
          <t>音效</t>
        </is>
      </c>
      <c r="D37" s="59" t="inlineStr">
        <is>
          <t>sfx</t>
        </is>
      </c>
      <c r="E37" s="59" t="inlineStr">
        <is>
          <t>player_hit</t>
        </is>
      </c>
      <c r="F37" s="59" t="inlineStr">
        <is>
          <t>root</t>
        </is>
      </c>
      <c r="G37" s="59" t="n"/>
      <c r="H37" s="36" t="inlineStr">
        <is>
          <t>不适用</t>
        </is>
      </c>
      <c r="I37" s="59" t="inlineStr">
        <is>
          <t>default</t>
        </is>
      </c>
      <c r="J37" s="36" t="inlineStr">
        <is>
          <t>player.hurt</t>
        </is>
      </c>
      <c r="K37" s="36" t="inlineStr">
        <is>
          <t>原型已接入</t>
        </is>
      </c>
      <c r="L37" s="59" t="inlineStr">
        <is>
          <t>P0</t>
        </is>
      </c>
      <c r="M37" s="59" t="inlineStr">
        <is>
          <t>v003</t>
        </is>
      </c>
      <c r="N37" s="59" t="inlineStr">
        <is>
          <t>44100Hz / mono / PCM24 master / Vorbis q6 / 0.55s</t>
        </is>
      </c>
      <c r="O37" s="59" t="inlineStr">
        <is>
          <t>src/assets/audio/sfx/player_hit_v003.ogg</t>
        </is>
      </c>
      <c r="P37" s="59" t="inlineStr">
        <is>
          <t>art_source/audio/sfx/AUD-SFX-PLAYER-HIT/source/player_hit_v003.wav</t>
        </is>
      </c>
      <c r="Q37" s="59" t="inlineStr">
        <is>
          <t>player_hit</t>
        </is>
      </c>
      <c r="R37" s="59">
        <f>LOWER(TRIM(C37)&amp;"|"&amp;TRIM(D37)&amp;"|"&amp;TRIM(E37)&amp;"|"&amp;TRIM(F37)&amp;"|"&amp;TRIM(H37)&amp;"|"&amp;TRIM(I37))</f>
        <v/>
      </c>
      <c r="S37" s="36">
        <f>IF(COUNTIF($R$6:$R$183,R37)&gt;1,"重复","唯一")</f>
        <v/>
      </c>
      <c r="T37" s="59" t="inlineStr">
        <is>
          <t>281fd2bba9b55a808a645ac74d574d24a9b8125c3e3a25616eacfabb813feab2</t>
        </is>
      </c>
      <c r="U37" s="59" t="inlineStr">
        <is>
          <t>Codex sound design</t>
        </is>
      </c>
      <c r="V37" s="60" t="n">
        <v>46314</v>
      </c>
      <c r="W37" s="36" t="inlineStr">
        <is>
          <t>https://kenney.nl/assets/impact-sounds | Kenney; https://opengameart.org/content/male-gruntyelling-sounds | HaelDB | CC0-1.0</t>
        </is>
      </c>
      <c r="X37" s="56" t="inlineStr">
        <is>
          <t>art_source/audio/sfx/AUD-SFX-PLAYER-HIT/source/player_hit_v003.wav</t>
        </is>
      </c>
      <c r="Y37" s="36" t="inlineStr">
        <is>
          <t>自然材质/录音替换；已接入；人工听感及Android待验；verify_audio_library_flow；docs/v0.1/development/2026-10-19_natural_world_audio.md</t>
        </is>
      </c>
    </row>
    <row r="38" ht="138.05" customHeight="1" s="33">
      <c r="A38" s="59" t="inlineStr">
        <is>
          <t>AUD-SFX-RELOAD</t>
        </is>
      </c>
      <c r="B38" s="36" t="inlineStr">
        <is>
          <t>通用换弹（兼容素材）</t>
        </is>
      </c>
      <c r="C38" s="36" t="inlineStr">
        <is>
          <t>音效</t>
        </is>
      </c>
      <c r="D38" s="59" t="inlineStr">
        <is>
          <t>sfx</t>
        </is>
      </c>
      <c r="E38" s="59" t="inlineStr">
        <is>
          <t>reload</t>
        </is>
      </c>
      <c r="F38" s="59" t="inlineStr">
        <is>
          <t>root</t>
        </is>
      </c>
      <c r="G38" s="59" t="n"/>
      <c r="H38" s="36" t="inlineStr">
        <is>
          <t>不适用</t>
        </is>
      </c>
      <c r="I38" s="59" t="inlineStr">
        <is>
          <t>default</t>
        </is>
      </c>
      <c r="J38" s="36" t="inlineStr">
        <is>
          <t>combat.weapon.reload_start</t>
        </is>
      </c>
      <c r="K38" s="36" t="inlineStr">
        <is>
          <t>authored</t>
        </is>
      </c>
      <c r="L38" s="59" t="inlineStr">
        <is>
          <t>P2</t>
        </is>
      </c>
      <c r="M38" s="59" t="inlineStr">
        <is>
          <t>v003</t>
        </is>
      </c>
      <c r="N38" s="59" t="inlineStr">
        <is>
          <t>44100Hz / mono / PCM24 master / Vorbis q6 / 1.580000s</t>
        </is>
      </c>
      <c r="O38" s="59" t="inlineStr">
        <is>
          <t>src/assets/audio/sfx/reload_v003.ogg</t>
        </is>
      </c>
      <c r="P38" s="59" t="inlineStr">
        <is>
          <t>art_source/audio/sfx/AUD-SFX-RELOAD/source/reload_v003.wav</t>
        </is>
      </c>
      <c r="Q38" s="59" t="inlineStr">
        <is>
          <t>reload</t>
        </is>
      </c>
      <c r="R38" s="59">
        <f>LOWER(TRIM(C38)&amp;"|"&amp;TRIM(D38)&amp;"|"&amp;TRIM(E38)&amp;"|"&amp;TRIM(F38)&amp;"|"&amp;TRIM(H38)&amp;"|"&amp;TRIM(I38))</f>
        <v/>
      </c>
      <c r="S38" s="36">
        <f>IF(COUNTIF($R$6:$R$183,R38)&gt;1,"重复","唯一")</f>
        <v/>
      </c>
      <c r="T38" s="59" t="inlineStr">
        <is>
          <t>ab57b66c3f2f3323922e7de670fa3644b6450815813fa9775d29626bb2949067</t>
        </is>
      </c>
      <c r="U38" s="59" t="inlineStr">
        <is>
          <t>Codex sound design</t>
        </is>
      </c>
      <c r="V38" s="60" t="n">
        <v>46314</v>
      </c>
      <c r="W38" s="36" t="inlineStr">
        <is>
          <t>https://opengameart.org/content/handgun-reload-sound-effect | zer0_sol | CC0-1.0; edited recording; OpenSpades free pak distribution</t>
        </is>
      </c>
      <c r="X38" s="56" t="inlineStr">
        <is>
          <t>art_source/audio/sfx/AUD-SFX-RELOAD/source/reload_v003.wav</t>
        </is>
      </c>
      <c r="Y38" s="36" t="inlineStr">
        <is>
          <t>素材与事件映射已制作；尚无正式领域触发调用；通用换弹由七类 reload_* 取代；资源解码与哈希已核验；人工听感与Android待验</t>
        </is>
      </c>
    </row>
    <row r="39" ht="149.25" customHeight="1" s="33">
      <c r="A39" s="59" t="inlineStr">
        <is>
          <t>AUD-SFX-RIFLE-FIRE</t>
        </is>
      </c>
      <c r="B39" s="36" t="inlineStr">
        <is>
          <t>步枪开火</t>
        </is>
      </c>
      <c r="C39" s="36" t="inlineStr">
        <is>
          <t>音效</t>
        </is>
      </c>
      <c r="D39" s="59" t="inlineStr">
        <is>
          <t>sfx</t>
        </is>
      </c>
      <c r="E39" s="59" t="inlineStr">
        <is>
          <t>rifle_fire</t>
        </is>
      </c>
      <c r="F39" s="59" t="inlineStr">
        <is>
          <t>root</t>
        </is>
      </c>
      <c r="G39" s="59" t="n"/>
      <c r="H39" s="36" t="inlineStr">
        <is>
          <t>不适用</t>
        </is>
      </c>
      <c r="I39" s="59" t="inlineStr">
        <is>
          <t>default</t>
        </is>
      </c>
      <c r="J39" s="36" t="inlineStr">
        <is>
          <t>枪种=步枪；枪身=bp_rifle,bp_starter_rifle；动作=fire；事件=combat.weapon.fire.rifle</t>
        </is>
      </c>
      <c r="K39" s="36" t="inlineStr">
        <is>
          <t>原型已接入</t>
        </is>
      </c>
      <c r="L39" s="59" t="inlineStr">
        <is>
          <t>P1</t>
        </is>
      </c>
      <c r="M39" s="59" t="inlineStr">
        <is>
          <t>v004</t>
        </is>
      </c>
      <c r="N39" s="59" t="inlineStr">
        <is>
          <t>44100Hz / mono / PCM24 master / Vorbis q6 / 0.400000s</t>
        </is>
      </c>
      <c r="O39" s="59" t="inlineStr">
        <is>
          <t>src/assets/audio/sfx/rifle_fire_v004.ogg</t>
        </is>
      </c>
      <c r="P39" s="59" t="inlineStr">
        <is>
          <t>art_source/audio/sfx/AUD-SFX-RIFLE-FIRE/source/rifle_fire_v004.wav</t>
        </is>
      </c>
      <c r="Q39" s="59" t="inlineStr">
        <is>
          <t>rifle_fire；bp_rifle,bp_starter_rifle</t>
        </is>
      </c>
      <c r="R39" s="59">
        <f>LOWER(TRIM(C39)&amp;"|"&amp;TRIM(D39)&amp;"|"&amp;TRIM(E39)&amp;"|"&amp;TRIM(F39)&amp;"|"&amp;TRIM(H39)&amp;"|"&amp;TRIM(I39))</f>
        <v/>
      </c>
      <c r="S39" s="36">
        <f>IF(COUNTIF($R$6:$R$183,R39)&gt;1,"重复","唯一")</f>
        <v/>
      </c>
      <c r="T39" s="59" t="inlineStr">
        <is>
          <t>2619bc170ef22d9810e72574207bfa9fb1bf045367ac7d106185d3605b2182a5</t>
        </is>
      </c>
      <c r="U39" s="59" t="inlineStr">
        <is>
          <t>Codex recording edit</t>
        </is>
      </c>
      <c r="V39" s="60" t="n">
        <v>46314</v>
      </c>
      <c r="W39" s="36" t="inlineStr">
        <is>
          <t>https://opengameart.org/content/gunshot-sounds | Vincent Sevedge / Tabasco | CC-BY-3.0 (archive notice; page also offers CC0; retain stricter attribution)</t>
        </is>
      </c>
      <c r="X39" s="56" t="inlineStr">
        <is>
          <t>art_source/audio/sfx/AUD-SFX-RIFLE-FIRE/source/rifle_fire_v004.wav</t>
        </is>
      </c>
      <c r="Y39" s="36" t="inlineStr">
        <is>
          <t>已接入 weapon_profiles；自动资源/正式路由/真实播放器验收通过；人工听感与Android待验；verify_audio_library_flow；docs/v0.1/development/2026-10-19_weapon_audio_profiles.md</t>
        </is>
      </c>
    </row>
    <row r="40" ht="149.25" customHeight="1" s="33">
      <c r="A40" s="59" t="inlineStr">
        <is>
          <t>AUD-SFX-SHOTGUN-FIRE</t>
        </is>
      </c>
      <c r="B40" s="36" t="inlineStr">
        <is>
          <t>霰弹枪开火</t>
        </is>
      </c>
      <c r="C40" s="36" t="inlineStr">
        <is>
          <t>音效</t>
        </is>
      </c>
      <c r="D40" s="59" t="inlineStr">
        <is>
          <t>sfx</t>
        </is>
      </c>
      <c r="E40" s="59" t="inlineStr">
        <is>
          <t>shotgun_fire</t>
        </is>
      </c>
      <c r="F40" s="59" t="inlineStr">
        <is>
          <t>root</t>
        </is>
      </c>
      <c r="G40" s="59" t="n"/>
      <c r="H40" s="36" t="inlineStr">
        <is>
          <t>不适用</t>
        </is>
      </c>
      <c r="I40" s="59" t="inlineStr">
        <is>
          <t>default</t>
        </is>
      </c>
      <c r="J40" s="36" t="inlineStr">
        <is>
          <t>枪种=霰弹枪；枪身=bp_shotgun；动作=fire；事件=combat.weapon.fire.shotgun</t>
        </is>
      </c>
      <c r="K40" s="36" t="inlineStr">
        <is>
          <t>原型已接入</t>
        </is>
      </c>
      <c r="L40" s="59" t="inlineStr">
        <is>
          <t>P1</t>
        </is>
      </c>
      <c r="M40" s="59" t="inlineStr">
        <is>
          <t>v004</t>
        </is>
      </c>
      <c r="N40" s="59" t="inlineStr">
        <is>
          <t>44100Hz / mono / PCM24 master / Vorbis q6 / 0.550000s</t>
        </is>
      </c>
      <c r="O40" s="59" t="inlineStr">
        <is>
          <t>src/assets/audio/sfx/shotgun_fire_v004.ogg</t>
        </is>
      </c>
      <c r="P40" s="59" t="inlineStr">
        <is>
          <t>art_source/audio/sfx/AUD-SFX-SHOTGUN-FIRE/source/shotgun_fire_v004.wav</t>
        </is>
      </c>
      <c r="Q40" s="59" t="inlineStr">
        <is>
          <t>shotgun_fire；bp_shotgun</t>
        </is>
      </c>
      <c r="R40" s="59">
        <f>LOWER(TRIM(C40)&amp;"|"&amp;TRIM(D40)&amp;"|"&amp;TRIM(E40)&amp;"|"&amp;TRIM(F40)&amp;"|"&amp;TRIM(H40)&amp;"|"&amp;TRIM(I40))</f>
        <v/>
      </c>
      <c r="S40" s="36">
        <f>IF(COUNTIF($R$6:$R$183,R40)&gt;1,"重复","唯一")</f>
        <v/>
      </c>
      <c r="T40" s="59" t="inlineStr">
        <is>
          <t>2707a0a3eb9452f90a96b7d1f54933ceefdddd07af789dccec08106925933b1e</t>
        </is>
      </c>
      <c r="U40" s="59" t="inlineStr">
        <is>
          <t>Codex recording edit</t>
        </is>
      </c>
      <c r="V40" s="60" t="n">
        <v>46314</v>
      </c>
      <c r="W40" s="36" t="inlineStr">
        <is>
          <t>https://opengameart.org/content/gunshot-sounds | Vincent Sevedge / Tabasco | CC-BY-3.0 (archive notice; page also offers CC0; retain stricter attribution)</t>
        </is>
      </c>
      <c r="X40" s="56" t="inlineStr">
        <is>
          <t>art_source/audio/sfx/AUD-SFX-SHOTGUN-FIRE/source/shotgun_fire_v004.wav</t>
        </is>
      </c>
      <c r="Y40" s="36" t="inlineStr">
        <is>
          <t>已接入 weapon_profiles；自动资源/正式路由/真实播放器验收通过；人工听感与Android待验；verify_audio_library_flow；docs/v0.1/development/2026-10-19_weapon_audio_profiles.md</t>
        </is>
      </c>
    </row>
    <row r="41" ht="149.25" customHeight="1" s="33">
      <c r="A41" s="59" t="inlineStr">
        <is>
          <t>AUD-SFX-SMG-FIRE</t>
        </is>
      </c>
      <c r="B41" s="36" t="inlineStr">
        <is>
          <t>机枪开火</t>
        </is>
      </c>
      <c r="C41" s="36" t="inlineStr">
        <is>
          <t>音效</t>
        </is>
      </c>
      <c r="D41" s="59" t="inlineStr">
        <is>
          <t>sfx</t>
        </is>
      </c>
      <c r="E41" s="59" t="inlineStr">
        <is>
          <t>smg_fire</t>
        </is>
      </c>
      <c r="F41" s="59" t="inlineStr">
        <is>
          <t>root</t>
        </is>
      </c>
      <c r="G41" s="59" t="n"/>
      <c r="H41" s="36" t="inlineStr">
        <is>
          <t>不适用</t>
        </is>
      </c>
      <c r="I41" s="59" t="inlineStr">
        <is>
          <t>default</t>
        </is>
      </c>
      <c r="J41" s="36" t="inlineStr">
        <is>
          <t>枪种=机枪；枪身=bp_machinegun,bp_sprinkler；动作=fire；事件=combat.weapon.fire.smg</t>
        </is>
      </c>
      <c r="K41" s="36" t="inlineStr">
        <is>
          <t>原型已接入</t>
        </is>
      </c>
      <c r="L41" s="59" t="inlineStr">
        <is>
          <t>P1</t>
        </is>
      </c>
      <c r="M41" s="59" t="inlineStr">
        <is>
          <t>v003</t>
        </is>
      </c>
      <c r="N41" s="59" t="inlineStr">
        <is>
          <t>44100Hz / mono / PCM24 master / Vorbis q6 / 0.230000s</t>
        </is>
      </c>
      <c r="O41" s="59" t="inlineStr">
        <is>
          <t>src/assets/audio/sfx/smg_fire_v003.ogg</t>
        </is>
      </c>
      <c r="P41" s="59" t="inlineStr">
        <is>
          <t>art_source/audio/sfx/AUD-SFX-SMG-FIRE/source/smg_fire_v003.wav</t>
        </is>
      </c>
      <c r="Q41" s="59" t="inlineStr">
        <is>
          <t>smg_fire；bp_machinegun,bp_sprinkler</t>
        </is>
      </c>
      <c r="R41" s="59">
        <f>LOWER(TRIM(C41)&amp;"|"&amp;TRIM(D41)&amp;"|"&amp;TRIM(E41)&amp;"|"&amp;TRIM(F41)&amp;"|"&amp;TRIM(H41)&amp;"|"&amp;TRIM(I41))</f>
        <v/>
      </c>
      <c r="S41" s="36">
        <f>IF(COUNTIF($R$6:$R$183,R41)&gt;1,"重复","唯一")</f>
        <v/>
      </c>
      <c r="T41" s="59" t="inlineStr">
        <is>
          <t>fe4006026d25ab04e7bc0c25515a26515970a0a2b0369a5454f1cb1459b61da3</t>
        </is>
      </c>
      <c r="U41" s="59" t="inlineStr">
        <is>
          <t>Codex sound design</t>
        </is>
      </c>
      <c r="V41" s="60" t="n">
        <v>46314</v>
      </c>
      <c r="W41" s="36" t="inlineStr">
        <is>
          <t>https://opengameart.org/content/the-free-firearm-sound-library | Ben Jaszczak, Brian Nelson, Kevin Heras, Matthew Nanney | CC0-1.0; edited recording; OpenSpades free pak distribution</t>
        </is>
      </c>
      <c r="X41" s="56" t="inlineStr">
        <is>
          <t>art_source/audio/sfx/AUD-SFX-SMG-FIRE/source/smg_fire_v003.wav</t>
        </is>
      </c>
      <c r="Y41" s="36" t="inlineStr">
        <is>
          <t>已接入 weapon_profiles；自动资源/正式路由/真实播放器验收通过；人工听感与Android待验；verify_audio_library_flow；docs/v0.1/development/2026-10-19_weapon_audio_profiles.md</t>
        </is>
      </c>
    </row>
    <row r="42" ht="149.25" customHeight="1" s="33">
      <c r="A42" s="59" t="inlineStr">
        <is>
          <t>AUD-SFX-SNIPER-FIRE</t>
        </is>
      </c>
      <c r="B42" s="36" t="inlineStr">
        <is>
          <t>狙击枪开火</t>
        </is>
      </c>
      <c r="C42" s="36" t="inlineStr">
        <is>
          <t>音效</t>
        </is>
      </c>
      <c r="D42" s="59" t="inlineStr">
        <is>
          <t>sfx</t>
        </is>
      </c>
      <c r="E42" s="59" t="inlineStr">
        <is>
          <t>sniper_fire</t>
        </is>
      </c>
      <c r="F42" s="59" t="inlineStr">
        <is>
          <t>root</t>
        </is>
      </c>
      <c r="G42" s="59" t="n"/>
      <c r="H42" s="36" t="inlineStr">
        <is>
          <t>不适用</t>
        </is>
      </c>
      <c r="I42" s="59" t="inlineStr">
        <is>
          <t>default</t>
        </is>
      </c>
      <c r="J42" s="36" t="inlineStr">
        <is>
          <t>枪种=狙击枪；枪身=bp_sniper；动作=fire；事件=combat.weapon.fire.sniper</t>
        </is>
      </c>
      <c r="K42" s="36" t="inlineStr">
        <is>
          <t>原型已接入</t>
        </is>
      </c>
      <c r="L42" s="59" t="inlineStr">
        <is>
          <t>P1</t>
        </is>
      </c>
      <c r="M42" s="59" t="inlineStr">
        <is>
          <t>v004</t>
        </is>
      </c>
      <c r="N42" s="59" t="inlineStr">
        <is>
          <t>44100Hz / mono / PCM24 master / Vorbis q6 / 0.850000s</t>
        </is>
      </c>
      <c r="O42" s="59" t="inlineStr">
        <is>
          <t>src/assets/audio/sfx/sniper_fire_v004.ogg</t>
        </is>
      </c>
      <c r="P42" s="59" t="inlineStr">
        <is>
          <t>art_source/audio/sfx/AUD-SFX-SNIPER-FIRE/source/sniper_fire_v004.wav</t>
        </is>
      </c>
      <c r="Q42" s="59" t="inlineStr">
        <is>
          <t>sniper_fire；bp_sniper</t>
        </is>
      </c>
      <c r="R42" s="59">
        <f>LOWER(TRIM(C42)&amp;"|"&amp;TRIM(D42)&amp;"|"&amp;TRIM(E42)&amp;"|"&amp;TRIM(F42)&amp;"|"&amp;TRIM(H42)&amp;"|"&amp;TRIM(I42))</f>
        <v/>
      </c>
      <c r="S42" s="36">
        <f>IF(COUNTIF($R$6:$R$183,R42)&gt;1,"重复","唯一")</f>
        <v/>
      </c>
      <c r="T42" s="59" t="inlineStr">
        <is>
          <t>72ddba4e6c846444b22ff94178c069b557c3d3a04680895405273062503ccdd4</t>
        </is>
      </c>
      <c r="U42" s="59" t="inlineStr">
        <is>
          <t>Codex recording edit</t>
        </is>
      </c>
      <c r="V42" s="60" t="n">
        <v>46314</v>
      </c>
      <c r="W42" s="36" t="inlineStr">
        <is>
          <t>https://opengameart.org/content/gunshot-sounds | Vincent Sevedge / Tabasco | CC-BY-3.0 (archive notice; page also offers CC0; retain stricter attribution)</t>
        </is>
      </c>
      <c r="X42" s="56" t="inlineStr">
        <is>
          <t>art_source/audio/sfx/AUD-SFX-SNIPER-FIRE/source/sniper_fire_v004.wav</t>
        </is>
      </c>
      <c r="Y42" s="36" t="inlineStr">
        <is>
          <t>已接入 weapon_profiles；自动资源/正式路由/真实播放器验收通过；人工听感与Android待验；verify_audio_library_flow；docs/v0.1/development/2026-10-19_weapon_audio_profiles.md</t>
        </is>
      </c>
    </row>
    <row r="43" ht="149.25" customHeight="1" s="33">
      <c r="A43" s="59" t="inlineStr">
        <is>
          <t>AUD-SFX-SOUL-PICKUP</t>
        </is>
      </c>
      <c r="B43" s="36" t="inlineStr">
        <is>
          <t>魂球拾取</t>
        </is>
      </c>
      <c r="C43" s="36" t="inlineStr">
        <is>
          <t>音效</t>
        </is>
      </c>
      <c r="D43" s="59" t="inlineStr">
        <is>
          <t>sfx</t>
        </is>
      </c>
      <c r="E43" s="59" t="inlineStr">
        <is>
          <t>soul_pickup</t>
        </is>
      </c>
      <c r="F43" s="59" t="inlineStr">
        <is>
          <t>root</t>
        </is>
      </c>
      <c r="G43" s="59" t="n"/>
      <c r="H43" s="36" t="inlineStr">
        <is>
          <t>不适用</t>
        </is>
      </c>
      <c r="I43" s="59" t="inlineStr">
        <is>
          <t>default</t>
        </is>
      </c>
      <c r="J43" s="36" t="inlineStr">
        <is>
          <t>world.pickup.soul</t>
        </is>
      </c>
      <c r="K43" s="36" t="inlineStr">
        <is>
          <t>原型已接入</t>
        </is>
      </c>
      <c r="L43" s="59" t="inlineStr">
        <is>
          <t>P2</t>
        </is>
      </c>
      <c r="M43" s="59" t="inlineStr">
        <is>
          <t>v002</t>
        </is>
      </c>
      <c r="N43" s="59" t="inlineStr">
        <is>
          <t>44100Hz / mono / PCM24 master / Vorbis q6 / 0.29s</t>
        </is>
      </c>
      <c r="O43" s="59" t="inlineStr">
        <is>
          <t>src/assets/audio/sfx/soul_pickup_v002.ogg</t>
        </is>
      </c>
      <c r="P43" s="59" t="inlineStr">
        <is>
          <t>docs/v0.1/design/音效系统与资产设计.md; src/core/AudioManager.gd</t>
        </is>
      </c>
      <c r="Q43" s="59" t="inlineStr">
        <is>
          <t>soul_pickup</t>
        </is>
      </c>
      <c r="R43" s="59">
        <f>LOWER(TRIM(C43)&amp;"|"&amp;TRIM(D43)&amp;"|"&amp;TRIM(E43)&amp;"|"&amp;TRIM(F43)&amp;"|"&amp;TRIM(H43)&amp;"|"&amp;TRIM(I43))</f>
        <v/>
      </c>
      <c r="S43" s="36">
        <f>IF(COUNTIF($R$6:$R$183,R43)&gt;1,"重复","唯一")</f>
        <v/>
      </c>
      <c r="T43" s="59" t="inlineStr">
        <is>
          <t>939e8ae2bf2e33731de5b069f85fbadff62cfadf4302a5c21f793d71368d3359</t>
        </is>
      </c>
      <c r="U43" s="59" t="inlineStr">
        <is>
          <t>Codex sound design</t>
        </is>
      </c>
      <c r="V43" s="60" t="n">
        <v>46308</v>
      </c>
      <c r="W43" s="36" t="inlineStr">
        <is>
          <t>原创离线分层DSP；无第三方采样；制作脚本与seed可追溯</t>
        </is>
      </c>
      <c r="X43" s="56" t="inlineStr">
        <is>
          <t>art_source/audio/sfx/AUD-SFX-SOUL-PICKUP/source/soul_pickup_v002.wav</t>
        </is>
      </c>
      <c r="Y43" s="36" t="inlineStr">
        <is>
          <t>SFXSET-SOUL-PICKUP；技术导入后待人工听感/Android验收；旧事件已替换</t>
        </is>
      </c>
    </row>
    <row r="44" ht="149.25" customHeight="1" s="33">
      <c r="A44" s="59" t="inlineStr">
        <is>
          <t>AUD-SFX-UI-CLICK</t>
        </is>
      </c>
      <c r="B44" s="59" t="inlineStr">
        <is>
          <t>按钮确认</t>
        </is>
      </c>
      <c r="C44" s="36" t="inlineStr">
        <is>
          <t>音效</t>
        </is>
      </c>
      <c r="D44" s="59" t="inlineStr">
        <is>
          <t>ui</t>
        </is>
      </c>
      <c r="E44" s="59" t="inlineStr">
        <is>
          <t>ui_click</t>
        </is>
      </c>
      <c r="F44" s="59" t="inlineStr">
        <is>
          <t>root</t>
        </is>
      </c>
      <c r="G44" s="59" t="n"/>
      <c r="H44" s="36" t="inlineStr">
        <is>
          <t>不适用</t>
        </is>
      </c>
      <c r="I44" s="59" t="inlineStr">
        <is>
          <t>default</t>
        </is>
      </c>
      <c r="J44" s="36" t="inlineStr">
        <is>
          <t>ui.action.confirm</t>
        </is>
      </c>
      <c r="K44" s="36" t="inlineStr">
        <is>
          <t>原型已接入</t>
        </is>
      </c>
      <c r="L44" s="59" t="inlineStr">
        <is>
          <t>P2</t>
        </is>
      </c>
      <c r="M44" s="59" t="inlineStr">
        <is>
          <t>v002</t>
        </is>
      </c>
      <c r="N44" s="59" t="inlineStr">
        <is>
          <t>44100Hz / mono / PCM24 master / Vorbis q6 / 0.14s</t>
        </is>
      </c>
      <c r="O44" s="59" t="inlineStr">
        <is>
          <t>src/assets/audio/sfx/ui_click_v002.ogg</t>
        </is>
      </c>
      <c r="P44" s="59" t="inlineStr">
        <is>
          <t>docs/v0.1/design/音效系统与资产设计.md; src/core/AudioManager.gd</t>
        </is>
      </c>
      <c r="Q44" s="59" t="inlineStr">
        <is>
          <t>ui_click</t>
        </is>
      </c>
      <c r="R44" s="59">
        <f>LOWER(TRIM(C44)&amp;"|"&amp;TRIM(D44)&amp;"|"&amp;TRIM(E44)&amp;"|"&amp;TRIM(F44)&amp;"|"&amp;TRIM(H44)&amp;"|"&amp;TRIM(I44))</f>
        <v/>
      </c>
      <c r="S44" s="36">
        <f>IF(COUNTIF($R$6:$R$183,R44)&gt;1,"重复","唯一")</f>
        <v/>
      </c>
      <c r="T44" s="59" t="inlineStr">
        <is>
          <t>48807664a48f6cc543d6b9e495d3b48c6767ae0d6c70d1f1dde5c06b8ad4e042</t>
        </is>
      </c>
      <c r="U44" s="59" t="inlineStr">
        <is>
          <t>Codex sound design</t>
        </is>
      </c>
      <c r="V44" s="60" t="n">
        <v>46308</v>
      </c>
      <c r="W44" s="36" t="inlineStr">
        <is>
          <t>原创离线分层DSP；无第三方采样；制作脚本与seed可追溯</t>
        </is>
      </c>
      <c r="X44" s="56" t="inlineStr">
        <is>
          <t>art_source/audio/sfx/AUD-SFX-UI-CLICK/source/ui_click_v002.wav</t>
        </is>
      </c>
      <c r="Y44" s="36" t="inlineStr">
        <is>
          <t>SFXSET-UI-CLICK；技术导入后待人工听感/Android验收；旧事件已替换</t>
        </is>
      </c>
    </row>
    <row r="45" ht="149.25" customHeight="1" s="33">
      <c r="A45" s="59" t="inlineStr">
        <is>
          <t>AUD-SFX-UI-ERROR</t>
        </is>
      </c>
      <c r="B45" s="59" t="inlineStr">
        <is>
          <t>操作失败</t>
        </is>
      </c>
      <c r="C45" s="36" t="inlineStr">
        <is>
          <t>音效</t>
        </is>
      </c>
      <c r="D45" s="59" t="inlineStr">
        <is>
          <t>ui</t>
        </is>
      </c>
      <c r="E45" s="59" t="inlineStr">
        <is>
          <t>ui_error</t>
        </is>
      </c>
      <c r="F45" s="59" t="inlineStr">
        <is>
          <t>root</t>
        </is>
      </c>
      <c r="G45" s="59" t="n"/>
      <c r="H45" s="36" t="inlineStr">
        <is>
          <t>不适用</t>
        </is>
      </c>
      <c r="I45" s="59" t="inlineStr">
        <is>
          <t>default</t>
        </is>
      </c>
      <c r="J45" s="36" t="inlineStr">
        <is>
          <t>ui.action.denied</t>
        </is>
      </c>
      <c r="K45" s="36" t="inlineStr">
        <is>
          <t>原型已接入</t>
        </is>
      </c>
      <c r="L45" s="59" t="inlineStr">
        <is>
          <t>P2</t>
        </is>
      </c>
      <c r="M45" s="59" t="inlineStr">
        <is>
          <t>v002</t>
        </is>
      </c>
      <c r="N45" s="59" t="inlineStr">
        <is>
          <t>44100Hz / mono / PCM24 master / Vorbis q6 / 0.28s</t>
        </is>
      </c>
      <c r="O45" s="59" t="inlineStr">
        <is>
          <t>src/assets/audio/sfx/ui_error_v002.ogg</t>
        </is>
      </c>
      <c r="P45" s="59" t="inlineStr">
        <is>
          <t>docs/v0.1/design/音效系统与资产设计.md; src/core/AudioManager.gd</t>
        </is>
      </c>
      <c r="Q45" s="59" t="inlineStr">
        <is>
          <t>ui_error</t>
        </is>
      </c>
      <c r="R45" s="59">
        <f>LOWER(TRIM(C45)&amp;"|"&amp;TRIM(D45)&amp;"|"&amp;TRIM(E45)&amp;"|"&amp;TRIM(F45)&amp;"|"&amp;TRIM(H45)&amp;"|"&amp;TRIM(I45))</f>
        <v/>
      </c>
      <c r="S45" s="36">
        <f>IF(COUNTIF($R$6:$R$183,R45)&gt;1,"重复","唯一")</f>
        <v/>
      </c>
      <c r="T45" s="59" t="inlineStr">
        <is>
          <t>3bb876ba30dfd92d4a6cb49c004d040bd66027fbdab4f1157a21a39c1e3e13bb</t>
        </is>
      </c>
      <c r="U45" s="59" t="inlineStr">
        <is>
          <t>Codex sound design</t>
        </is>
      </c>
      <c r="V45" s="60" t="n">
        <v>46308</v>
      </c>
      <c r="W45" s="36" t="inlineStr">
        <is>
          <t>原创离线分层DSP；无第三方采样；制作脚本与seed可追溯</t>
        </is>
      </c>
      <c r="X45" s="56" t="inlineStr">
        <is>
          <t>art_source/audio/sfx/AUD-SFX-UI-ERROR/source/ui_error_v002.wav</t>
        </is>
      </c>
      <c r="Y45" s="36" t="inlineStr">
        <is>
          <t>SFXSET-UI-ERROR；技术导入后待人工听感/Android验收；旧事件已替换</t>
        </is>
      </c>
    </row>
    <row r="46" ht="149.25" customHeight="1" s="33">
      <c r="A46" s="59" t="inlineStr">
        <is>
          <t>AUD-SFX-UI-HOVER</t>
        </is>
      </c>
      <c r="B46" s="59" t="inlineStr">
        <is>
          <t>重要按钮悬停</t>
        </is>
      </c>
      <c r="C46" s="36" t="inlineStr">
        <is>
          <t>音效</t>
        </is>
      </c>
      <c r="D46" s="59" t="inlineStr">
        <is>
          <t>ui</t>
        </is>
      </c>
      <c r="E46" s="59" t="inlineStr">
        <is>
          <t>ui_hover</t>
        </is>
      </c>
      <c r="F46" s="59" t="inlineStr">
        <is>
          <t>root</t>
        </is>
      </c>
      <c r="G46" s="59" t="n"/>
      <c r="H46" s="36" t="inlineStr">
        <is>
          <t>不适用</t>
        </is>
      </c>
      <c r="I46" s="59" t="inlineStr">
        <is>
          <t>default</t>
        </is>
      </c>
      <c r="J46" s="36" t="inlineStr">
        <is>
          <t>ui.action.hover; ui.action.focus</t>
        </is>
      </c>
      <c r="K46" s="36" t="inlineStr">
        <is>
          <t>原型已接入</t>
        </is>
      </c>
      <c r="L46" s="59" t="inlineStr">
        <is>
          <t>P2</t>
        </is>
      </c>
      <c r="M46" s="59" t="inlineStr">
        <is>
          <t>v002</t>
        </is>
      </c>
      <c r="N46" s="59" t="inlineStr">
        <is>
          <t>44100Hz / mono / PCM24 master / Vorbis q6 / 0.09s</t>
        </is>
      </c>
      <c r="O46" s="59" t="inlineStr">
        <is>
          <t>src/assets/audio/sfx/ui_hover_v002.ogg</t>
        </is>
      </c>
      <c r="P46" s="59" t="inlineStr">
        <is>
          <t>docs/v0.1/design/音效系统与资产设计.md; src/core/AudioManager.gd</t>
        </is>
      </c>
      <c r="Q46" s="59" t="inlineStr">
        <is>
          <t>ui_hover</t>
        </is>
      </c>
      <c r="R46" s="59">
        <f>LOWER(TRIM(C46)&amp;"|"&amp;TRIM(D46)&amp;"|"&amp;TRIM(E46)&amp;"|"&amp;TRIM(F46)&amp;"|"&amp;TRIM(H46)&amp;"|"&amp;TRIM(I46))</f>
        <v/>
      </c>
      <c r="S46" s="36">
        <f>IF(COUNTIF($R$6:$R$183,R46)&gt;1,"重复","唯一")</f>
        <v/>
      </c>
      <c r="T46" s="59" t="inlineStr">
        <is>
          <t>2772ac905f02bc0a152ca70a3c000c44cfadb570c1fef11bad8cb4ef11c3723a</t>
        </is>
      </c>
      <c r="U46" s="59" t="inlineStr">
        <is>
          <t>Codex sound design</t>
        </is>
      </c>
      <c r="V46" s="60" t="n">
        <v>46308</v>
      </c>
      <c r="W46" s="36" t="inlineStr">
        <is>
          <t>原创离线分层DSP；无第三方采样；制作脚本与seed可追溯</t>
        </is>
      </c>
      <c r="X46" s="56" t="inlineStr">
        <is>
          <t>art_source/audio/sfx/AUD-SFX-UI-HOVER/source/ui_hover_v002.wav</t>
        </is>
      </c>
      <c r="Y46" s="36" t="inlineStr">
        <is>
          <t>SFXSET-UI-HOVER；技术导入后待人工听感/Android验收；旧事件已替换</t>
        </is>
      </c>
    </row>
    <row r="47" ht="149.25" customHeight="1" s="33">
      <c r="A47" s="59" t="inlineStr">
        <is>
          <t>AUD-SFX-WAVE-CLEAR</t>
        </is>
      </c>
      <c r="B47" s="36" t="inlineStr">
        <is>
          <t>波次完成</t>
        </is>
      </c>
      <c r="C47" s="36" t="inlineStr">
        <is>
          <t>音效</t>
        </is>
      </c>
      <c r="D47" s="59" t="inlineStr">
        <is>
          <t>sfx</t>
        </is>
      </c>
      <c r="E47" s="59" t="inlineStr">
        <is>
          <t>wave_clear</t>
        </is>
      </c>
      <c r="F47" s="59" t="inlineStr">
        <is>
          <t>root</t>
        </is>
      </c>
      <c r="G47" s="59" t="n"/>
      <c r="H47" s="36" t="inlineStr">
        <is>
          <t>不适用</t>
        </is>
      </c>
      <c r="I47" s="59" t="inlineStr">
        <is>
          <t>default</t>
        </is>
      </c>
      <c r="J47" s="36" t="inlineStr">
        <is>
          <t>run.wave.cleared</t>
        </is>
      </c>
      <c r="K47" s="36" t="inlineStr">
        <is>
          <t>原型已接入</t>
        </is>
      </c>
      <c r="L47" s="59" t="inlineStr">
        <is>
          <t>P2</t>
        </is>
      </c>
      <c r="M47" s="59" t="inlineStr">
        <is>
          <t>v002</t>
        </is>
      </c>
      <c r="N47" s="59" t="inlineStr">
        <is>
          <t>44100Hz / mono / PCM24 master / Vorbis q6 / 0.71s</t>
        </is>
      </c>
      <c r="O47" s="59" t="inlineStr">
        <is>
          <t>src/assets/audio/sfx/wave_clear_v002.ogg</t>
        </is>
      </c>
      <c r="P47" s="59" t="inlineStr">
        <is>
          <t>docs/v0.1/design/音效系统与资产设计.md; src/core/AudioManager.gd</t>
        </is>
      </c>
      <c r="Q47" s="59" t="inlineStr">
        <is>
          <t>wave_clear</t>
        </is>
      </c>
      <c r="R47" s="59">
        <f>LOWER(TRIM(C47)&amp;"|"&amp;TRIM(D47)&amp;"|"&amp;TRIM(E47)&amp;"|"&amp;TRIM(F47)&amp;"|"&amp;TRIM(H47)&amp;"|"&amp;TRIM(I47))</f>
        <v/>
      </c>
      <c r="S47" s="36">
        <f>IF(COUNTIF($R$6:$R$183,R47)&gt;1,"重复","唯一")</f>
        <v/>
      </c>
      <c r="T47" s="59" t="inlineStr">
        <is>
          <t>dc92511b8486a0532733c87122b1bbb1f5f60c388de6c1697704598f8b82d3c0</t>
        </is>
      </c>
      <c r="U47" s="59" t="inlineStr">
        <is>
          <t>Codex sound design</t>
        </is>
      </c>
      <c r="V47" s="60" t="n">
        <v>46308</v>
      </c>
      <c r="W47" s="36" t="inlineStr">
        <is>
          <t>原创离线分层DSP；无第三方采样；制作脚本与seed可追溯</t>
        </is>
      </c>
      <c r="X47" s="56" t="inlineStr">
        <is>
          <t>art_source/audio/sfx/AUD-SFX-WAVE-CLEAR/source/wave_clear_v002.wav</t>
        </is>
      </c>
      <c r="Y47" s="36" t="inlineStr">
        <is>
          <t>SFXSET-WAVE-CLEAR；技术导入后待人工听感/Android验收；旧事件已替换</t>
        </is>
      </c>
    </row>
    <row r="48" ht="149.25" customHeight="1" s="33">
      <c r="A48" s="59" t="inlineStr">
        <is>
          <t>AUD-SFX-WAVE-START</t>
        </is>
      </c>
      <c r="B48" s="36" t="inlineStr">
        <is>
          <t>波次开始</t>
        </is>
      </c>
      <c r="C48" s="36" t="inlineStr">
        <is>
          <t>音效</t>
        </is>
      </c>
      <c r="D48" s="59" t="inlineStr">
        <is>
          <t>sfx</t>
        </is>
      </c>
      <c r="E48" s="59" t="inlineStr">
        <is>
          <t>wave_start</t>
        </is>
      </c>
      <c r="F48" s="59" t="inlineStr">
        <is>
          <t>root</t>
        </is>
      </c>
      <c r="G48" s="59" t="n"/>
      <c r="H48" s="36" t="inlineStr">
        <is>
          <t>不适用</t>
        </is>
      </c>
      <c r="I48" s="59" t="inlineStr">
        <is>
          <t>default</t>
        </is>
      </c>
      <c r="J48" s="36" t="inlineStr">
        <is>
          <t>run.wave.started</t>
        </is>
      </c>
      <c r="K48" s="36" t="inlineStr">
        <is>
          <t>原型已接入</t>
        </is>
      </c>
      <c r="L48" s="59" t="inlineStr">
        <is>
          <t>P1</t>
        </is>
      </c>
      <c r="M48" s="59" t="inlineStr">
        <is>
          <t>v002</t>
        </is>
      </c>
      <c r="N48" s="59" t="inlineStr">
        <is>
          <t>44100Hz / mono / PCM24 master / Vorbis q6 / 0.79s</t>
        </is>
      </c>
      <c r="O48" s="59" t="inlineStr">
        <is>
          <t>src/assets/audio/sfx/wave_start_v002.ogg</t>
        </is>
      </c>
      <c r="P48" s="59" t="inlineStr">
        <is>
          <t>docs/v0.1/design/音效系统与资产设计.md; src/core/AudioManager.gd</t>
        </is>
      </c>
      <c r="Q48" s="59" t="inlineStr">
        <is>
          <t>wave_start</t>
        </is>
      </c>
      <c r="R48" s="59">
        <f>LOWER(TRIM(C48)&amp;"|"&amp;TRIM(D48)&amp;"|"&amp;TRIM(E48)&amp;"|"&amp;TRIM(F48)&amp;"|"&amp;TRIM(H48)&amp;"|"&amp;TRIM(I48))</f>
        <v/>
      </c>
      <c r="S48" s="36">
        <f>IF(COUNTIF($R$6:$R$183,R48)&gt;1,"重复","唯一")</f>
        <v/>
      </c>
      <c r="T48" s="59" t="inlineStr">
        <is>
          <t>4e34d2c5444b4e47f4146d0e69dfcffe249e2daa6d5bce04c426320dbdaf1edd</t>
        </is>
      </c>
      <c r="U48" s="59" t="inlineStr">
        <is>
          <t>Codex sound design</t>
        </is>
      </c>
      <c r="V48" s="60" t="n">
        <v>46308</v>
      </c>
      <c r="W48" s="36" t="inlineStr">
        <is>
          <t>原创离线分层DSP；无第三方采样；制作脚本与seed可追溯</t>
        </is>
      </c>
      <c r="X48" s="56" t="inlineStr">
        <is>
          <t>art_source/audio/sfx/AUD-SFX-WAVE-START/source/wave_start_v002.wav</t>
        </is>
      </c>
      <c r="Y48" s="36" t="inlineStr">
        <is>
          <t>SFXSET-WAVE-START；技术导入后待人工听感/Android验收；旧事件已替换</t>
        </is>
      </c>
    </row>
    <row r="49" ht="173.1" customHeight="1" s="33">
      <c r="A49" s="59" t="inlineStr">
        <is>
          <t>AUD-SFX-MELEE-IMPACT</t>
        </is>
      </c>
      <c r="B49" s="36" t="inlineStr">
        <is>
          <t>近战命中主层</t>
        </is>
      </c>
      <c r="C49" s="36" t="inlineStr">
        <is>
          <t>音效</t>
        </is>
      </c>
      <c r="D49" s="59" t="inlineStr">
        <is>
          <t>sfx</t>
        </is>
      </c>
      <c r="E49" s="59" t="inlineStr">
        <is>
          <t>melee_impact</t>
        </is>
      </c>
      <c r="F49" s="59" t="inlineStr">
        <is>
          <t>root</t>
        </is>
      </c>
      <c r="G49" s="59" t="n"/>
      <c r="H49" s="36" t="inlineStr">
        <is>
          <t>不适用</t>
        </is>
      </c>
      <c r="I49" s="59" t="inlineStr">
        <is>
          <t>default</t>
        </is>
      </c>
      <c r="J49" s="36" t="inlineStr">
        <is>
          <t>combat.melee.impact</t>
        </is>
      </c>
      <c r="K49" s="36" t="inlineStr">
        <is>
          <t>原型已接入</t>
        </is>
      </c>
      <c r="L49" s="59" t="inlineStr">
        <is>
          <t>P2</t>
        </is>
      </c>
      <c r="M49" s="59" t="inlineStr">
        <is>
          <t>v003</t>
        </is>
      </c>
      <c r="N49" s="59" t="inlineStr">
        <is>
          <t>44100Hz / mono / PCM24 master / Vorbis q6 / 0.45s</t>
        </is>
      </c>
      <c r="O49" s="59" t="inlineStr">
        <is>
          <t>src/assets/audio/sfx/melee_impact_v003.ogg</t>
        </is>
      </c>
      <c r="P49" s="59" t="inlineStr">
        <is>
          <t>art_source/audio/sfx/AUD-SFX-MELEE-IMPACT/source/melee_impact_v003.wav</t>
        </is>
      </c>
      <c r="Q49" s="59" t="inlineStr">
        <is>
          <t>melee_impact</t>
        </is>
      </c>
      <c r="R49" s="59">
        <f>LOWER(TRIM(C49)&amp;"|"&amp;TRIM(D49)&amp;"|"&amp;TRIM(E49)&amp;"|"&amp;TRIM(F49)&amp;"|"&amp;TRIM(H49)&amp;"|"&amp;TRIM(I49))</f>
        <v/>
      </c>
      <c r="S49" s="36">
        <f>IF(COUNTIF($R$6:$R$183,R49)&gt;1,"重复","唯一")</f>
        <v/>
      </c>
      <c r="T49" s="59" t="inlineStr">
        <is>
          <t>1e455778a905108e431372700e9a303cf76b482aba8771acfbbb7a2db9dfe307</t>
        </is>
      </c>
      <c r="U49" s="59" t="inlineStr">
        <is>
          <t>Codex sound design</t>
        </is>
      </c>
      <c r="V49" s="65" t="n">
        <v>46314</v>
      </c>
      <c r="W49" s="36" t="inlineStr">
        <is>
          <t>https://kenney.nl/assets/impact-sounds | Kenney; https://kenney.nl/assets/rpg-audio | Kenney | CC0-1.0</t>
        </is>
      </c>
      <c r="X49" s="56" t="inlineStr">
        <is>
          <t>art_source/audio/sfx/AUD-SFX-MELEE-IMPACT/source/melee_impact_v003.wav</t>
        </is>
      </c>
      <c r="Y49" s="36" t="inlineStr">
        <is>
          <t>自然材质/录音替换；已接入；人工听感及Android待验；verify_audio_library_flow；docs/v0.1/development/2026-10-19_natural_world_audio.md</t>
        </is>
      </c>
    </row>
    <row r="50" ht="150.7" customHeight="1" s="33">
      <c r="A50" s="59" t="inlineStr">
        <is>
          <t>AUD-SFX-MELEE-SWING</t>
        </is>
      </c>
      <c r="B50" s="36" t="inlineStr">
        <is>
          <t>近战挥砍空气层</t>
        </is>
      </c>
      <c r="C50" s="36" t="inlineStr">
        <is>
          <t>音效</t>
        </is>
      </c>
      <c r="D50" s="59" t="inlineStr">
        <is>
          <t>sfx</t>
        </is>
      </c>
      <c r="E50" s="59" t="inlineStr">
        <is>
          <t>melee_swing</t>
        </is>
      </c>
      <c r="F50" s="59" t="inlineStr">
        <is>
          <t>root</t>
        </is>
      </c>
      <c r="G50" s="59" t="n"/>
      <c r="H50" s="36" t="inlineStr">
        <is>
          <t>不适用</t>
        </is>
      </c>
      <c r="I50" s="59" t="inlineStr">
        <is>
          <t>default</t>
        </is>
      </c>
      <c r="J50" s="36" t="inlineStr">
        <is>
          <t>combat.melee.swing</t>
        </is>
      </c>
      <c r="K50" s="36" t="inlineStr">
        <is>
          <t>原型已接入</t>
        </is>
      </c>
      <c r="L50" s="59" t="inlineStr">
        <is>
          <t>P2</t>
        </is>
      </c>
      <c r="M50" s="59" t="inlineStr">
        <is>
          <t>v003</t>
        </is>
      </c>
      <c r="N50" s="59" t="inlineStr">
        <is>
          <t>44100Hz / mono / PCM24 master / Vorbis q6 / 0.42s</t>
        </is>
      </c>
      <c r="O50" s="59" t="inlineStr">
        <is>
          <t>src/assets/audio/sfx/melee_swing_v003.ogg</t>
        </is>
      </c>
      <c r="P50" s="59" t="inlineStr">
        <is>
          <t>art_source/audio/sfx/AUD-SFX-MELEE-SWING/source/melee_swing_v003.wav</t>
        </is>
      </c>
      <c r="Q50" s="59" t="inlineStr">
        <is>
          <t>melee_swing</t>
        </is>
      </c>
      <c r="R50" s="59">
        <f>LOWER(TRIM(C50)&amp;"|"&amp;TRIM(D50)&amp;"|"&amp;TRIM(E50)&amp;"|"&amp;TRIM(F50)&amp;"|"&amp;TRIM(H50)&amp;"|"&amp;TRIM(I50))</f>
        <v/>
      </c>
      <c r="S50" s="36">
        <f>IF(COUNTIF($R$6:$R$183,R50)&gt;1,"重复","唯一")</f>
        <v/>
      </c>
      <c r="T50" s="59" t="inlineStr">
        <is>
          <t>bd7dd0171d871bdc56d6e8b8a2a8e5277463baa856e7fa422b3e3ecf76cf8398</t>
        </is>
      </c>
      <c r="U50" s="59" t="inlineStr">
        <is>
          <t>Codex sound design</t>
        </is>
      </c>
      <c r="V50" s="65" t="n">
        <v>46314</v>
      </c>
      <c r="W50" s="36" t="inlineStr">
        <is>
          <t>https://kenney.nl/assets/rpg-audio | Kenney; https://opengameart.org/content/swish-bamboo-stick-weapon-swhoshes | Iwan Gabovitch | CC0; CC0-1.0</t>
        </is>
      </c>
      <c r="X50" s="56" t="inlineStr">
        <is>
          <t>art_source/audio/sfx/AUD-SFX-MELEE-SWING/source/melee_swing_v003.wav</t>
        </is>
      </c>
      <c r="Y50" s="36" t="inlineStr">
        <is>
          <t>自然材质/录音替换；已接入；人工听感及Android待验；verify_audio_library_flow；docs/v0.1/development/2026-10-19_natural_world_audio.md</t>
        </is>
      </c>
    </row>
    <row r="51" ht="125.35" customHeight="1" s="33">
      <c r="A51" s="59" t="inlineStr">
        <is>
          <t>AUD-SFX-FLASHLIGHT-CHARGE-UP</t>
        </is>
      </c>
      <c r="B51" s="36" t="inlineStr">
        <is>
          <t>手电筒充能完成</t>
        </is>
      </c>
      <c r="C51" s="36" t="inlineStr">
        <is>
          <t>音效</t>
        </is>
      </c>
      <c r="D51" s="59" t="inlineStr">
        <is>
          <t>sfx</t>
        </is>
      </c>
      <c r="E51" s="59" t="inlineStr">
        <is>
          <t>flashlight_charge_up</t>
        </is>
      </c>
      <c r="F51" s="59" t="inlineStr">
        <is>
          <t>root</t>
        </is>
      </c>
      <c r="G51" s="59" t="n"/>
      <c r="H51" s="36" t="inlineStr">
        <is>
          <t>不适用</t>
        </is>
      </c>
      <c r="I51" s="59" t="inlineStr">
        <is>
          <t>default</t>
        </is>
      </c>
      <c r="J51" s="36" t="inlineStr">
        <is>
          <t>player.flashlight_charge</t>
        </is>
      </c>
      <c r="K51" s="36" t="inlineStr">
        <is>
          <t>原型已接入</t>
        </is>
      </c>
      <c r="L51" s="59" t="inlineStr">
        <is>
          <t>P2</t>
        </is>
      </c>
      <c r="M51" s="59" t="inlineStr">
        <is>
          <t>v002</t>
        </is>
      </c>
      <c r="N51" s="59" t="inlineStr">
        <is>
          <t>44100Hz / mono / PCM24 master / Vorbis q6 / 0.76s</t>
        </is>
      </c>
      <c r="O51" s="59" t="inlineStr">
        <is>
          <t>src/assets/audio/sfx/flashlight_charge_up_v002.ogg</t>
        </is>
      </c>
      <c r="P51" s="59" t="inlineStr">
        <is>
          <t>docs/v0.1/design/音效系统与资产设计.md; src/core/AudioManager.gd</t>
        </is>
      </c>
      <c r="Q51" s="59" t="inlineStr">
        <is>
          <t>flashlight_charge_up</t>
        </is>
      </c>
      <c r="R51" s="59">
        <f>LOWER(TRIM(C51)&amp;"|"&amp;TRIM(D51)&amp;"|"&amp;TRIM(E51)&amp;"|"&amp;TRIM(F51)&amp;"|"&amp;TRIM(H51)&amp;"|"&amp;TRIM(I51))</f>
        <v/>
      </c>
      <c r="S51" s="36">
        <f>IF(COUNTIF($R$6:$R$183,R51)&gt;1,"重复","唯一")</f>
        <v/>
      </c>
      <c r="T51" s="59" t="inlineStr">
        <is>
          <t>502bf2806e6af3136bcdfd45adc87eb49ebd2e84ca29b73d72d4ecfb2e3057f4</t>
        </is>
      </c>
      <c r="U51" s="59" t="inlineStr">
        <is>
          <t>Codex sound design</t>
        </is>
      </c>
      <c r="V51" s="65" t="n">
        <v>46308</v>
      </c>
      <c r="W51" s="36" t="inlineStr">
        <is>
          <t>原创离线分层DSP；无第三方采样；制作脚本与seed可追溯</t>
        </is>
      </c>
      <c r="X51" s="56" t="inlineStr">
        <is>
          <t>art_source/audio/sfx/AUD-SFX-FLASHLIGHT-CHARGE-UP/source/flashlight_charge_up_v002.wav</t>
        </is>
      </c>
      <c r="Y51" s="59" t="inlineStr">
        <is>
          <t>SFXSET-FLASHLIGHT-CHARGE-UP；技术导入后待人工听感/Android验收；旧事件已替换</t>
        </is>
      </c>
    </row>
    <row r="52" ht="125.35" customHeight="1" s="33">
      <c r="A52" s="59" t="inlineStr">
        <is>
          <t>AUD-SFX-FLASHLIGHT-DEPLETED</t>
        </is>
      </c>
      <c r="B52" s="36" t="inlineStr">
        <is>
          <t>手电筒电量耗尽</t>
        </is>
      </c>
      <c r="C52" s="36" t="inlineStr">
        <is>
          <t>音效</t>
        </is>
      </c>
      <c r="D52" s="59" t="inlineStr">
        <is>
          <t>sfx</t>
        </is>
      </c>
      <c r="E52" s="59" t="inlineStr">
        <is>
          <t>flashlight_depleted</t>
        </is>
      </c>
      <c r="F52" s="59" t="inlineStr">
        <is>
          <t>root</t>
        </is>
      </c>
      <c r="G52" s="59" t="n"/>
      <c r="H52" s="36" t="inlineStr">
        <is>
          <t>不适用</t>
        </is>
      </c>
      <c r="I52" s="59" t="inlineStr">
        <is>
          <t>default</t>
        </is>
      </c>
      <c r="J52" s="36" t="inlineStr">
        <is>
          <t>player.flashlight_depleted</t>
        </is>
      </c>
      <c r="K52" s="36" t="inlineStr">
        <is>
          <t>原型已接入</t>
        </is>
      </c>
      <c r="L52" s="59" t="inlineStr">
        <is>
          <t>P2</t>
        </is>
      </c>
      <c r="M52" s="59" t="inlineStr">
        <is>
          <t>v002</t>
        </is>
      </c>
      <c r="N52" s="59" t="inlineStr">
        <is>
          <t>44100Hz / mono / PCM24 master / Vorbis q6 / 0.6s</t>
        </is>
      </c>
      <c r="O52" s="59" t="inlineStr">
        <is>
          <t>src/assets/audio/sfx/flashlight_depleted_v002.ogg</t>
        </is>
      </c>
      <c r="P52" s="59" t="inlineStr">
        <is>
          <t>docs/v0.1/design/音效系统与资产设计.md; src/core/AudioManager.gd</t>
        </is>
      </c>
      <c r="Q52" s="59" t="inlineStr">
        <is>
          <t>flashlight_depleted</t>
        </is>
      </c>
      <c r="R52" s="59">
        <f>LOWER(TRIM(C52)&amp;"|"&amp;TRIM(D52)&amp;"|"&amp;TRIM(E52)&amp;"|"&amp;TRIM(F52)&amp;"|"&amp;TRIM(H52)&amp;"|"&amp;TRIM(I52))</f>
        <v/>
      </c>
      <c r="S52" s="36">
        <f>IF(COUNTIF($R$6:$R$183,R52)&gt;1,"重复","唯一")</f>
        <v/>
      </c>
      <c r="T52" s="59" t="inlineStr">
        <is>
          <t>5a9ce5c159c480b73d499241b2be62623bd9a6fa8aeb04c43034d6b4a2436e9d</t>
        </is>
      </c>
      <c r="U52" s="59" t="inlineStr">
        <is>
          <t>Codex sound design</t>
        </is>
      </c>
      <c r="V52" s="65" t="n">
        <v>46308</v>
      </c>
      <c r="W52" s="36" t="inlineStr">
        <is>
          <t>原创离线分层DSP；无第三方采样；制作脚本与seed可追溯</t>
        </is>
      </c>
      <c r="X52" s="56" t="inlineStr">
        <is>
          <t>art_source/audio/sfx/AUD-SFX-FLASHLIGHT-DEPLETED/source/flashlight_depleted_v002.wav</t>
        </is>
      </c>
      <c r="Y52" s="59" t="inlineStr">
        <is>
          <t>SFXSET-FLASHLIGHT-DEPLETED；技术导入后待人工听感/Android验收；旧事件已替换</t>
        </is>
      </c>
    </row>
    <row r="53" ht="125.35" customHeight="1" s="33">
      <c r="A53" s="59" t="inlineStr">
        <is>
          <t>AUD-SFX-FLASHLIGHT-LOW-BATTERY</t>
        </is>
      </c>
      <c r="B53" s="36" t="inlineStr">
        <is>
          <t>手电筒低电量警告</t>
        </is>
      </c>
      <c r="C53" s="36" t="inlineStr">
        <is>
          <t>音效</t>
        </is>
      </c>
      <c r="D53" s="59" t="inlineStr">
        <is>
          <t>sfx</t>
        </is>
      </c>
      <c r="E53" s="59" t="inlineStr">
        <is>
          <t>flashlight_low_battery</t>
        </is>
      </c>
      <c r="F53" s="59" t="inlineStr">
        <is>
          <t>root</t>
        </is>
      </c>
      <c r="G53" s="59" t="n"/>
      <c r="H53" s="36" t="inlineStr">
        <is>
          <t>不适用</t>
        </is>
      </c>
      <c r="I53" s="59" t="inlineStr">
        <is>
          <t>default</t>
        </is>
      </c>
      <c r="J53" s="36" t="inlineStr">
        <is>
          <t>player.flashlight_low</t>
        </is>
      </c>
      <c r="K53" s="36" t="inlineStr">
        <is>
          <t>原型已接入</t>
        </is>
      </c>
      <c r="L53" s="59" t="inlineStr">
        <is>
          <t>P2</t>
        </is>
      </c>
      <c r="M53" s="59" t="inlineStr">
        <is>
          <t>v002</t>
        </is>
      </c>
      <c r="N53" s="59" t="inlineStr">
        <is>
          <t>44100Hz / mono / PCM24 master / Vorbis q6 / 0.65s</t>
        </is>
      </c>
      <c r="O53" s="59" t="inlineStr">
        <is>
          <t>src/assets/audio/sfx/flashlight_low_battery_v002.ogg</t>
        </is>
      </c>
      <c r="P53" s="59" t="inlineStr">
        <is>
          <t>docs/v0.1/design/音效系统与资产设计.md; src/core/AudioManager.gd</t>
        </is>
      </c>
      <c r="Q53" s="59" t="inlineStr">
        <is>
          <t>flashlight_low_battery</t>
        </is>
      </c>
      <c r="R53" s="59">
        <f>LOWER(TRIM(C53)&amp;"|"&amp;TRIM(D53)&amp;"|"&amp;TRIM(E53)&amp;"|"&amp;TRIM(F53)&amp;"|"&amp;TRIM(H53)&amp;"|"&amp;TRIM(I53))</f>
        <v/>
      </c>
      <c r="S53" s="36">
        <f>IF(COUNTIF($R$6:$R$183,R53)&gt;1,"重复","唯一")</f>
        <v/>
      </c>
      <c r="T53" s="59" t="inlineStr">
        <is>
          <t>c7af87bf7c5e6d0ff379fe58a21303ad149f6aa636ab010d31e07c25393035c4</t>
        </is>
      </c>
      <c r="U53" s="59" t="inlineStr">
        <is>
          <t>Codex sound design</t>
        </is>
      </c>
      <c r="V53" s="65" t="n">
        <v>46308</v>
      </c>
      <c r="W53" s="36" t="inlineStr">
        <is>
          <t>原创离线分层DSP；无第三方采样；制作脚本与seed可追溯</t>
        </is>
      </c>
      <c r="X53" s="56" t="inlineStr">
        <is>
          <t>art_source/audio/sfx/AUD-SFX-FLASHLIGHT-LOW-BATTERY/source/flashlight_low_battery_v002.wav</t>
        </is>
      </c>
      <c r="Y53" s="59" t="inlineStr">
        <is>
          <t>SFXSET-FLASHLIGHT-LOW-BATTERY；技术导入后待人工听感/Android验收；旧事件已替换</t>
        </is>
      </c>
    </row>
    <row r="54" ht="15" customHeight="1" s="33">
      <c r="A54" s="57" t="inlineStr">
        <is>
          <t>AUD-SFX-PISTOL-FIRE-VAR02</t>
        </is>
      </c>
      <c r="B54" s="44" t="inlineStr">
        <is>
          <t>手枪开火（变体02）</t>
        </is>
      </c>
      <c r="C54" s="44" t="inlineStr">
        <is>
          <t>音效</t>
        </is>
      </c>
      <c r="D54" s="57" t="inlineStr">
        <is>
          <t>sfx</t>
        </is>
      </c>
      <c r="E54" s="57" t="inlineStr">
        <is>
          <t>pistol_fire</t>
        </is>
      </c>
      <c r="F54" s="57" t="inlineStr">
        <is>
          <t>var02</t>
        </is>
      </c>
      <c r="G54" s="44" t="inlineStr">
        <is>
          <t>AUD-SFX-PISTOL-FIRE</t>
        </is>
      </c>
      <c r="H54" s="44" t="inlineStr">
        <is>
          <t>不适用</t>
        </is>
      </c>
      <c r="I54" s="57" t="inlineStr">
        <is>
          <t>variant_02</t>
        </is>
      </c>
      <c r="J54" s="44" t="inlineStr">
        <is>
          <t>枪种=手枪；枪身=bp_pistol；动作=fire；事件=combat.weapon.fire.pistol</t>
        </is>
      </c>
      <c r="K54" s="44" t="inlineStr">
        <is>
          <t>原型已接入</t>
        </is>
      </c>
      <c r="L54" s="57" t="inlineStr">
        <is>
          <t>P1</t>
        </is>
      </c>
      <c r="M54" s="57" t="inlineStr">
        <is>
          <t>v004</t>
        </is>
      </c>
      <c r="N54" s="57" t="inlineStr">
        <is>
          <t>44100Hz / mono / PCM24 master / Vorbis q6 / 0.380000s</t>
        </is>
      </c>
      <c r="O54" s="57" t="inlineStr">
        <is>
          <t>src/assets/audio/sfx/pistol_fire_alt02_v004.ogg</t>
        </is>
      </c>
      <c r="P54" s="57" t="inlineStr">
        <is>
          <t>art_source/audio/sfx/AUD-SFX-PISTOL-FIRE-VAR02/source/pistol_fire_alt02_v004.wav</t>
        </is>
      </c>
      <c r="Q54" s="57" t="inlineStr">
        <is>
          <t>pistol_fire；bp_pistol</t>
        </is>
      </c>
      <c r="R54" s="44">
        <f>LOWER(TRIM(C54)&amp;"|"&amp;TRIM(D54)&amp;"|"&amp;TRIM(E54)&amp;"|"&amp;TRIM(F54)&amp;"|"&amp;TRIM(H54)&amp;"|"&amp;TRIM(I54))</f>
        <v/>
      </c>
      <c r="S54" s="44">
        <f>IF(COUNTIF($R$6:$R$183,R54)&gt;1,"重复","唯一")</f>
        <v/>
      </c>
      <c r="T54" s="57" t="inlineStr">
        <is>
          <t>fb41b0f496b140fe2b5294cab33b613892f407c6b96e0e746ca0c0823bfa88b5</t>
        </is>
      </c>
      <c r="U54" s="57" t="inlineStr">
        <is>
          <t>Codex recording edit</t>
        </is>
      </c>
      <c r="V54" s="58" t="n">
        <v>46314</v>
      </c>
      <c r="W54" s="44" t="inlineStr">
        <is>
          <t>https://opengameart.org/content/gunshot-sounds | Vincent Sevedge / Tabasco | CC-BY-3.0 (archive notice; page also offers CC0; retain stricter attribution)</t>
        </is>
      </c>
      <c r="X54" s="56" t="inlineStr">
        <is>
          <t>art_source/audio/sfx/AUD-SFX-PISTOL-FIRE-VAR02/source/pistol_fire_alt02_v004.wav</t>
        </is>
      </c>
      <c r="Y54" s="44" t="inlineStr">
        <is>
          <t>已接入 weapon_profiles；自动资源/正式路由/真实播放器验收通过；人工听感与Android待验；verify_audio_library_flow；docs/v0.1/development/2026-10-19_weapon_audio_profiles.md</t>
        </is>
      </c>
    </row>
    <row r="55" ht="15" customHeight="1" s="33">
      <c r="A55" s="57" t="inlineStr">
        <is>
          <t>AUD-SFX-PISTOL-FIRE-VAR03</t>
        </is>
      </c>
      <c r="B55" s="44" t="inlineStr">
        <is>
          <t>手枪开火（变体03）</t>
        </is>
      </c>
      <c r="C55" s="44" t="inlineStr">
        <is>
          <t>音效</t>
        </is>
      </c>
      <c r="D55" s="57" t="inlineStr">
        <is>
          <t>sfx</t>
        </is>
      </c>
      <c r="E55" s="57" t="inlineStr">
        <is>
          <t>pistol_fire</t>
        </is>
      </c>
      <c r="F55" s="57" t="inlineStr">
        <is>
          <t>var03</t>
        </is>
      </c>
      <c r="G55" s="44" t="inlineStr">
        <is>
          <t>AUD-SFX-PISTOL-FIRE</t>
        </is>
      </c>
      <c r="H55" s="44" t="inlineStr">
        <is>
          <t>不适用</t>
        </is>
      </c>
      <c r="I55" s="57" t="inlineStr">
        <is>
          <t>variant_03</t>
        </is>
      </c>
      <c r="J55" s="44" t="inlineStr">
        <is>
          <t>枪种=手枪；枪身=bp_pistol；动作=fire；事件=combat.weapon.fire.pistol</t>
        </is>
      </c>
      <c r="K55" s="44" t="inlineStr">
        <is>
          <t>原型已接入</t>
        </is>
      </c>
      <c r="L55" s="57" t="inlineStr">
        <is>
          <t>P1</t>
        </is>
      </c>
      <c r="M55" s="57" t="inlineStr">
        <is>
          <t>v004</t>
        </is>
      </c>
      <c r="N55" s="57" t="inlineStr">
        <is>
          <t>44100Hz / mono / PCM24 master / Vorbis q6 / 0.380000s</t>
        </is>
      </c>
      <c r="O55" s="57" t="inlineStr">
        <is>
          <t>src/assets/audio/sfx/pistol_fire_alt03_v004.ogg</t>
        </is>
      </c>
      <c r="P55" s="57" t="inlineStr">
        <is>
          <t>art_source/audio/sfx/AUD-SFX-PISTOL-FIRE-VAR03/source/pistol_fire_alt03_v004.wav</t>
        </is>
      </c>
      <c r="Q55" s="57" t="inlineStr">
        <is>
          <t>pistol_fire；bp_pistol</t>
        </is>
      </c>
      <c r="R55" s="44">
        <f>LOWER(TRIM(C55)&amp;"|"&amp;TRIM(D55)&amp;"|"&amp;TRIM(E55)&amp;"|"&amp;TRIM(F55)&amp;"|"&amp;TRIM(H55)&amp;"|"&amp;TRIM(I55))</f>
        <v/>
      </c>
      <c r="S55" s="44">
        <f>IF(COUNTIF($R$6:$R$183,R55)&gt;1,"重复","唯一")</f>
        <v/>
      </c>
      <c r="T55" s="57" t="inlineStr">
        <is>
          <t>61e25683091a693a843dbe7545d9e0f3b403b94d81ff54719b31e0c293f87dfb</t>
        </is>
      </c>
      <c r="U55" s="57" t="inlineStr">
        <is>
          <t>Codex recording edit</t>
        </is>
      </c>
      <c r="V55" s="58" t="n">
        <v>46314</v>
      </c>
      <c r="W55" s="44" t="inlineStr">
        <is>
          <t>https://opengameart.org/content/gunshot-sounds | Vincent Sevedge / Tabasco | CC-BY-3.0 (archive notice; page also offers CC0; retain stricter attribution)</t>
        </is>
      </c>
      <c r="X55" s="56" t="inlineStr">
        <is>
          <t>art_source/audio/sfx/AUD-SFX-PISTOL-FIRE-VAR03/source/pistol_fire_alt03_v004.wav</t>
        </is>
      </c>
      <c r="Y55" s="44" t="inlineStr">
        <is>
          <t>已接入 weapon_profiles；自动资源/正式路由/真实播放器验收通过；人工听感与Android待验；verify_audio_library_flow；docs/v0.1/development/2026-10-19_weapon_audio_profiles.md</t>
        </is>
      </c>
    </row>
    <row r="56" ht="15" customHeight="1" s="33">
      <c r="A56" s="57" t="inlineStr">
        <is>
          <t>AUD-SFX-RIFLE-FIRE-VAR02</t>
        </is>
      </c>
      <c r="B56" s="44" t="inlineStr">
        <is>
          <t>步枪开火（变体02）</t>
        </is>
      </c>
      <c r="C56" s="44" t="inlineStr">
        <is>
          <t>音效</t>
        </is>
      </c>
      <c r="D56" s="57" t="inlineStr">
        <is>
          <t>sfx</t>
        </is>
      </c>
      <c r="E56" s="57" t="inlineStr">
        <is>
          <t>rifle_fire</t>
        </is>
      </c>
      <c r="F56" s="57" t="inlineStr">
        <is>
          <t>var02</t>
        </is>
      </c>
      <c r="G56" s="44" t="inlineStr">
        <is>
          <t>AUD-SFX-RIFLE-FIRE</t>
        </is>
      </c>
      <c r="H56" s="44" t="inlineStr">
        <is>
          <t>不适用</t>
        </is>
      </c>
      <c r="I56" s="57" t="inlineStr">
        <is>
          <t>variant_02</t>
        </is>
      </c>
      <c r="J56" s="44" t="inlineStr">
        <is>
          <t>枪种=步枪；枪身=bp_rifle,bp_starter_rifle；动作=fire；事件=combat.weapon.fire.rifle</t>
        </is>
      </c>
      <c r="K56" s="44" t="inlineStr">
        <is>
          <t>原型已接入</t>
        </is>
      </c>
      <c r="L56" s="57" t="inlineStr">
        <is>
          <t>P1</t>
        </is>
      </c>
      <c r="M56" s="57" t="inlineStr">
        <is>
          <t>v004</t>
        </is>
      </c>
      <c r="N56" s="57" t="inlineStr">
        <is>
          <t>44100Hz / mono / PCM24 master / Vorbis q6 / 0.400000s</t>
        </is>
      </c>
      <c r="O56" s="57" t="inlineStr">
        <is>
          <t>src/assets/audio/sfx/rifle_fire_alt02_v004.ogg</t>
        </is>
      </c>
      <c r="P56" s="57" t="inlineStr">
        <is>
          <t>art_source/audio/sfx/AUD-SFX-RIFLE-FIRE-VAR02/source/rifle_fire_alt02_v004.wav</t>
        </is>
      </c>
      <c r="Q56" s="57" t="inlineStr">
        <is>
          <t>rifle_fire；bp_rifle,bp_starter_rifle</t>
        </is>
      </c>
      <c r="R56" s="44">
        <f>LOWER(TRIM(C56)&amp;"|"&amp;TRIM(D56)&amp;"|"&amp;TRIM(E56)&amp;"|"&amp;TRIM(F56)&amp;"|"&amp;TRIM(H56)&amp;"|"&amp;TRIM(I56))</f>
        <v/>
      </c>
      <c r="S56" s="44">
        <f>IF(COUNTIF($R$6:$R$183,R56)&gt;1,"重复","唯一")</f>
        <v/>
      </c>
      <c r="T56" s="57" t="inlineStr">
        <is>
          <t>08785bc5f5167f6250958917751f9ca1a094bdccfae59c37b38f00424a2c9023</t>
        </is>
      </c>
      <c r="U56" s="57" t="inlineStr">
        <is>
          <t>Codex recording edit</t>
        </is>
      </c>
      <c r="V56" s="58" t="n">
        <v>46314</v>
      </c>
      <c r="W56" s="44" t="inlineStr">
        <is>
          <t>https://opengameart.org/content/gunshot-sounds | Vincent Sevedge / Tabasco | CC-BY-3.0 (archive notice; page also offers CC0; retain stricter attribution)</t>
        </is>
      </c>
      <c r="X56" s="56" t="inlineStr">
        <is>
          <t>art_source/audio/sfx/AUD-SFX-RIFLE-FIRE-VAR02/source/rifle_fire_alt02_v004.wav</t>
        </is>
      </c>
      <c r="Y56" s="44" t="inlineStr">
        <is>
          <t>已接入 weapon_profiles；自动资源/正式路由/真实播放器验收通过；人工听感与Android待验；verify_audio_library_flow；docs/v0.1/development/2026-10-19_weapon_audio_profiles.md</t>
        </is>
      </c>
    </row>
    <row r="57" ht="15" customHeight="1" s="33">
      <c r="A57" s="57" t="inlineStr">
        <is>
          <t>AUD-SFX-RIFLE-FIRE-VAR03</t>
        </is>
      </c>
      <c r="B57" s="44" t="inlineStr">
        <is>
          <t>步枪开火（变体03）</t>
        </is>
      </c>
      <c r="C57" s="44" t="inlineStr">
        <is>
          <t>音效</t>
        </is>
      </c>
      <c r="D57" s="57" t="inlineStr">
        <is>
          <t>sfx</t>
        </is>
      </c>
      <c r="E57" s="57" t="inlineStr">
        <is>
          <t>rifle_fire</t>
        </is>
      </c>
      <c r="F57" s="57" t="inlineStr">
        <is>
          <t>var03</t>
        </is>
      </c>
      <c r="G57" s="44" t="inlineStr">
        <is>
          <t>AUD-SFX-RIFLE-FIRE</t>
        </is>
      </c>
      <c r="H57" s="44" t="inlineStr">
        <is>
          <t>不适用</t>
        </is>
      </c>
      <c r="I57" s="57" t="inlineStr">
        <is>
          <t>variant_03</t>
        </is>
      </c>
      <c r="J57" s="44" t="inlineStr">
        <is>
          <t>枪种=步枪；枪身=bp_rifle,bp_starter_rifle；动作=fire；事件=combat.weapon.fire.rifle</t>
        </is>
      </c>
      <c r="K57" s="44" t="inlineStr">
        <is>
          <t>原型已接入</t>
        </is>
      </c>
      <c r="L57" s="57" t="inlineStr">
        <is>
          <t>P1</t>
        </is>
      </c>
      <c r="M57" s="57" t="inlineStr">
        <is>
          <t>v004</t>
        </is>
      </c>
      <c r="N57" s="57" t="inlineStr">
        <is>
          <t>44100Hz / mono / PCM24 master / Vorbis q6 / 0.400000s</t>
        </is>
      </c>
      <c r="O57" s="57" t="inlineStr">
        <is>
          <t>src/assets/audio/sfx/rifle_fire_alt03_v004.ogg</t>
        </is>
      </c>
      <c r="P57" s="57" t="inlineStr">
        <is>
          <t>art_source/audio/sfx/AUD-SFX-RIFLE-FIRE-VAR03/source/rifle_fire_alt03_v004.wav</t>
        </is>
      </c>
      <c r="Q57" s="57" t="inlineStr">
        <is>
          <t>rifle_fire；bp_rifle,bp_starter_rifle</t>
        </is>
      </c>
      <c r="R57" s="44">
        <f>LOWER(TRIM(C57)&amp;"|"&amp;TRIM(D57)&amp;"|"&amp;TRIM(E57)&amp;"|"&amp;TRIM(F57)&amp;"|"&amp;TRIM(H57)&amp;"|"&amp;TRIM(I57))</f>
        <v/>
      </c>
      <c r="S57" s="44">
        <f>IF(COUNTIF($R$6:$R$183,R57)&gt;1,"重复","唯一")</f>
        <v/>
      </c>
      <c r="T57" s="57" t="inlineStr">
        <is>
          <t>8054e39060da22d17c7c7b3af82eb67c9a2a5793349ae71b1c7d9b497500f532</t>
        </is>
      </c>
      <c r="U57" s="57" t="inlineStr">
        <is>
          <t>Codex recording edit</t>
        </is>
      </c>
      <c r="V57" s="58" t="n">
        <v>46314</v>
      </c>
      <c r="W57" s="44" t="inlineStr">
        <is>
          <t>https://opengameart.org/content/gunshot-sounds | Vincent Sevedge / Tabasco | CC-BY-3.0 (archive notice; page also offers CC0; retain stricter attribution)</t>
        </is>
      </c>
      <c r="X57" s="56" t="inlineStr">
        <is>
          <t>art_source/audio/sfx/AUD-SFX-RIFLE-FIRE-VAR03/source/rifle_fire_alt03_v004.wav</t>
        </is>
      </c>
      <c r="Y57" s="44" t="inlineStr">
        <is>
          <t>已接入 weapon_profiles；自动资源/正式路由/真实播放器验收通过；人工听感与Android待验；verify_audio_library_flow；docs/v0.1/development/2026-10-19_weapon_audio_profiles.md</t>
        </is>
      </c>
    </row>
    <row r="58" ht="15" customHeight="1" s="33">
      <c r="A58" s="57" t="inlineStr">
        <is>
          <t>AUD-SFX-SHOTGUN-FIRE-VAR02</t>
        </is>
      </c>
      <c r="B58" s="44" t="inlineStr">
        <is>
          <t>霰弹枪开火（变体02）</t>
        </is>
      </c>
      <c r="C58" s="44" t="inlineStr">
        <is>
          <t>音效</t>
        </is>
      </c>
      <c r="D58" s="57" t="inlineStr">
        <is>
          <t>sfx</t>
        </is>
      </c>
      <c r="E58" s="57" t="inlineStr">
        <is>
          <t>shotgun_fire</t>
        </is>
      </c>
      <c r="F58" s="57" t="inlineStr">
        <is>
          <t>var02</t>
        </is>
      </c>
      <c r="G58" s="44" t="inlineStr">
        <is>
          <t>AUD-SFX-SHOTGUN-FIRE</t>
        </is>
      </c>
      <c r="H58" s="44" t="inlineStr">
        <is>
          <t>不适用</t>
        </is>
      </c>
      <c r="I58" s="57" t="inlineStr">
        <is>
          <t>variant_02</t>
        </is>
      </c>
      <c r="J58" s="44" t="inlineStr">
        <is>
          <t>枪种=霰弹枪；枪身=bp_shotgun；动作=fire；事件=combat.weapon.fire.shotgun</t>
        </is>
      </c>
      <c r="K58" s="44" t="inlineStr">
        <is>
          <t>原型已接入</t>
        </is>
      </c>
      <c r="L58" s="57" t="inlineStr">
        <is>
          <t>P1</t>
        </is>
      </c>
      <c r="M58" s="57" t="inlineStr">
        <is>
          <t>v004</t>
        </is>
      </c>
      <c r="N58" s="57" t="inlineStr">
        <is>
          <t>44100Hz / mono / PCM24 master / Vorbis q6 / 0.550000s</t>
        </is>
      </c>
      <c r="O58" s="57" t="inlineStr">
        <is>
          <t>src/assets/audio/sfx/shotgun_fire_alt02_v004.ogg</t>
        </is>
      </c>
      <c r="P58" s="57" t="inlineStr">
        <is>
          <t>art_source/audio/sfx/AUD-SFX-SHOTGUN-FIRE-VAR02/source/shotgun_fire_alt02_v004.wav</t>
        </is>
      </c>
      <c r="Q58" s="57" t="inlineStr">
        <is>
          <t>shotgun_fire；bp_shotgun</t>
        </is>
      </c>
      <c r="R58" s="44">
        <f>LOWER(TRIM(C58)&amp;"|"&amp;TRIM(D58)&amp;"|"&amp;TRIM(E58)&amp;"|"&amp;TRIM(F58)&amp;"|"&amp;TRIM(H58)&amp;"|"&amp;TRIM(I58))</f>
        <v/>
      </c>
      <c r="S58" s="44">
        <f>IF(COUNTIF($R$6:$R$183,R58)&gt;1,"重复","唯一")</f>
        <v/>
      </c>
      <c r="T58" s="57" t="inlineStr">
        <is>
          <t>7957234d9ecede12ddb26483ff6695b84f563e32a376e1741dbb1db454b5f49f</t>
        </is>
      </c>
      <c r="U58" s="57" t="inlineStr">
        <is>
          <t>Codex recording edit</t>
        </is>
      </c>
      <c r="V58" s="58" t="n">
        <v>46314</v>
      </c>
      <c r="W58" s="44" t="inlineStr">
        <is>
          <t>https://opengameart.org/content/gunshot-sounds | Vincent Sevedge / Tabasco | CC-BY-3.0 (archive notice; page also offers CC0; retain stricter attribution)</t>
        </is>
      </c>
      <c r="X58" s="56" t="inlineStr">
        <is>
          <t>art_source/audio/sfx/AUD-SFX-SHOTGUN-FIRE-VAR02/source/shotgun_fire_alt02_v004.wav</t>
        </is>
      </c>
      <c r="Y58" s="44" t="inlineStr">
        <is>
          <t>已接入 weapon_profiles；自动资源/正式路由/真实播放器验收通过；人工听感与Android待验；verify_audio_library_flow；docs/v0.1/development/2026-10-19_weapon_audio_profiles.md</t>
        </is>
      </c>
    </row>
    <row r="59" ht="15" customHeight="1" s="33">
      <c r="A59" s="57" t="inlineStr">
        <is>
          <t>AUD-SFX-SHOTGUN-FIRE-VAR03</t>
        </is>
      </c>
      <c r="B59" s="44" t="inlineStr">
        <is>
          <t>霰弹枪开火（变体03）</t>
        </is>
      </c>
      <c r="C59" s="44" t="inlineStr">
        <is>
          <t>音效</t>
        </is>
      </c>
      <c r="D59" s="57" t="inlineStr">
        <is>
          <t>sfx</t>
        </is>
      </c>
      <c r="E59" s="57" t="inlineStr">
        <is>
          <t>shotgun_fire</t>
        </is>
      </c>
      <c r="F59" s="57" t="inlineStr">
        <is>
          <t>var03</t>
        </is>
      </c>
      <c r="G59" s="44" t="inlineStr">
        <is>
          <t>AUD-SFX-SHOTGUN-FIRE</t>
        </is>
      </c>
      <c r="H59" s="44" t="inlineStr">
        <is>
          <t>不适用</t>
        </is>
      </c>
      <c r="I59" s="57" t="inlineStr">
        <is>
          <t>variant_03</t>
        </is>
      </c>
      <c r="J59" s="44" t="inlineStr">
        <is>
          <t>枪种=霰弹枪；枪身=bp_shotgun；动作=fire；事件=combat.weapon.fire.shotgun</t>
        </is>
      </c>
      <c r="K59" s="44" t="inlineStr">
        <is>
          <t>原型已接入</t>
        </is>
      </c>
      <c r="L59" s="57" t="inlineStr">
        <is>
          <t>P1</t>
        </is>
      </c>
      <c r="M59" s="57" t="inlineStr">
        <is>
          <t>v004</t>
        </is>
      </c>
      <c r="N59" s="57" t="inlineStr">
        <is>
          <t>44100Hz / mono / PCM24 master / Vorbis q6 / 0.550000s</t>
        </is>
      </c>
      <c r="O59" s="57" t="inlineStr">
        <is>
          <t>src/assets/audio/sfx/shotgun_fire_alt03_v004.ogg</t>
        </is>
      </c>
      <c r="P59" s="57" t="inlineStr">
        <is>
          <t>art_source/audio/sfx/AUD-SFX-SHOTGUN-FIRE-VAR03/source/shotgun_fire_alt03_v004.wav</t>
        </is>
      </c>
      <c r="Q59" s="57" t="inlineStr">
        <is>
          <t>shotgun_fire；bp_shotgun</t>
        </is>
      </c>
      <c r="R59" s="44">
        <f>LOWER(TRIM(C59)&amp;"|"&amp;TRIM(D59)&amp;"|"&amp;TRIM(E59)&amp;"|"&amp;TRIM(F59)&amp;"|"&amp;TRIM(H59)&amp;"|"&amp;TRIM(I59))</f>
        <v/>
      </c>
      <c r="S59" s="44">
        <f>IF(COUNTIF($R$6:$R$183,R59)&gt;1,"重复","唯一")</f>
        <v/>
      </c>
      <c r="T59" s="57" t="inlineStr">
        <is>
          <t>0a3776e8bdb82f42151f15870a72acf4e0b22f40d71b12104201d3c3980ccb98</t>
        </is>
      </c>
      <c r="U59" s="57" t="inlineStr">
        <is>
          <t>Codex recording edit</t>
        </is>
      </c>
      <c r="V59" s="58" t="n">
        <v>46314</v>
      </c>
      <c r="W59" s="44" t="inlineStr">
        <is>
          <t>https://opengameart.org/content/gunshot-sounds | Vincent Sevedge / Tabasco | CC-BY-3.0 (archive notice; page also offers CC0; retain stricter attribution)</t>
        </is>
      </c>
      <c r="X59" s="56" t="inlineStr">
        <is>
          <t>art_source/audio/sfx/AUD-SFX-SHOTGUN-FIRE-VAR03/source/shotgun_fire_alt03_v004.wav</t>
        </is>
      </c>
      <c r="Y59" s="44" t="inlineStr">
        <is>
          <t>已接入 weapon_profiles；自动资源/正式路由/真实播放器验收通过；人工听感与Android待验；verify_audio_library_flow；docs/v0.1/development/2026-10-19_weapon_audio_profiles.md</t>
        </is>
      </c>
    </row>
    <row r="60" ht="15" customHeight="1" s="33">
      <c r="A60" s="57" t="inlineStr">
        <is>
          <t>AUD-SFX-SMG-FIRE-VAR02</t>
        </is>
      </c>
      <c r="B60" s="44" t="inlineStr">
        <is>
          <t>机枪开火（变体02）</t>
        </is>
      </c>
      <c r="C60" s="44" t="inlineStr">
        <is>
          <t>音效</t>
        </is>
      </c>
      <c r="D60" s="57" t="inlineStr">
        <is>
          <t>sfx</t>
        </is>
      </c>
      <c r="E60" s="57" t="inlineStr">
        <is>
          <t>smg_fire</t>
        </is>
      </c>
      <c r="F60" s="57" t="inlineStr">
        <is>
          <t>var02</t>
        </is>
      </c>
      <c r="G60" s="44" t="inlineStr">
        <is>
          <t>AUD-SFX-SMG-FIRE</t>
        </is>
      </c>
      <c r="H60" s="44" t="inlineStr">
        <is>
          <t>不适用</t>
        </is>
      </c>
      <c r="I60" s="57" t="inlineStr">
        <is>
          <t>variant_02</t>
        </is>
      </c>
      <c r="J60" s="44" t="inlineStr">
        <is>
          <t>枪种=机枪；枪身=bp_machinegun,bp_sprinkler；动作=fire；事件=combat.weapon.fire.smg</t>
        </is>
      </c>
      <c r="K60" s="44" t="inlineStr">
        <is>
          <t>原型已接入</t>
        </is>
      </c>
      <c r="L60" s="57" t="inlineStr">
        <is>
          <t>P1</t>
        </is>
      </c>
      <c r="M60" s="57" t="inlineStr">
        <is>
          <t>v003</t>
        </is>
      </c>
      <c r="N60" s="57" t="inlineStr">
        <is>
          <t>44100Hz / mono / PCM24 master / Vorbis q6 / 0.230000s</t>
        </is>
      </c>
      <c r="O60" s="57" t="inlineStr">
        <is>
          <t>src/assets/audio/sfx/smg_fire_alt02_v003.ogg</t>
        </is>
      </c>
      <c r="P60" s="57" t="inlineStr">
        <is>
          <t>art_source/audio/sfx/AUD-SFX-SMG-FIRE-VAR02/source/smg_fire_alt02_v003.wav</t>
        </is>
      </c>
      <c r="Q60" s="57" t="inlineStr">
        <is>
          <t>smg_fire；bp_machinegun,bp_sprinkler</t>
        </is>
      </c>
      <c r="R60" s="44">
        <f>LOWER(TRIM(C60)&amp;"|"&amp;TRIM(D60)&amp;"|"&amp;TRIM(E60)&amp;"|"&amp;TRIM(F60)&amp;"|"&amp;TRIM(H60)&amp;"|"&amp;TRIM(I60))</f>
        <v/>
      </c>
      <c r="S60" s="44">
        <f>IF(COUNTIF($R$6:$R$183,R60)&gt;1,"重复","唯一")</f>
        <v/>
      </c>
      <c r="T60" s="57" t="inlineStr">
        <is>
          <t>f16d1e4b9746748e0a6dee7a1cde490c165e3a0aea0b8557b5023d2f07e659c1</t>
        </is>
      </c>
      <c r="U60" s="57" t="inlineStr">
        <is>
          <t>Codex sound design</t>
        </is>
      </c>
      <c r="V60" s="58" t="n">
        <v>46314</v>
      </c>
      <c r="W60" s="44" t="inlineStr">
        <is>
          <t>https://opengameart.org/content/the-free-firearm-sound-library | Ben Jaszczak, Brian Nelson, Kevin Heras, Matthew Nanney | CC0-1.0; edited recording; OpenSpades free pak distribution</t>
        </is>
      </c>
      <c r="X60" s="56" t="inlineStr">
        <is>
          <t>art_source/audio/sfx/AUD-SFX-SMG-FIRE-VAR02/source/smg_fire_alt02_v003.wav</t>
        </is>
      </c>
      <c r="Y60" s="44" t="inlineStr">
        <is>
          <t>已接入 weapon_profiles；自动资源/正式路由/真实播放器验收通过；人工听感与Android待验；verify_audio_library_flow；docs/v0.1/development/2026-10-19_weapon_audio_profiles.md</t>
        </is>
      </c>
    </row>
    <row r="61" ht="15" customHeight="1" s="33">
      <c r="A61" s="57" t="inlineStr">
        <is>
          <t>AUD-SFX-SMG-FIRE-VAR03</t>
        </is>
      </c>
      <c r="B61" s="44" t="inlineStr">
        <is>
          <t>机枪开火（变体03）</t>
        </is>
      </c>
      <c r="C61" s="44" t="inlineStr">
        <is>
          <t>音效</t>
        </is>
      </c>
      <c r="D61" s="57" t="inlineStr">
        <is>
          <t>sfx</t>
        </is>
      </c>
      <c r="E61" s="57" t="inlineStr">
        <is>
          <t>smg_fire</t>
        </is>
      </c>
      <c r="F61" s="57" t="inlineStr">
        <is>
          <t>var03</t>
        </is>
      </c>
      <c r="G61" s="44" t="inlineStr">
        <is>
          <t>AUD-SFX-SMG-FIRE</t>
        </is>
      </c>
      <c r="H61" s="44" t="inlineStr">
        <is>
          <t>不适用</t>
        </is>
      </c>
      <c r="I61" s="57" t="inlineStr">
        <is>
          <t>variant_03</t>
        </is>
      </c>
      <c r="J61" s="44" t="inlineStr">
        <is>
          <t>枪种=机枪；枪身=bp_machinegun,bp_sprinkler；动作=fire；事件=combat.weapon.fire.smg</t>
        </is>
      </c>
      <c r="K61" s="44" t="inlineStr">
        <is>
          <t>原型已接入</t>
        </is>
      </c>
      <c r="L61" s="57" t="inlineStr">
        <is>
          <t>P1</t>
        </is>
      </c>
      <c r="M61" s="57" t="inlineStr">
        <is>
          <t>v003</t>
        </is>
      </c>
      <c r="N61" s="57" t="inlineStr">
        <is>
          <t>44100Hz / mono / PCM24 master / Vorbis q6 / 0.230000s</t>
        </is>
      </c>
      <c r="O61" s="57" t="inlineStr">
        <is>
          <t>src/assets/audio/sfx/smg_fire_alt03_v003.ogg</t>
        </is>
      </c>
      <c r="P61" s="57" t="inlineStr">
        <is>
          <t>art_source/audio/sfx/AUD-SFX-SMG-FIRE-VAR03/source/smg_fire_alt03_v003.wav</t>
        </is>
      </c>
      <c r="Q61" s="57" t="inlineStr">
        <is>
          <t>smg_fire；bp_machinegun,bp_sprinkler</t>
        </is>
      </c>
      <c r="R61" s="44">
        <f>LOWER(TRIM(C61)&amp;"|"&amp;TRIM(D61)&amp;"|"&amp;TRIM(E61)&amp;"|"&amp;TRIM(F61)&amp;"|"&amp;TRIM(H61)&amp;"|"&amp;TRIM(I61))</f>
        <v/>
      </c>
      <c r="S61" s="44">
        <f>IF(COUNTIF($R$6:$R$183,R61)&gt;1,"重复","唯一")</f>
        <v/>
      </c>
      <c r="T61" s="57" t="inlineStr">
        <is>
          <t>49b0d1472ce6ce56490ed2ec1c2eae126d29e51728c314a1257736d2a9265d24</t>
        </is>
      </c>
      <c r="U61" s="57" t="inlineStr">
        <is>
          <t>Codex sound design</t>
        </is>
      </c>
      <c r="V61" s="58" t="n">
        <v>46314</v>
      </c>
      <c r="W61" s="44" t="inlineStr">
        <is>
          <t>https://opengameart.org/content/the-free-firearm-sound-library | Ben Jaszczak, Brian Nelson, Kevin Heras, Matthew Nanney | CC0-1.0; edited recording; OpenSpades free pak distribution</t>
        </is>
      </c>
      <c r="X61" s="56" t="inlineStr">
        <is>
          <t>art_source/audio/sfx/AUD-SFX-SMG-FIRE-VAR03/source/smg_fire_alt03_v003.wav</t>
        </is>
      </c>
      <c r="Y61" s="44" t="inlineStr">
        <is>
          <t>已接入 weapon_profiles；自动资源/正式路由/真实播放器验收通过；人工听感与Android待验；verify_audio_library_flow；docs/v0.1/development/2026-10-19_weapon_audio_profiles.md</t>
        </is>
      </c>
    </row>
    <row r="62" ht="15" customHeight="1" s="33">
      <c r="A62" s="57" t="inlineStr">
        <is>
          <t>AUD-SFX-SNIPER-FIRE-VAR02</t>
        </is>
      </c>
      <c r="B62" s="44" t="inlineStr">
        <is>
          <t>狙击枪开火（变体02）</t>
        </is>
      </c>
      <c r="C62" s="44" t="inlineStr">
        <is>
          <t>音效</t>
        </is>
      </c>
      <c r="D62" s="57" t="inlineStr">
        <is>
          <t>sfx</t>
        </is>
      </c>
      <c r="E62" s="57" t="inlineStr">
        <is>
          <t>sniper_fire</t>
        </is>
      </c>
      <c r="F62" s="57" t="inlineStr">
        <is>
          <t>var02</t>
        </is>
      </c>
      <c r="G62" s="44" t="inlineStr">
        <is>
          <t>AUD-SFX-SNIPER-FIRE</t>
        </is>
      </c>
      <c r="H62" s="44" t="inlineStr">
        <is>
          <t>不适用</t>
        </is>
      </c>
      <c r="I62" s="57" t="inlineStr">
        <is>
          <t>variant_02</t>
        </is>
      </c>
      <c r="J62" s="44" t="inlineStr">
        <is>
          <t>枪种=狙击枪；枪身=bp_sniper；动作=fire；事件=combat.weapon.fire.sniper</t>
        </is>
      </c>
      <c r="K62" s="44" t="inlineStr">
        <is>
          <t>原型已接入</t>
        </is>
      </c>
      <c r="L62" s="57" t="inlineStr">
        <is>
          <t>P1</t>
        </is>
      </c>
      <c r="M62" s="57" t="inlineStr">
        <is>
          <t>v004</t>
        </is>
      </c>
      <c r="N62" s="57" t="inlineStr">
        <is>
          <t>44100Hz / mono / PCM24 master / Vorbis q6 / 0.850000s</t>
        </is>
      </c>
      <c r="O62" s="57" t="inlineStr">
        <is>
          <t>src/assets/audio/sfx/sniper_fire_alt02_v004.ogg</t>
        </is>
      </c>
      <c r="P62" s="57" t="inlineStr">
        <is>
          <t>art_source/audio/sfx/AUD-SFX-SNIPER-FIRE-VAR02/source/sniper_fire_alt02_v004.wav</t>
        </is>
      </c>
      <c r="Q62" s="57" t="inlineStr">
        <is>
          <t>sniper_fire；bp_sniper</t>
        </is>
      </c>
      <c r="R62" s="44">
        <f>LOWER(TRIM(C62)&amp;"|"&amp;TRIM(D62)&amp;"|"&amp;TRIM(E62)&amp;"|"&amp;TRIM(F62)&amp;"|"&amp;TRIM(H62)&amp;"|"&amp;TRIM(I62))</f>
        <v/>
      </c>
      <c r="S62" s="44">
        <f>IF(COUNTIF($R$6:$R$183,R62)&gt;1,"重复","唯一")</f>
        <v/>
      </c>
      <c r="T62" s="57" t="inlineStr">
        <is>
          <t>90c285e2a15a7aaeee068524c44eccb854270324715989bdc991e85f6a7d637f</t>
        </is>
      </c>
      <c r="U62" s="57" t="inlineStr">
        <is>
          <t>Codex recording edit</t>
        </is>
      </c>
      <c r="V62" s="58" t="n">
        <v>46314</v>
      </c>
      <c r="W62" s="44" t="inlineStr">
        <is>
          <t>https://opengameart.org/content/gunshot-sounds | Vincent Sevedge / Tabasco | CC-BY-3.0 (archive notice; page also offers CC0; retain stricter attribution)</t>
        </is>
      </c>
      <c r="X62" s="56" t="inlineStr">
        <is>
          <t>art_source/audio/sfx/AUD-SFX-SNIPER-FIRE-VAR02/source/sniper_fire_alt02_v004.wav</t>
        </is>
      </c>
      <c r="Y62" s="44" t="inlineStr">
        <is>
          <t>已接入 weapon_profiles；自动资源/正式路由/真实播放器验收通过；人工听感与Android待验；verify_audio_library_flow；docs/v0.1/development/2026-10-19_weapon_audio_profiles.md</t>
        </is>
      </c>
    </row>
    <row r="63" ht="15" customHeight="1" s="33">
      <c r="A63" s="57" t="inlineStr">
        <is>
          <t>AUD-SFX-SNIPER-FIRE-VAR03</t>
        </is>
      </c>
      <c r="B63" s="44" t="inlineStr">
        <is>
          <t>狙击枪开火（变体03）</t>
        </is>
      </c>
      <c r="C63" s="44" t="inlineStr">
        <is>
          <t>音效</t>
        </is>
      </c>
      <c r="D63" s="57" t="inlineStr">
        <is>
          <t>sfx</t>
        </is>
      </c>
      <c r="E63" s="57" t="inlineStr">
        <is>
          <t>sniper_fire</t>
        </is>
      </c>
      <c r="F63" s="57" t="inlineStr">
        <is>
          <t>var03</t>
        </is>
      </c>
      <c r="G63" s="44" t="inlineStr">
        <is>
          <t>AUD-SFX-SNIPER-FIRE</t>
        </is>
      </c>
      <c r="H63" s="44" t="inlineStr">
        <is>
          <t>不适用</t>
        </is>
      </c>
      <c r="I63" s="57" t="inlineStr">
        <is>
          <t>variant_03</t>
        </is>
      </c>
      <c r="J63" s="44" t="inlineStr">
        <is>
          <t>枪种=狙击枪；枪身=bp_sniper；动作=fire；事件=combat.weapon.fire.sniper</t>
        </is>
      </c>
      <c r="K63" s="44" t="inlineStr">
        <is>
          <t>原型已接入</t>
        </is>
      </c>
      <c r="L63" s="57" t="inlineStr">
        <is>
          <t>P1</t>
        </is>
      </c>
      <c r="M63" s="57" t="inlineStr">
        <is>
          <t>v004</t>
        </is>
      </c>
      <c r="N63" s="57" t="inlineStr">
        <is>
          <t>44100Hz / mono / PCM24 master / Vorbis q6 / 0.850000s</t>
        </is>
      </c>
      <c r="O63" s="57" t="inlineStr">
        <is>
          <t>src/assets/audio/sfx/sniper_fire_alt03_v004.ogg</t>
        </is>
      </c>
      <c r="P63" s="57" t="inlineStr">
        <is>
          <t>art_source/audio/sfx/AUD-SFX-SNIPER-FIRE-VAR03/source/sniper_fire_alt03_v004.wav</t>
        </is>
      </c>
      <c r="Q63" s="57" t="inlineStr">
        <is>
          <t>sniper_fire；bp_sniper</t>
        </is>
      </c>
      <c r="R63" s="44">
        <f>LOWER(TRIM(C63)&amp;"|"&amp;TRIM(D63)&amp;"|"&amp;TRIM(E63)&amp;"|"&amp;TRIM(F63)&amp;"|"&amp;TRIM(H63)&amp;"|"&amp;TRIM(I63))</f>
        <v/>
      </c>
      <c r="S63" s="44">
        <f>IF(COUNTIF($R$6:$R$183,R63)&gt;1,"重复","唯一")</f>
        <v/>
      </c>
      <c r="T63" s="57" t="inlineStr">
        <is>
          <t>4ba6022aab7637d65df8039dd558501c178a84b528d1a9a9213b4dfb7f583a10</t>
        </is>
      </c>
      <c r="U63" s="57" t="inlineStr">
        <is>
          <t>Codex recording edit</t>
        </is>
      </c>
      <c r="V63" s="58" t="n">
        <v>46314</v>
      </c>
      <c r="W63" s="44" t="inlineStr">
        <is>
          <t>https://opengameart.org/content/gunshot-sounds | Vincent Sevedge / Tabasco | CC-BY-3.0 (archive notice; page also offers CC0; retain stricter attribution)</t>
        </is>
      </c>
      <c r="X63" s="56" t="inlineStr">
        <is>
          <t>art_source/audio/sfx/AUD-SFX-SNIPER-FIRE-VAR03/source/sniper_fire_alt03_v004.wav</t>
        </is>
      </c>
      <c r="Y63" s="44" t="inlineStr">
        <is>
          <t>已接入 weapon_profiles；自动资源/正式路由/真实播放器验收通过；人工听感与Android待验；verify_audio_library_flow；docs/v0.1/development/2026-10-19_weapon_audio_profiles.md</t>
        </is>
      </c>
    </row>
    <row r="64" ht="15" customHeight="1" s="33">
      <c r="A64" s="57" t="inlineStr">
        <is>
          <t>AUD-SFX-LASER-FIRE-VAR02</t>
        </is>
      </c>
      <c r="B64" s="44" t="inlineStr">
        <is>
          <t>蓄力炮开火（变体02）</t>
        </is>
      </c>
      <c r="C64" s="44" t="inlineStr">
        <is>
          <t>音效</t>
        </is>
      </c>
      <c r="D64" s="57" t="inlineStr">
        <is>
          <t>sfx</t>
        </is>
      </c>
      <c r="E64" s="57" t="inlineStr">
        <is>
          <t>laser_fire</t>
        </is>
      </c>
      <c r="F64" s="57" t="inlineStr">
        <is>
          <t>var02</t>
        </is>
      </c>
      <c r="G64" s="44" t="inlineStr">
        <is>
          <t>AUD-SFX-LASER-FIRE</t>
        </is>
      </c>
      <c r="H64" s="44" t="inlineStr">
        <is>
          <t>不适用</t>
        </is>
      </c>
      <c r="I64" s="57" t="inlineStr">
        <is>
          <t>variant_02</t>
        </is>
      </c>
      <c r="J64" s="44" t="inlineStr">
        <is>
          <t>枪种=蓄力炮；枪身=bp_charge；动作=fire；事件=combat.weapon.fire_energy</t>
        </is>
      </c>
      <c r="K64" s="44" t="inlineStr">
        <is>
          <t>原型已接入</t>
        </is>
      </c>
      <c r="L64" s="57" t="inlineStr">
        <is>
          <t>P1</t>
        </is>
      </c>
      <c r="M64" s="57" t="inlineStr">
        <is>
          <t>v004</t>
        </is>
      </c>
      <c r="N64" s="57" t="inlineStr">
        <is>
          <t>44100Hz / mono / PCM24 master / Vorbis q6 / 0.900000s</t>
        </is>
      </c>
      <c r="O64" s="57" t="inlineStr">
        <is>
          <t>src/assets/audio/sfx/laser_fire_alt02_v004.ogg</t>
        </is>
      </c>
      <c r="P64" s="57" t="inlineStr">
        <is>
          <t>art_source/audio/sfx/AUD-SFX-LASER-FIRE-VAR02/source/laser_fire_alt02_v004.wav</t>
        </is>
      </c>
      <c r="Q64" s="57" t="inlineStr">
        <is>
          <t>laser_fire；bp_charge</t>
        </is>
      </c>
      <c r="R64" s="44">
        <f>LOWER(TRIM(C64)&amp;"|"&amp;TRIM(D64)&amp;"|"&amp;TRIM(E64)&amp;"|"&amp;TRIM(F64)&amp;"|"&amp;TRIM(H64)&amp;"|"&amp;TRIM(I64))</f>
        <v/>
      </c>
      <c r="S64" s="44">
        <f>IF(COUNTIF($R$6:$R$183,R64)&gt;1,"重复","唯一")</f>
        <v/>
      </c>
      <c r="T64" s="57" t="inlineStr">
        <is>
          <t>2c58175b62e76afeffec820f35aad882d107ba1482acd8dd99727e235be87f83</t>
        </is>
      </c>
      <c r="U64" s="57" t="inlineStr">
        <is>
          <t>Codex recording edit</t>
        </is>
      </c>
      <c r="V64" s="58" t="n">
        <v>46314</v>
      </c>
      <c r="W64" s="44" t="inlineStr">
        <is>
          <t>https://opengameart.org/content/gun-reload-sounds | SpringySpringo; https://opengameart.org/content/gunshot-sounds | Vincent Sevedge / Tabasco | CC-BY-3.0 (archive notice; page also offers CC0; retain stricter attribution); CC0-1.0</t>
        </is>
      </c>
      <c r="X64" s="56" t="inlineStr">
        <is>
          <t>art_source/audio/sfx/AUD-SFX-LASER-FIRE-VAR02/source/laser_fire_alt02_v004.wav</t>
        </is>
      </c>
      <c r="Y64" s="44" t="inlineStr">
        <is>
          <t>已接入 weapon_profiles；自动资源/正式路由/真实播放器验收通过；人工听感与Android待验；verify_audio_library_flow；docs/v0.1/development/2026-10-19_weapon_audio_profiles.md</t>
        </is>
      </c>
    </row>
    <row r="65" ht="15" customHeight="1" s="33">
      <c r="A65" s="57" t="inlineStr">
        <is>
          <t>AUD-SFX-LASER-FIRE-VAR03</t>
        </is>
      </c>
      <c r="B65" s="44" t="inlineStr">
        <is>
          <t>蓄力炮开火（变体03）</t>
        </is>
      </c>
      <c r="C65" s="44" t="inlineStr">
        <is>
          <t>音效</t>
        </is>
      </c>
      <c r="D65" s="57" t="inlineStr">
        <is>
          <t>sfx</t>
        </is>
      </c>
      <c r="E65" s="57" t="inlineStr">
        <is>
          <t>laser_fire</t>
        </is>
      </c>
      <c r="F65" s="57" t="inlineStr">
        <is>
          <t>var03</t>
        </is>
      </c>
      <c r="G65" s="44" t="inlineStr">
        <is>
          <t>AUD-SFX-LASER-FIRE</t>
        </is>
      </c>
      <c r="H65" s="44" t="inlineStr">
        <is>
          <t>不适用</t>
        </is>
      </c>
      <c r="I65" s="57" t="inlineStr">
        <is>
          <t>variant_03</t>
        </is>
      </c>
      <c r="J65" s="44" t="inlineStr">
        <is>
          <t>枪种=蓄力炮；枪身=bp_charge；动作=fire；事件=combat.weapon.fire_energy</t>
        </is>
      </c>
      <c r="K65" s="44" t="inlineStr">
        <is>
          <t>原型已接入</t>
        </is>
      </c>
      <c r="L65" s="57" t="inlineStr">
        <is>
          <t>P1</t>
        </is>
      </c>
      <c r="M65" s="57" t="inlineStr">
        <is>
          <t>v004</t>
        </is>
      </c>
      <c r="N65" s="57" t="inlineStr">
        <is>
          <t>44100Hz / mono / PCM24 master / Vorbis q6 / 0.900000s</t>
        </is>
      </c>
      <c r="O65" s="57" t="inlineStr">
        <is>
          <t>src/assets/audio/sfx/laser_fire_alt03_v004.ogg</t>
        </is>
      </c>
      <c r="P65" s="57" t="inlineStr">
        <is>
          <t>art_source/audio/sfx/AUD-SFX-LASER-FIRE-VAR03/source/laser_fire_alt03_v004.wav</t>
        </is>
      </c>
      <c r="Q65" s="57" t="inlineStr">
        <is>
          <t>laser_fire；bp_charge</t>
        </is>
      </c>
      <c r="R65" s="44">
        <f>LOWER(TRIM(C65)&amp;"|"&amp;TRIM(D65)&amp;"|"&amp;TRIM(E65)&amp;"|"&amp;TRIM(F65)&amp;"|"&amp;TRIM(H65)&amp;"|"&amp;TRIM(I65))</f>
        <v/>
      </c>
      <c r="S65" s="44">
        <f>IF(COUNTIF($R$6:$R$183,R65)&gt;1,"重复","唯一")</f>
        <v/>
      </c>
      <c r="T65" s="57" t="inlineStr">
        <is>
          <t>64400cf67e8b9e262a5732dade7dfed50488abc2fd0e5db1d64aaa9ed7cba910</t>
        </is>
      </c>
      <c r="U65" s="57" t="inlineStr">
        <is>
          <t>Codex recording edit</t>
        </is>
      </c>
      <c r="V65" s="58" t="n">
        <v>46314</v>
      </c>
      <c r="W65" s="44" t="inlineStr">
        <is>
          <t>https://opengameart.org/content/gun-reload-sounds | SpringySpringo; https://opengameart.org/content/gunshot-sounds | Vincent Sevedge / Tabasco | CC-BY-3.0 (archive notice; page also offers CC0; retain stricter attribution); CC0-1.0</t>
        </is>
      </c>
      <c r="X65" s="56" t="inlineStr">
        <is>
          <t>art_source/audio/sfx/AUD-SFX-LASER-FIRE-VAR03/source/laser_fire_alt03_v004.wav</t>
        </is>
      </c>
      <c r="Y65" s="44" t="inlineStr">
        <is>
          <t>已接入 weapon_profiles；自动资源/正式路由/真实播放器验收通过；人工听感与Android待验；verify_audio_library_flow；docs/v0.1/development/2026-10-19_weapon_audio_profiles.md</t>
        </is>
      </c>
    </row>
    <row r="66" ht="15" customHeight="1" s="33">
      <c r="A66" s="57" t="inlineStr">
        <is>
          <t>AUD-SFX-ENEMY-HIT-VAR02</t>
        </is>
      </c>
      <c r="B66" s="44" t="inlineStr">
        <is>
          <t>敌人受击 变体2</t>
        </is>
      </c>
      <c r="C66" s="44" t="inlineStr">
        <is>
          <t>音效</t>
        </is>
      </c>
      <c r="D66" s="57" t="inlineStr">
        <is>
          <t>sfx</t>
        </is>
      </c>
      <c r="E66" s="57" t="inlineStr">
        <is>
          <t>enemy_hit</t>
        </is>
      </c>
      <c r="F66" s="57" t="inlineStr">
        <is>
          <t>root</t>
        </is>
      </c>
      <c r="G66" s="44" t="inlineStr">
        <is>
          <t>AUD-SFX-ENEMY-HIT</t>
        </is>
      </c>
      <c r="H66" s="44" t="inlineStr">
        <is>
          <t>不适用</t>
        </is>
      </c>
      <c r="I66" s="57" t="inlineStr">
        <is>
          <t>variant_02</t>
        </is>
      </c>
      <c r="J66" s="44" t="inlineStr">
        <is>
          <t>enemy.hit</t>
        </is>
      </c>
      <c r="K66" s="44" t="inlineStr">
        <is>
          <t>原型已接入</t>
        </is>
      </c>
      <c r="L66" s="57" t="inlineStr">
        <is>
          <t>P2</t>
        </is>
      </c>
      <c r="M66" s="57" t="inlineStr">
        <is>
          <t>v003</t>
        </is>
      </c>
      <c r="N66" s="57" t="inlineStr">
        <is>
          <t>44100Hz / mono / PCM24 master / Vorbis q6 / 0.36s</t>
        </is>
      </c>
      <c r="O66" s="57" t="inlineStr">
        <is>
          <t>src/assets/audio/sfx/enemy_hit_alt02_v003.ogg</t>
        </is>
      </c>
      <c r="P66" s="57" t="inlineStr">
        <is>
          <t>art_source/audio/sfx/AUD-SFX-ENEMY-HIT-VAR02/source/enemy_hit_alt02_v003.wav</t>
        </is>
      </c>
      <c r="Q66" s="57" t="inlineStr">
        <is>
          <t>enemy_hit</t>
        </is>
      </c>
      <c r="R66" s="44">
        <f>LOWER(TRIM(C66)&amp;"|"&amp;TRIM(D66)&amp;"|"&amp;TRIM(E66)&amp;"|"&amp;TRIM(F66)&amp;"|"&amp;TRIM(H66)&amp;"|"&amp;TRIM(I66))</f>
        <v/>
      </c>
      <c r="S66" s="44">
        <f>IF(COUNTIF($R$6:$R$183,R66)&gt;1,"重复","唯一")</f>
        <v/>
      </c>
      <c r="T66" s="57" t="inlineStr">
        <is>
          <t>f45cc790cd1e5836880aad5a19d09de33b1002bdfaf6d321644dd25a12421d85</t>
        </is>
      </c>
      <c r="U66" s="57" t="inlineStr">
        <is>
          <t>Codex sound design</t>
        </is>
      </c>
      <c r="V66" s="58" t="n">
        <v>46314</v>
      </c>
      <c r="W66" s="44" t="inlineStr">
        <is>
          <t>https://freesound.org/people/magnuswaker/sounds/522091/ | magnuswaker; https://kenney.nl/assets/impact-sounds | Kenney | CC0; CC0-1.0</t>
        </is>
      </c>
      <c r="X66" s="56" t="inlineStr">
        <is>
          <t>art_source/audio/sfx/AUD-SFX-ENEMY-HIT-VAR02/source/enemy_hit_alt02_v003.wav</t>
        </is>
      </c>
      <c r="Y66" s="44" t="inlineStr">
        <is>
          <t>自然材质/录音替换；已接入；人工听感及Android待验；verify_audio_library_flow；docs/v0.1/development/2026-10-19_natural_world_audio.md</t>
        </is>
      </c>
    </row>
    <row r="67" ht="15" customHeight="1" s="33">
      <c r="A67" s="57" t="inlineStr">
        <is>
          <t>AUD-SFX-ENEMY-HIT-VAR03</t>
        </is>
      </c>
      <c r="B67" s="44" t="inlineStr">
        <is>
          <t>敌人受击 变体3</t>
        </is>
      </c>
      <c r="C67" s="44" t="inlineStr">
        <is>
          <t>音效</t>
        </is>
      </c>
      <c r="D67" s="57" t="inlineStr">
        <is>
          <t>sfx</t>
        </is>
      </c>
      <c r="E67" s="57" t="inlineStr">
        <is>
          <t>enemy_hit</t>
        </is>
      </c>
      <c r="F67" s="57" t="inlineStr">
        <is>
          <t>root</t>
        </is>
      </c>
      <c r="G67" s="44" t="inlineStr">
        <is>
          <t>AUD-SFX-ENEMY-HIT</t>
        </is>
      </c>
      <c r="H67" s="44" t="inlineStr">
        <is>
          <t>不适用</t>
        </is>
      </c>
      <c r="I67" s="57" t="inlineStr">
        <is>
          <t>variant_03</t>
        </is>
      </c>
      <c r="J67" s="44" t="inlineStr">
        <is>
          <t>enemy.hit</t>
        </is>
      </c>
      <c r="K67" s="44" t="inlineStr">
        <is>
          <t>原型已接入</t>
        </is>
      </c>
      <c r="L67" s="57" t="inlineStr">
        <is>
          <t>P2</t>
        </is>
      </c>
      <c r="M67" s="57" t="inlineStr">
        <is>
          <t>v003</t>
        </is>
      </c>
      <c r="N67" s="57" t="inlineStr">
        <is>
          <t>44100Hz / mono / PCM24 master / Vorbis q6 / 0.36s</t>
        </is>
      </c>
      <c r="O67" s="57" t="inlineStr">
        <is>
          <t>src/assets/audio/sfx/enemy_hit_alt03_v003.ogg</t>
        </is>
      </c>
      <c r="P67" s="57" t="inlineStr">
        <is>
          <t>art_source/audio/sfx/AUD-SFX-ENEMY-HIT-VAR03/source/enemy_hit_alt03_v003.wav</t>
        </is>
      </c>
      <c r="Q67" s="57" t="inlineStr">
        <is>
          <t>enemy_hit</t>
        </is>
      </c>
      <c r="R67" s="44">
        <f>LOWER(TRIM(C67)&amp;"|"&amp;TRIM(D67)&amp;"|"&amp;TRIM(E67)&amp;"|"&amp;TRIM(F67)&amp;"|"&amp;TRIM(H67)&amp;"|"&amp;TRIM(I67))</f>
        <v/>
      </c>
      <c r="S67" s="44">
        <f>IF(COUNTIF($R$6:$R$183,R67)&gt;1,"重复","唯一")</f>
        <v/>
      </c>
      <c r="T67" s="57" t="inlineStr">
        <is>
          <t>a23931de5f876c485f5fa90e821396a98a903c9b32c4eab37660c8acec61e84c</t>
        </is>
      </c>
      <c r="U67" s="57" t="inlineStr">
        <is>
          <t>Codex sound design</t>
        </is>
      </c>
      <c r="V67" s="58" t="n">
        <v>46314</v>
      </c>
      <c r="W67" s="44" t="inlineStr">
        <is>
          <t>https://freesound.org/people/satanicupsman/sounds/144015/ | satanicupsman; https://kenney.nl/assets/impact-sounds | Kenney | CC0; CC0-1.0</t>
        </is>
      </c>
      <c r="X67" s="56" t="inlineStr">
        <is>
          <t>art_source/audio/sfx/AUD-SFX-ENEMY-HIT-VAR03/source/enemy_hit_alt03_v003.wav</t>
        </is>
      </c>
      <c r="Y67" s="44" t="inlineStr">
        <is>
          <t>自然材质/录音替换；已接入；人工听感及Android待验；verify_audio_library_flow；docs/v0.1/development/2026-10-19_natural_world_audio.md</t>
        </is>
      </c>
    </row>
    <row r="68" ht="15" customHeight="1" s="33">
      <c r="A68" s="57" t="inlineStr">
        <is>
          <t>AUD-SFX-ENEMY-DIE-VAR02</t>
        </is>
      </c>
      <c r="B68" s="44" t="inlineStr">
        <is>
          <t>敌人死亡 变体2</t>
        </is>
      </c>
      <c r="C68" s="44" t="inlineStr">
        <is>
          <t>音效</t>
        </is>
      </c>
      <c r="D68" s="57" t="inlineStr">
        <is>
          <t>sfx</t>
        </is>
      </c>
      <c r="E68" s="57" t="inlineStr">
        <is>
          <t>enemy_die</t>
        </is>
      </c>
      <c r="F68" s="57" t="inlineStr">
        <is>
          <t>root</t>
        </is>
      </c>
      <c r="G68" s="44" t="inlineStr">
        <is>
          <t>AUD-SFX-ENEMY-DIE</t>
        </is>
      </c>
      <c r="H68" s="44" t="inlineStr">
        <is>
          <t>不适用</t>
        </is>
      </c>
      <c r="I68" s="57" t="inlineStr">
        <is>
          <t>variant_02</t>
        </is>
      </c>
      <c r="J68" s="44" t="inlineStr">
        <is>
          <t>enemy.death</t>
        </is>
      </c>
      <c r="K68" s="44" t="inlineStr">
        <is>
          <t>原型已接入</t>
        </is>
      </c>
      <c r="L68" s="57" t="inlineStr">
        <is>
          <t>P2</t>
        </is>
      </c>
      <c r="M68" s="57" t="inlineStr">
        <is>
          <t>v003</t>
        </is>
      </c>
      <c r="N68" s="57" t="inlineStr">
        <is>
          <t>44100Hz / mono / PCM24 master / Vorbis q6 / 1.0s</t>
        </is>
      </c>
      <c r="O68" s="57" t="inlineStr">
        <is>
          <t>src/assets/audio/sfx/enemy_die_alt02_v003.ogg</t>
        </is>
      </c>
      <c r="P68" s="57" t="inlineStr">
        <is>
          <t>art_source/audio/sfx/AUD-SFX-ENEMY-DIE-VAR02/source/enemy_die_alt02_v003.wav</t>
        </is>
      </c>
      <c r="Q68" s="57" t="inlineStr">
        <is>
          <t>enemy_die</t>
        </is>
      </c>
      <c r="R68" s="44">
        <f>LOWER(TRIM(C68)&amp;"|"&amp;TRIM(D68)&amp;"|"&amp;TRIM(E68)&amp;"|"&amp;TRIM(F68)&amp;"|"&amp;TRIM(H68)&amp;"|"&amp;TRIM(I68))</f>
        <v/>
      </c>
      <c r="S68" s="44">
        <f>IF(COUNTIF($R$6:$R$183,R68)&gt;1,"重复","唯一")</f>
        <v/>
      </c>
      <c r="T68" s="57" t="inlineStr">
        <is>
          <t>7e4e19ed2986aa309959e490b22d52ae0f6bdf006559b1d71ca6df6655c5d437</t>
        </is>
      </c>
      <c r="U68" s="57" t="inlineStr">
        <is>
          <t>Codex sound design</t>
        </is>
      </c>
      <c r="V68" s="58" t="n">
        <v>46314</v>
      </c>
      <c r="W68" s="44" t="inlineStr">
        <is>
          <t>https://kenney.nl/assets/impact-sounds | Kenney; https://opengameart.org/content/16-monster-growls | StarNinjas | CC0-1.0</t>
        </is>
      </c>
      <c r="X68" s="56" t="inlineStr">
        <is>
          <t>art_source/audio/sfx/AUD-SFX-ENEMY-DIE-VAR02/source/enemy_die_alt02_v003.wav</t>
        </is>
      </c>
      <c r="Y68" s="44" t="inlineStr">
        <is>
          <t>自然材质/录音替换；已接入；人工听感及Android待验；verify_audio_library_flow；docs/v0.1/development/2026-10-19_natural_world_audio.md</t>
        </is>
      </c>
    </row>
    <row r="69" ht="15" customHeight="1" s="33">
      <c r="A69" s="57" t="inlineStr">
        <is>
          <t>AUD-SFX-ENEMY-DIE-VAR03</t>
        </is>
      </c>
      <c r="B69" s="44" t="inlineStr">
        <is>
          <t>敌人死亡 变体3</t>
        </is>
      </c>
      <c r="C69" s="44" t="inlineStr">
        <is>
          <t>音效</t>
        </is>
      </c>
      <c r="D69" s="57" t="inlineStr">
        <is>
          <t>sfx</t>
        </is>
      </c>
      <c r="E69" s="57" t="inlineStr">
        <is>
          <t>enemy_die</t>
        </is>
      </c>
      <c r="F69" s="57" t="inlineStr">
        <is>
          <t>root</t>
        </is>
      </c>
      <c r="G69" s="44" t="inlineStr">
        <is>
          <t>AUD-SFX-ENEMY-DIE</t>
        </is>
      </c>
      <c r="H69" s="44" t="inlineStr">
        <is>
          <t>不适用</t>
        </is>
      </c>
      <c r="I69" s="57" t="inlineStr">
        <is>
          <t>variant_03</t>
        </is>
      </c>
      <c r="J69" s="44" t="inlineStr">
        <is>
          <t>enemy.death</t>
        </is>
      </c>
      <c r="K69" s="44" t="inlineStr">
        <is>
          <t>原型已接入</t>
        </is>
      </c>
      <c r="L69" s="57" t="inlineStr">
        <is>
          <t>P2</t>
        </is>
      </c>
      <c r="M69" s="57" t="inlineStr">
        <is>
          <t>v003</t>
        </is>
      </c>
      <c r="N69" s="57" t="inlineStr">
        <is>
          <t>44100Hz / mono / PCM24 master / Vorbis q6 / 1.0s</t>
        </is>
      </c>
      <c r="O69" s="57" t="inlineStr">
        <is>
          <t>src/assets/audio/sfx/enemy_die_alt03_v003.ogg</t>
        </is>
      </c>
      <c r="P69" s="57" t="inlineStr">
        <is>
          <t>art_source/audio/sfx/AUD-SFX-ENEMY-DIE-VAR03/source/enemy_die_alt03_v003.wav</t>
        </is>
      </c>
      <c r="Q69" s="57" t="inlineStr">
        <is>
          <t>enemy_die</t>
        </is>
      </c>
      <c r="R69" s="44">
        <f>LOWER(TRIM(C69)&amp;"|"&amp;TRIM(D69)&amp;"|"&amp;TRIM(E69)&amp;"|"&amp;TRIM(F69)&amp;"|"&amp;TRIM(H69)&amp;"|"&amp;TRIM(I69))</f>
        <v/>
      </c>
      <c r="S69" s="44">
        <f>IF(COUNTIF($R$6:$R$183,R69)&gt;1,"重复","唯一")</f>
        <v/>
      </c>
      <c r="T69" s="57" t="inlineStr">
        <is>
          <t>f223b3064e68a39624c39385b623dae0b7fbfb9627e7f48546479f64e942baa5</t>
        </is>
      </c>
      <c r="U69" s="57" t="inlineStr">
        <is>
          <t>Codex sound design</t>
        </is>
      </c>
      <c r="V69" s="58" t="n">
        <v>46314</v>
      </c>
      <c r="W69" s="44" t="inlineStr">
        <is>
          <t>https://kenney.nl/assets/impact-sounds | Kenney; https://opengameart.org/content/16-monster-growls | StarNinjas | CC0-1.0</t>
        </is>
      </c>
      <c r="X69" s="56" t="inlineStr">
        <is>
          <t>art_source/audio/sfx/AUD-SFX-ENEMY-DIE-VAR03/source/enemy_die_alt03_v003.wav</t>
        </is>
      </c>
      <c r="Y69" s="44" t="inlineStr">
        <is>
          <t>自然材质/录音替换；已接入；人工听感及Android待验；verify_audio_library_flow；docs/v0.1/development/2026-10-19_natural_world_audio.md</t>
        </is>
      </c>
    </row>
    <row r="70" ht="15" customHeight="1" s="33">
      <c r="A70" s="57" t="inlineStr">
        <is>
          <t>AUD-SFX-PLAYER-HIT-VAR02</t>
        </is>
      </c>
      <c r="B70" s="44" t="inlineStr">
        <is>
          <t>玩家受伤 变体2</t>
        </is>
      </c>
      <c r="C70" s="44" t="inlineStr">
        <is>
          <t>音效</t>
        </is>
      </c>
      <c r="D70" s="57" t="inlineStr">
        <is>
          <t>sfx</t>
        </is>
      </c>
      <c r="E70" s="57" t="inlineStr">
        <is>
          <t>player_hit</t>
        </is>
      </c>
      <c r="F70" s="57" t="inlineStr">
        <is>
          <t>root</t>
        </is>
      </c>
      <c r="G70" s="44" t="inlineStr">
        <is>
          <t>AUD-SFX-PLAYER-HIT</t>
        </is>
      </c>
      <c r="H70" s="44" t="inlineStr">
        <is>
          <t>不适用</t>
        </is>
      </c>
      <c r="I70" s="57" t="inlineStr">
        <is>
          <t>variant_02</t>
        </is>
      </c>
      <c r="J70" s="44" t="inlineStr">
        <is>
          <t>player.hurt</t>
        </is>
      </c>
      <c r="K70" s="44" t="inlineStr">
        <is>
          <t>原型已接入</t>
        </is>
      </c>
      <c r="L70" s="57" t="inlineStr">
        <is>
          <t>P0</t>
        </is>
      </c>
      <c r="M70" s="57" t="inlineStr">
        <is>
          <t>v003</t>
        </is>
      </c>
      <c r="N70" s="57" t="inlineStr">
        <is>
          <t>44100Hz / mono / PCM24 master / Vorbis q6 / 0.55s</t>
        </is>
      </c>
      <c r="O70" s="57" t="inlineStr">
        <is>
          <t>src/assets/audio/sfx/player_hit_alt02_v003.ogg</t>
        </is>
      </c>
      <c r="P70" s="57" t="inlineStr">
        <is>
          <t>art_source/audio/sfx/AUD-SFX-PLAYER-HIT-VAR02/source/player_hit_alt02_v003.wav</t>
        </is>
      </c>
      <c r="Q70" s="57" t="inlineStr">
        <is>
          <t>player_hit</t>
        </is>
      </c>
      <c r="R70" s="44">
        <f>LOWER(TRIM(C70)&amp;"|"&amp;TRIM(D70)&amp;"|"&amp;TRIM(E70)&amp;"|"&amp;TRIM(F70)&amp;"|"&amp;TRIM(H70)&amp;"|"&amp;TRIM(I70))</f>
        <v/>
      </c>
      <c r="S70" s="44">
        <f>IF(COUNTIF($R$6:$R$183,R70)&gt;1,"重复","唯一")</f>
        <v/>
      </c>
      <c r="T70" s="57" t="inlineStr">
        <is>
          <t>40adb8e44b8562f2d091399d330eefe2cd06123e82fd7575c61dbbdb27487b76</t>
        </is>
      </c>
      <c r="U70" s="57" t="inlineStr">
        <is>
          <t>Codex sound design</t>
        </is>
      </c>
      <c r="V70" s="58" t="n">
        <v>46314</v>
      </c>
      <c r="W70" s="44" t="inlineStr">
        <is>
          <t>https://kenney.nl/assets/impact-sounds | Kenney; https://opengameart.org/content/male-gruntyelling-sounds | HaelDB | CC0-1.0</t>
        </is>
      </c>
      <c r="X70" s="56" t="inlineStr">
        <is>
          <t>art_source/audio/sfx/AUD-SFX-PLAYER-HIT-VAR02/source/player_hit_alt02_v003.wav</t>
        </is>
      </c>
      <c r="Y70" s="44" t="inlineStr">
        <is>
          <t>自然材质/录音替换；已接入；人工听感及Android待验；verify_audio_library_flow；docs/v0.1/development/2026-10-19_natural_world_audio.md</t>
        </is>
      </c>
    </row>
    <row r="71" ht="15" customHeight="1" s="33">
      <c r="A71" s="57" t="inlineStr">
        <is>
          <t>AUD-SFX-PLAYER-HIT-VAR03</t>
        </is>
      </c>
      <c r="B71" s="44" t="inlineStr">
        <is>
          <t>玩家受伤 变体3</t>
        </is>
      </c>
      <c r="C71" s="44" t="inlineStr">
        <is>
          <t>音效</t>
        </is>
      </c>
      <c r="D71" s="57" t="inlineStr">
        <is>
          <t>sfx</t>
        </is>
      </c>
      <c r="E71" s="57" t="inlineStr">
        <is>
          <t>player_hit</t>
        </is>
      </c>
      <c r="F71" s="57" t="inlineStr">
        <is>
          <t>root</t>
        </is>
      </c>
      <c r="G71" s="44" t="inlineStr">
        <is>
          <t>AUD-SFX-PLAYER-HIT</t>
        </is>
      </c>
      <c r="H71" s="44" t="inlineStr">
        <is>
          <t>不适用</t>
        </is>
      </c>
      <c r="I71" s="57" t="inlineStr">
        <is>
          <t>variant_03</t>
        </is>
      </c>
      <c r="J71" s="44" t="inlineStr">
        <is>
          <t>player.hurt</t>
        </is>
      </c>
      <c r="K71" s="44" t="inlineStr">
        <is>
          <t>原型已接入</t>
        </is>
      </c>
      <c r="L71" s="57" t="inlineStr">
        <is>
          <t>P0</t>
        </is>
      </c>
      <c r="M71" s="57" t="inlineStr">
        <is>
          <t>v003</t>
        </is>
      </c>
      <c r="N71" s="57" t="inlineStr">
        <is>
          <t>44100Hz / mono / PCM24 master / Vorbis q6 / 0.55s</t>
        </is>
      </c>
      <c r="O71" s="57" t="inlineStr">
        <is>
          <t>src/assets/audio/sfx/player_hit_alt03_v003.ogg</t>
        </is>
      </c>
      <c r="P71" s="57" t="inlineStr">
        <is>
          <t>art_source/audio/sfx/AUD-SFX-PLAYER-HIT-VAR03/source/player_hit_alt03_v003.wav</t>
        </is>
      </c>
      <c r="Q71" s="57" t="inlineStr">
        <is>
          <t>player_hit</t>
        </is>
      </c>
      <c r="R71" s="44">
        <f>LOWER(TRIM(C71)&amp;"|"&amp;TRIM(D71)&amp;"|"&amp;TRIM(E71)&amp;"|"&amp;TRIM(F71)&amp;"|"&amp;TRIM(H71)&amp;"|"&amp;TRIM(I71))</f>
        <v/>
      </c>
      <c r="S71" s="44">
        <f>IF(COUNTIF($R$6:$R$183,R71)&gt;1,"重复","唯一")</f>
        <v/>
      </c>
      <c r="T71" s="57" t="inlineStr">
        <is>
          <t>0f2c5bef737273aaecff02e09422afa8a7ed808df93f3c65e3430912e3c1094e</t>
        </is>
      </c>
      <c r="U71" s="57" t="inlineStr">
        <is>
          <t>Codex sound design</t>
        </is>
      </c>
      <c r="V71" s="58" t="n">
        <v>46314</v>
      </c>
      <c r="W71" s="44" t="inlineStr">
        <is>
          <t>https://kenney.nl/assets/impact-sounds | Kenney; https://opengameart.org/content/male-gruntyelling-sounds | HaelDB | CC0-1.0</t>
        </is>
      </c>
      <c r="X71" s="56" t="inlineStr">
        <is>
          <t>art_source/audio/sfx/AUD-SFX-PLAYER-HIT-VAR03/source/player_hit_alt03_v003.wav</t>
        </is>
      </c>
      <c r="Y71" s="44" t="inlineStr">
        <is>
          <t>自然材质/录音替换；已接入；人工听感及Android待验；verify_audio_library_flow；docs/v0.1/development/2026-10-19_natural_world_audio.md</t>
        </is>
      </c>
    </row>
    <row r="72" ht="15" customHeight="1" s="33">
      <c r="A72" s="57" t="inlineStr">
        <is>
          <t>AUD-SFX-PLAYER-DASH-VAR02</t>
        </is>
      </c>
      <c r="B72" s="44" t="inlineStr">
        <is>
          <t>玩家闪避 变体2</t>
        </is>
      </c>
      <c r="C72" s="44" t="inlineStr">
        <is>
          <t>音效</t>
        </is>
      </c>
      <c r="D72" s="57" t="inlineStr">
        <is>
          <t>sfx</t>
        </is>
      </c>
      <c r="E72" s="57" t="inlineStr">
        <is>
          <t>player_dash</t>
        </is>
      </c>
      <c r="F72" s="57" t="inlineStr">
        <is>
          <t>root</t>
        </is>
      </c>
      <c r="G72" s="44" t="inlineStr">
        <is>
          <t>AUD-SFX-PLAYER-DASH</t>
        </is>
      </c>
      <c r="H72" s="44" t="inlineStr">
        <is>
          <t>不适用</t>
        </is>
      </c>
      <c r="I72" s="57" t="inlineStr">
        <is>
          <t>variant_02</t>
        </is>
      </c>
      <c r="J72" s="44" t="inlineStr">
        <is>
          <t>player.dash</t>
        </is>
      </c>
      <c r="K72" s="44" t="inlineStr">
        <is>
          <t>原型已接入</t>
        </is>
      </c>
      <c r="L72" s="57" t="inlineStr">
        <is>
          <t>P2</t>
        </is>
      </c>
      <c r="M72" s="57" t="inlineStr">
        <is>
          <t>v003</t>
        </is>
      </c>
      <c r="N72" s="57" t="inlineStr">
        <is>
          <t>44100Hz / mono / PCM24 master / Vorbis q6 / 0.42s</t>
        </is>
      </c>
      <c r="O72" s="57" t="inlineStr">
        <is>
          <t>src/assets/audio/sfx/player_dash_alt02_v003.ogg</t>
        </is>
      </c>
      <c r="P72" s="57" t="inlineStr">
        <is>
          <t>art_source/audio/sfx/AUD-SFX-PLAYER-DASH-VAR02/source/player_dash_alt02_v003.wav</t>
        </is>
      </c>
      <c r="Q72" s="57" t="inlineStr">
        <is>
          <t>player_dash</t>
        </is>
      </c>
      <c r="R72" s="44">
        <f>LOWER(TRIM(C72)&amp;"|"&amp;TRIM(D72)&amp;"|"&amp;TRIM(E72)&amp;"|"&amp;TRIM(F72)&amp;"|"&amp;TRIM(H72)&amp;"|"&amp;TRIM(I72))</f>
        <v/>
      </c>
      <c r="S72" s="44">
        <f>IF(COUNTIF($R$6:$R$183,R72)&gt;1,"重复","唯一")</f>
        <v/>
      </c>
      <c r="T72" s="57" t="inlineStr">
        <is>
          <t>7a56cd7df3c5af7684671a45ffeefaac7280357d93f700fb6ef66857a49288c3</t>
        </is>
      </c>
      <c r="U72" s="57" t="inlineStr">
        <is>
          <t>Codex sound design</t>
        </is>
      </c>
      <c r="V72" s="58" t="n">
        <v>46314</v>
      </c>
      <c r="W72" s="44" t="inlineStr">
        <is>
          <t>https://kenney.nl/assets/rpg-audio | Kenney; https://opengameart.org/content/swish-bamboo-stick-weapon-swhoshes | Iwan Gabovitch | CC0; CC0-1.0</t>
        </is>
      </c>
      <c r="X72" s="56" t="inlineStr">
        <is>
          <t>art_source/audio/sfx/AUD-SFX-PLAYER-DASH-VAR02/source/player_dash_alt02_v003.wav</t>
        </is>
      </c>
      <c r="Y72" s="44" t="inlineStr">
        <is>
          <t>自然材质/录音替换；已接入；人工听感及Android待验；verify_audio_library_flow；docs/v0.1/development/2026-10-19_natural_world_audio.md</t>
        </is>
      </c>
    </row>
    <row r="73" ht="15" customHeight="1" s="33">
      <c r="A73" s="57" t="inlineStr">
        <is>
          <t>AUD-SFX-PLAYER-DASH-VAR03</t>
        </is>
      </c>
      <c r="B73" s="44" t="inlineStr">
        <is>
          <t>玩家闪避 变体3</t>
        </is>
      </c>
      <c r="C73" s="44" t="inlineStr">
        <is>
          <t>音效</t>
        </is>
      </c>
      <c r="D73" s="57" t="inlineStr">
        <is>
          <t>sfx</t>
        </is>
      </c>
      <c r="E73" s="57" t="inlineStr">
        <is>
          <t>player_dash</t>
        </is>
      </c>
      <c r="F73" s="57" t="inlineStr">
        <is>
          <t>root</t>
        </is>
      </c>
      <c r="G73" s="44" t="inlineStr">
        <is>
          <t>AUD-SFX-PLAYER-DASH</t>
        </is>
      </c>
      <c r="H73" s="44" t="inlineStr">
        <is>
          <t>不适用</t>
        </is>
      </c>
      <c r="I73" s="57" t="inlineStr">
        <is>
          <t>variant_03</t>
        </is>
      </c>
      <c r="J73" s="44" t="inlineStr">
        <is>
          <t>player.dash</t>
        </is>
      </c>
      <c r="K73" s="44" t="inlineStr">
        <is>
          <t>原型已接入</t>
        </is>
      </c>
      <c r="L73" s="57" t="inlineStr">
        <is>
          <t>P2</t>
        </is>
      </c>
      <c r="M73" s="57" t="inlineStr">
        <is>
          <t>v003</t>
        </is>
      </c>
      <c r="N73" s="57" t="inlineStr">
        <is>
          <t>44100Hz / mono / PCM24 master / Vorbis q6 / 0.42s</t>
        </is>
      </c>
      <c r="O73" s="57" t="inlineStr">
        <is>
          <t>src/assets/audio/sfx/player_dash_alt03_v003.ogg</t>
        </is>
      </c>
      <c r="P73" s="57" t="inlineStr">
        <is>
          <t>art_source/audio/sfx/AUD-SFX-PLAYER-DASH-VAR03/source/player_dash_alt03_v003.wav</t>
        </is>
      </c>
      <c r="Q73" s="57" t="inlineStr">
        <is>
          <t>player_dash</t>
        </is>
      </c>
      <c r="R73" s="44">
        <f>LOWER(TRIM(C73)&amp;"|"&amp;TRIM(D73)&amp;"|"&amp;TRIM(E73)&amp;"|"&amp;TRIM(F73)&amp;"|"&amp;TRIM(H73)&amp;"|"&amp;TRIM(I73))</f>
        <v/>
      </c>
      <c r="S73" s="44">
        <f>IF(COUNTIF($R$6:$R$183,R73)&gt;1,"重复","唯一")</f>
        <v/>
      </c>
      <c r="T73" s="57" t="inlineStr">
        <is>
          <t>f09a5234668ac91e9d9a142b650e3ce7621a2619fdad2351601ff46376785a31</t>
        </is>
      </c>
      <c r="U73" s="57" t="inlineStr">
        <is>
          <t>Codex sound design</t>
        </is>
      </c>
      <c r="V73" s="58" t="n">
        <v>46314</v>
      </c>
      <c r="W73" s="44" t="inlineStr">
        <is>
          <t>https://kenney.nl/assets/rpg-audio | Kenney; https://opengameart.org/content/swish-bamboo-stick-weapon-swhoshes | Iwan Gabovitch | CC0; CC0-1.0</t>
        </is>
      </c>
      <c r="X73" s="56" t="inlineStr">
        <is>
          <t>art_source/audio/sfx/AUD-SFX-PLAYER-DASH-VAR03/source/player_dash_alt03_v003.wav</t>
        </is>
      </c>
      <c r="Y73" s="44" t="inlineStr">
        <is>
          <t>自然材质/录音替换；已接入；人工听感及Android待验；verify_audio_library_flow；docs/v0.1/development/2026-10-19_natural_world_audio.md</t>
        </is>
      </c>
    </row>
    <row r="74" ht="15" customHeight="1" s="33">
      <c r="A74" s="57" t="inlineStr">
        <is>
          <t>AUD-SFX-CRIT-HIT-VAR02</t>
        </is>
      </c>
      <c r="B74" s="44" t="inlineStr">
        <is>
          <t>暴击 变体2</t>
        </is>
      </c>
      <c r="C74" s="44" t="inlineStr">
        <is>
          <t>音效</t>
        </is>
      </c>
      <c r="D74" s="57" t="inlineStr">
        <is>
          <t>sfx</t>
        </is>
      </c>
      <c r="E74" s="57" t="inlineStr">
        <is>
          <t>crit_hit</t>
        </is>
      </c>
      <c r="F74" s="57" t="inlineStr">
        <is>
          <t>root</t>
        </is>
      </c>
      <c r="G74" s="44" t="inlineStr">
        <is>
          <t>AUD-SFX-CRIT-HIT</t>
        </is>
      </c>
      <c r="H74" s="44" t="inlineStr">
        <is>
          <t>不适用</t>
        </is>
      </c>
      <c r="I74" s="57" t="inlineStr">
        <is>
          <t>variant_02</t>
        </is>
      </c>
      <c r="J74" s="44" t="inlineStr">
        <is>
          <t>enemy.crit</t>
        </is>
      </c>
      <c r="K74" s="44" t="inlineStr">
        <is>
          <t>原型已接入</t>
        </is>
      </c>
      <c r="L74" s="57" t="inlineStr">
        <is>
          <t>P2</t>
        </is>
      </c>
      <c r="M74" s="57" t="inlineStr">
        <is>
          <t>v003</t>
        </is>
      </c>
      <c r="N74" s="57" t="inlineStr">
        <is>
          <t>44100Hz / mono / PCM24 master / Vorbis q6 / 0.4s</t>
        </is>
      </c>
      <c r="O74" s="57" t="inlineStr">
        <is>
          <t>src/assets/audio/sfx/crit_hit_alt02_v003.ogg</t>
        </is>
      </c>
      <c r="P74" s="57" t="inlineStr">
        <is>
          <t>art_source/audio/sfx/AUD-SFX-CRIT-HIT-VAR02/source/crit_hit_alt02_v003.wav</t>
        </is>
      </c>
      <c r="Q74" s="57" t="inlineStr">
        <is>
          <t>crit_hit</t>
        </is>
      </c>
      <c r="R74" s="44">
        <f>LOWER(TRIM(C74)&amp;"|"&amp;TRIM(D74)&amp;"|"&amp;TRIM(E74)&amp;"|"&amp;TRIM(F74)&amp;"|"&amp;TRIM(H74)&amp;"|"&amp;TRIM(I74))</f>
        <v/>
      </c>
      <c r="S74" s="44">
        <f>IF(COUNTIF($R$6:$R$183,R74)&gt;1,"重复","唯一")</f>
        <v/>
      </c>
      <c r="T74" s="57" t="inlineStr">
        <is>
          <t>90e44cd8b1f53e9498f1fd48ea30c86fb9304fafb244c41c7cc97a0ba178d99c</t>
        </is>
      </c>
      <c r="U74" s="57" t="inlineStr">
        <is>
          <t>Codex sound design</t>
        </is>
      </c>
      <c r="V74" s="58" t="n">
        <v>46314</v>
      </c>
      <c r="W74" s="44" t="inlineStr">
        <is>
          <t>https://freesound.org/people/magnuswaker/sounds/522091/ | magnuswaker; https://kenney.nl/assets/impact-sounds | Kenney | CC0; CC0-1.0</t>
        </is>
      </c>
      <c r="X74" s="56" t="inlineStr">
        <is>
          <t>art_source/audio/sfx/AUD-SFX-CRIT-HIT-VAR02/source/crit_hit_alt02_v003.wav</t>
        </is>
      </c>
      <c r="Y74" s="44" t="inlineStr">
        <is>
          <t>自然材质/录音替换；已接入；人工听感及Android待验；verify_audio_library_flow；docs/v0.1/development/2026-10-19_natural_world_audio.md</t>
        </is>
      </c>
    </row>
    <row r="75" ht="15" customHeight="1" s="33">
      <c r="A75" s="57" t="inlineStr">
        <is>
          <t>AUD-SFX-CRIT-HIT-VAR03</t>
        </is>
      </c>
      <c r="B75" s="44" t="inlineStr">
        <is>
          <t>暴击 变体3</t>
        </is>
      </c>
      <c r="C75" s="44" t="inlineStr">
        <is>
          <t>音效</t>
        </is>
      </c>
      <c r="D75" s="57" t="inlineStr">
        <is>
          <t>sfx</t>
        </is>
      </c>
      <c r="E75" s="57" t="inlineStr">
        <is>
          <t>crit_hit</t>
        </is>
      </c>
      <c r="F75" s="57" t="inlineStr">
        <is>
          <t>root</t>
        </is>
      </c>
      <c r="G75" s="44" t="inlineStr">
        <is>
          <t>AUD-SFX-CRIT-HIT</t>
        </is>
      </c>
      <c r="H75" s="44" t="inlineStr">
        <is>
          <t>不适用</t>
        </is>
      </c>
      <c r="I75" s="57" t="inlineStr">
        <is>
          <t>variant_03</t>
        </is>
      </c>
      <c r="J75" s="44" t="inlineStr">
        <is>
          <t>enemy.crit</t>
        </is>
      </c>
      <c r="K75" s="44" t="inlineStr">
        <is>
          <t>原型已接入</t>
        </is>
      </c>
      <c r="L75" s="57" t="inlineStr">
        <is>
          <t>P2</t>
        </is>
      </c>
      <c r="M75" s="57" t="inlineStr">
        <is>
          <t>v003</t>
        </is>
      </c>
      <c r="N75" s="57" t="inlineStr">
        <is>
          <t>44100Hz / mono / PCM24 master / Vorbis q6 / 0.4s</t>
        </is>
      </c>
      <c r="O75" s="57" t="inlineStr">
        <is>
          <t>src/assets/audio/sfx/crit_hit_alt03_v003.ogg</t>
        </is>
      </c>
      <c r="P75" s="57" t="inlineStr">
        <is>
          <t>art_source/audio/sfx/AUD-SFX-CRIT-HIT-VAR03/source/crit_hit_alt03_v003.wav</t>
        </is>
      </c>
      <c r="Q75" s="57" t="inlineStr">
        <is>
          <t>crit_hit</t>
        </is>
      </c>
      <c r="R75" s="44">
        <f>LOWER(TRIM(C75)&amp;"|"&amp;TRIM(D75)&amp;"|"&amp;TRIM(E75)&amp;"|"&amp;TRIM(F75)&amp;"|"&amp;TRIM(H75)&amp;"|"&amp;TRIM(I75))</f>
        <v/>
      </c>
      <c r="S75" s="44">
        <f>IF(COUNTIF($R$6:$R$183,R75)&gt;1,"重复","唯一")</f>
        <v/>
      </c>
      <c r="T75" s="57" t="inlineStr">
        <is>
          <t>afdf3357d22552bc4cf49c72075502f1f33bddd42f60e34e83624928128303e5</t>
        </is>
      </c>
      <c r="U75" s="57" t="inlineStr">
        <is>
          <t>Codex sound design</t>
        </is>
      </c>
      <c r="V75" s="58" t="n">
        <v>46314</v>
      </c>
      <c r="W75" s="44" t="inlineStr">
        <is>
          <t>https://freesound.org/people/satanicupsman/sounds/144015/ | satanicupsman; https://kenney.nl/assets/impact-sounds | Kenney | CC0; CC0-1.0</t>
        </is>
      </c>
      <c r="X75" s="56" t="inlineStr">
        <is>
          <t>art_source/audio/sfx/AUD-SFX-CRIT-HIT-VAR03/source/crit_hit_alt03_v003.wav</t>
        </is>
      </c>
      <c r="Y75" s="44" t="inlineStr">
        <is>
          <t>自然材质/录音替换；已接入；人工听感及Android待验；verify_audio_library_flow；docs/v0.1/development/2026-10-19_natural_world_audio.md</t>
        </is>
      </c>
    </row>
    <row r="76" ht="15" customHeight="1" s="33">
      <c r="A76" s="57" t="inlineStr">
        <is>
          <t>AUD-SFX-MELEE-SWING-VAR02</t>
        </is>
      </c>
      <c r="B76" s="44" t="inlineStr">
        <is>
          <t>近战挥砍空气层 变体2</t>
        </is>
      </c>
      <c r="C76" s="44" t="inlineStr">
        <is>
          <t>音效</t>
        </is>
      </c>
      <c r="D76" s="57" t="inlineStr">
        <is>
          <t>sfx</t>
        </is>
      </c>
      <c r="E76" s="57" t="inlineStr">
        <is>
          <t>melee_swing</t>
        </is>
      </c>
      <c r="F76" s="57" t="inlineStr">
        <is>
          <t>root</t>
        </is>
      </c>
      <c r="G76" s="44" t="inlineStr">
        <is>
          <t>AUD-SFX-MELEE-SWING</t>
        </is>
      </c>
      <c r="H76" s="44" t="inlineStr">
        <is>
          <t>不适用</t>
        </is>
      </c>
      <c r="I76" s="57" t="inlineStr">
        <is>
          <t>variant_02</t>
        </is>
      </c>
      <c r="J76" s="44" t="inlineStr">
        <is>
          <t>combat.melee.swing</t>
        </is>
      </c>
      <c r="K76" s="44" t="inlineStr">
        <is>
          <t>原型已接入</t>
        </is>
      </c>
      <c r="L76" s="57" t="inlineStr">
        <is>
          <t>P2</t>
        </is>
      </c>
      <c r="M76" s="57" t="inlineStr">
        <is>
          <t>v003</t>
        </is>
      </c>
      <c r="N76" s="57" t="inlineStr">
        <is>
          <t>44100Hz / mono / PCM24 master / Vorbis q6 / 0.42s</t>
        </is>
      </c>
      <c r="O76" s="57" t="inlineStr">
        <is>
          <t>src/assets/audio/sfx/melee_swing_alt02_v003.ogg</t>
        </is>
      </c>
      <c r="P76" s="57" t="inlineStr">
        <is>
          <t>art_source/audio/sfx/AUD-SFX-MELEE-SWING-VAR02/source/melee_swing_alt02_v003.wav</t>
        </is>
      </c>
      <c r="Q76" s="57" t="inlineStr">
        <is>
          <t>melee_swing</t>
        </is>
      </c>
      <c r="R76" s="44">
        <f>LOWER(TRIM(C76)&amp;"|"&amp;TRIM(D76)&amp;"|"&amp;TRIM(E76)&amp;"|"&amp;TRIM(F76)&amp;"|"&amp;TRIM(H76)&amp;"|"&amp;TRIM(I76))</f>
        <v/>
      </c>
      <c r="S76" s="44">
        <f>IF(COUNTIF($R$6:$R$183,R76)&gt;1,"重复","唯一")</f>
        <v/>
      </c>
      <c r="T76" s="57" t="inlineStr">
        <is>
          <t>fb9bb6dab7be0ddf6198d9c1433fc977b4389b703d3439adfa3ad2f0e1bd7815</t>
        </is>
      </c>
      <c r="U76" s="57" t="inlineStr">
        <is>
          <t>Codex sound design</t>
        </is>
      </c>
      <c r="V76" s="58" t="n">
        <v>46314</v>
      </c>
      <c r="W76" s="44" t="inlineStr">
        <is>
          <t>https://kenney.nl/assets/rpg-audio | Kenney; https://opengameart.org/content/swish-bamboo-stick-weapon-swhoshes | Iwan Gabovitch | CC0; CC0-1.0</t>
        </is>
      </c>
      <c r="X76" s="56" t="inlineStr">
        <is>
          <t>art_source/audio/sfx/AUD-SFX-MELEE-SWING-VAR02/source/melee_swing_alt02_v003.wav</t>
        </is>
      </c>
      <c r="Y76" s="44" t="inlineStr">
        <is>
          <t>自然材质/录音替换；已接入；人工听感及Android待验；verify_audio_library_flow；docs/v0.1/development/2026-10-19_natural_world_audio.md</t>
        </is>
      </c>
    </row>
    <row r="77" ht="15" customHeight="1" s="33">
      <c r="A77" s="57" t="inlineStr">
        <is>
          <t>AUD-SFX-MELEE-SWING-VAR03</t>
        </is>
      </c>
      <c r="B77" s="44" t="inlineStr">
        <is>
          <t>近战挥砍空气层 变体3</t>
        </is>
      </c>
      <c r="C77" s="44" t="inlineStr">
        <is>
          <t>音效</t>
        </is>
      </c>
      <c r="D77" s="57" t="inlineStr">
        <is>
          <t>sfx</t>
        </is>
      </c>
      <c r="E77" s="57" t="inlineStr">
        <is>
          <t>melee_swing</t>
        </is>
      </c>
      <c r="F77" s="57" t="inlineStr">
        <is>
          <t>root</t>
        </is>
      </c>
      <c r="G77" s="44" t="inlineStr">
        <is>
          <t>AUD-SFX-MELEE-SWING</t>
        </is>
      </c>
      <c r="H77" s="44" t="inlineStr">
        <is>
          <t>不适用</t>
        </is>
      </c>
      <c r="I77" s="57" t="inlineStr">
        <is>
          <t>variant_03</t>
        </is>
      </c>
      <c r="J77" s="44" t="inlineStr">
        <is>
          <t>combat.melee.swing</t>
        </is>
      </c>
      <c r="K77" s="44" t="inlineStr">
        <is>
          <t>原型已接入</t>
        </is>
      </c>
      <c r="L77" s="57" t="inlineStr">
        <is>
          <t>P2</t>
        </is>
      </c>
      <c r="M77" s="57" t="inlineStr">
        <is>
          <t>v003</t>
        </is>
      </c>
      <c r="N77" s="57" t="inlineStr">
        <is>
          <t>44100Hz / mono / PCM24 master / Vorbis q6 / 0.42s</t>
        </is>
      </c>
      <c r="O77" s="57" t="inlineStr">
        <is>
          <t>src/assets/audio/sfx/melee_swing_alt03_v003.ogg</t>
        </is>
      </c>
      <c r="P77" s="57" t="inlineStr">
        <is>
          <t>art_source/audio/sfx/AUD-SFX-MELEE-SWING-VAR03/source/melee_swing_alt03_v003.wav</t>
        </is>
      </c>
      <c r="Q77" s="57" t="inlineStr">
        <is>
          <t>melee_swing</t>
        </is>
      </c>
      <c r="R77" s="44">
        <f>LOWER(TRIM(C77)&amp;"|"&amp;TRIM(D77)&amp;"|"&amp;TRIM(E77)&amp;"|"&amp;TRIM(F77)&amp;"|"&amp;TRIM(H77)&amp;"|"&amp;TRIM(I77))</f>
        <v/>
      </c>
      <c r="S77" s="44">
        <f>IF(COUNTIF($R$6:$R$183,R77)&gt;1,"重复","唯一")</f>
        <v/>
      </c>
      <c r="T77" s="57" t="inlineStr">
        <is>
          <t>092fe127282a2e64d093935759b37e6f5edfdbb2af05cca4ec2a600e49251f36</t>
        </is>
      </c>
      <c r="U77" s="57" t="inlineStr">
        <is>
          <t>Codex sound design</t>
        </is>
      </c>
      <c r="V77" s="58" t="n">
        <v>46314</v>
      </c>
      <c r="W77" s="44" t="inlineStr">
        <is>
          <t>https://kenney.nl/assets/rpg-audio | Kenney; https://opengameart.org/content/swish-bamboo-stick-weapon-swhoshes | Iwan Gabovitch | CC0; CC0-1.0</t>
        </is>
      </c>
      <c r="X77" s="56" t="inlineStr">
        <is>
          <t>art_source/audio/sfx/AUD-SFX-MELEE-SWING-VAR03/source/melee_swing_alt03_v003.wav</t>
        </is>
      </c>
      <c r="Y77" s="44" t="inlineStr">
        <is>
          <t>自然材质/录音替换；已接入；人工听感及Android待验；verify_audio_library_flow；docs/v0.1/development/2026-10-19_natural_world_audio.md</t>
        </is>
      </c>
    </row>
    <row r="78" ht="15" customHeight="1" s="33">
      <c r="A78" s="57" t="inlineStr">
        <is>
          <t>AUD-SFX-MELEE-IMPACT-VAR02</t>
        </is>
      </c>
      <c r="B78" s="44" t="inlineStr">
        <is>
          <t>近战命中主层 变体2</t>
        </is>
      </c>
      <c r="C78" s="44" t="inlineStr">
        <is>
          <t>音效</t>
        </is>
      </c>
      <c r="D78" s="57" t="inlineStr">
        <is>
          <t>sfx</t>
        </is>
      </c>
      <c r="E78" s="57" t="inlineStr">
        <is>
          <t>melee_impact</t>
        </is>
      </c>
      <c r="F78" s="57" t="inlineStr">
        <is>
          <t>root</t>
        </is>
      </c>
      <c r="G78" s="44" t="inlineStr">
        <is>
          <t>AUD-SFX-MELEE-IMPACT</t>
        </is>
      </c>
      <c r="H78" s="44" t="inlineStr">
        <is>
          <t>不适用</t>
        </is>
      </c>
      <c r="I78" s="57" t="inlineStr">
        <is>
          <t>variant_02</t>
        </is>
      </c>
      <c r="J78" s="44" t="inlineStr">
        <is>
          <t>combat.melee.impact</t>
        </is>
      </c>
      <c r="K78" s="44" t="inlineStr">
        <is>
          <t>原型已接入</t>
        </is>
      </c>
      <c r="L78" s="57" t="inlineStr">
        <is>
          <t>P2</t>
        </is>
      </c>
      <c r="M78" s="57" t="inlineStr">
        <is>
          <t>v003</t>
        </is>
      </c>
      <c r="N78" s="57" t="inlineStr">
        <is>
          <t>44100Hz / mono / PCM24 master / Vorbis q6 / 0.45s</t>
        </is>
      </c>
      <c r="O78" s="57" t="inlineStr">
        <is>
          <t>src/assets/audio/sfx/melee_impact_alt02_v003.ogg</t>
        </is>
      </c>
      <c r="P78" s="57" t="inlineStr">
        <is>
          <t>art_source/audio/sfx/AUD-SFX-MELEE-IMPACT-VAR02/source/melee_impact_alt02_v003.wav</t>
        </is>
      </c>
      <c r="Q78" s="57" t="inlineStr">
        <is>
          <t>melee_impact</t>
        </is>
      </c>
      <c r="R78" s="44">
        <f>LOWER(TRIM(C78)&amp;"|"&amp;TRIM(D78)&amp;"|"&amp;TRIM(E78)&amp;"|"&amp;TRIM(F78)&amp;"|"&amp;TRIM(H78)&amp;"|"&amp;TRIM(I78))</f>
        <v/>
      </c>
      <c r="S78" s="44">
        <f>IF(COUNTIF($R$6:$R$183,R78)&gt;1,"重复","唯一")</f>
        <v/>
      </c>
      <c r="T78" s="57" t="inlineStr">
        <is>
          <t>9b6f184f81ca10dc6d7c211a911865fad66d4ad9abe139c6d3e6130f0f2c8264</t>
        </is>
      </c>
      <c r="U78" s="57" t="inlineStr">
        <is>
          <t>Codex sound design</t>
        </is>
      </c>
      <c r="V78" s="58" t="n">
        <v>46314</v>
      </c>
      <c r="W78" s="44" t="inlineStr">
        <is>
          <t>https://kenney.nl/assets/impact-sounds | Kenney; https://kenney.nl/assets/rpg-audio | Kenney | CC0-1.0</t>
        </is>
      </c>
      <c r="X78" s="56" t="inlineStr">
        <is>
          <t>art_source/audio/sfx/AUD-SFX-MELEE-IMPACT-VAR02/source/melee_impact_alt02_v003.wav</t>
        </is>
      </c>
      <c r="Y78" s="44" t="inlineStr">
        <is>
          <t>自然材质/录音替换；已接入；人工听感及Android待验；verify_audio_library_flow；docs/v0.1/development/2026-10-19_natural_world_audio.md</t>
        </is>
      </c>
    </row>
    <row r="79" ht="154.5" customHeight="1" s="33">
      <c r="A79" s="57" t="inlineStr">
        <is>
          <t>AUD-SFX-MELEE-IMPACT-VAR03</t>
        </is>
      </c>
      <c r="B79" s="44" t="inlineStr">
        <is>
          <t>近战命中主层 变体3</t>
        </is>
      </c>
      <c r="C79" s="44" t="inlineStr">
        <is>
          <t>音效</t>
        </is>
      </c>
      <c r="D79" s="57" t="inlineStr">
        <is>
          <t>sfx</t>
        </is>
      </c>
      <c r="E79" s="57" t="inlineStr">
        <is>
          <t>melee_impact</t>
        </is>
      </c>
      <c r="F79" s="57" t="inlineStr">
        <is>
          <t>root</t>
        </is>
      </c>
      <c r="G79" s="44" t="inlineStr">
        <is>
          <t>AUD-SFX-MELEE-IMPACT</t>
        </is>
      </c>
      <c r="H79" s="44" t="inlineStr">
        <is>
          <t>不适用</t>
        </is>
      </c>
      <c r="I79" s="57" t="inlineStr">
        <is>
          <t>variant_03</t>
        </is>
      </c>
      <c r="J79" s="44" t="inlineStr">
        <is>
          <t>combat.melee.impact</t>
        </is>
      </c>
      <c r="K79" s="44" t="inlineStr">
        <is>
          <t>原型已接入</t>
        </is>
      </c>
      <c r="L79" s="57" t="inlineStr">
        <is>
          <t>P2</t>
        </is>
      </c>
      <c r="M79" s="57" t="inlineStr">
        <is>
          <t>v003</t>
        </is>
      </c>
      <c r="N79" s="57" t="inlineStr">
        <is>
          <t>44100Hz / mono / PCM24 master / Vorbis q6 / 0.45s</t>
        </is>
      </c>
      <c r="O79" s="57" t="inlineStr">
        <is>
          <t>src/assets/audio/sfx/melee_impact_alt03_v003.ogg</t>
        </is>
      </c>
      <c r="P79" s="57" t="inlineStr">
        <is>
          <t>art_source/audio/sfx/AUD-SFX-MELEE-IMPACT-VAR03/source/melee_impact_alt03_v003.wav</t>
        </is>
      </c>
      <c r="Q79" s="57" t="inlineStr">
        <is>
          <t>melee_impact</t>
        </is>
      </c>
      <c r="R79" s="44">
        <f>LOWER(TRIM(C79)&amp;"|"&amp;TRIM(D79)&amp;"|"&amp;TRIM(E79)&amp;"|"&amp;TRIM(F79)&amp;"|"&amp;TRIM(H79)&amp;"|"&amp;TRIM(I79))</f>
        <v/>
      </c>
      <c r="S79" s="44">
        <f>IF(COUNTIF($R$6:$R$183,R79)&gt;1,"重复","唯一")</f>
        <v/>
      </c>
      <c r="T79" s="57" t="inlineStr">
        <is>
          <t>b588b94b01b63f58d0240d95b88d6c9e1f14e2735e912375ca2bceb6715f6a7f</t>
        </is>
      </c>
      <c r="U79" s="57" t="inlineStr">
        <is>
          <t>Codex sound design</t>
        </is>
      </c>
      <c r="V79" s="58" t="n">
        <v>46314</v>
      </c>
      <c r="W79" s="44" t="inlineStr">
        <is>
          <t>https://kenney.nl/assets/impact-sounds | Kenney; https://kenney.nl/assets/rpg-audio | Kenney | CC0-1.0</t>
        </is>
      </c>
      <c r="X79" s="56" t="inlineStr">
        <is>
          <t>art_source/audio/sfx/AUD-SFX-MELEE-IMPACT-VAR03/source/melee_impact_alt03_v003.wav</t>
        </is>
      </c>
      <c r="Y79" s="44" t="inlineStr">
        <is>
          <t>自然材质/录音替换；已接入；人工听感及Android待验；verify_audio_library_flow；docs/v0.1/development/2026-10-19_natural_world_audio.md</t>
        </is>
      </c>
    </row>
    <row r="80" ht="92.5" customHeight="1" s="33">
      <c r="A80" s="57" t="inlineStr">
        <is>
          <t>AUD-SFX-SOUL-PICKUP-VAR02</t>
        </is>
      </c>
      <c r="B80" s="44" t="inlineStr">
        <is>
          <t>魂球拾取 变体2</t>
        </is>
      </c>
      <c r="C80" s="44" t="inlineStr">
        <is>
          <t>音效</t>
        </is>
      </c>
      <c r="D80" s="57" t="inlineStr">
        <is>
          <t>sfx</t>
        </is>
      </c>
      <c r="E80" s="57" t="inlineStr">
        <is>
          <t>soul_pickup</t>
        </is>
      </c>
      <c r="F80" s="57" t="inlineStr">
        <is>
          <t>root</t>
        </is>
      </c>
      <c r="G80" s="44" t="inlineStr">
        <is>
          <t>AUD-SFX-SOUL-PICKUP</t>
        </is>
      </c>
      <c r="H80" s="44" t="inlineStr">
        <is>
          <t>不适用</t>
        </is>
      </c>
      <c r="I80" s="57" t="inlineStr">
        <is>
          <t>variant_02</t>
        </is>
      </c>
      <c r="J80" s="44" t="inlineStr">
        <is>
          <t>world.pickup.soul</t>
        </is>
      </c>
      <c r="K80" s="44" t="inlineStr">
        <is>
          <t>原型已接入</t>
        </is>
      </c>
      <c r="L80" s="57" t="inlineStr">
        <is>
          <t>P2</t>
        </is>
      </c>
      <c r="M80" s="57" t="inlineStr">
        <is>
          <t>v002</t>
        </is>
      </c>
      <c r="N80" s="57" t="inlineStr">
        <is>
          <t>44100Hz / mono / PCM24 master / Vorbis q6 / 0.29s</t>
        </is>
      </c>
      <c r="O80" s="57" t="inlineStr">
        <is>
          <t>src/assets/audio/sfx/soul_pickup_alt02_v002.ogg</t>
        </is>
      </c>
      <c r="P80" s="57" t="inlineStr">
        <is>
          <t>docs/v0.1/design/音效系统与资产设计.md; src/core/AudioManager.gd</t>
        </is>
      </c>
      <c r="Q80" s="57" t="inlineStr">
        <is>
          <t>soul_pickup</t>
        </is>
      </c>
      <c r="R80" s="44">
        <f>LOWER(TRIM(C80)&amp;"|"&amp;TRIM(D80)&amp;"|"&amp;TRIM(E80)&amp;"|"&amp;TRIM(F80)&amp;"|"&amp;TRIM(H80)&amp;"|"&amp;TRIM(I80))</f>
        <v/>
      </c>
      <c r="S80" s="44">
        <f>IF(COUNTIF($R$6:$R$183,R80)&gt;1,"重复","唯一")</f>
        <v/>
      </c>
      <c r="T80" s="57" t="inlineStr">
        <is>
          <t>2e2d854b5fe224aa75d872c89071e3a20b9db941f0a3a6f16b76bfeee92ca312</t>
        </is>
      </c>
      <c r="U80" s="57" t="inlineStr">
        <is>
          <t>Codex sound design</t>
        </is>
      </c>
      <c r="V80" s="58" t="n">
        <v>46308</v>
      </c>
      <c r="W80" s="44" t="inlineStr">
        <is>
          <t>原创离线分层DSP；无第三方采样；制作脚本与seed可追溯</t>
        </is>
      </c>
      <c r="X80" s="56" t="inlineStr">
        <is>
          <t>art_source/audio/sfx/AUD-SFX-SOUL-PICKUP-VAR02/source/soul_pickup_alt02_v002.wav</t>
        </is>
      </c>
      <c r="Y80" s="44" t="inlineStr">
        <is>
          <t>SFXSET-SOUL-PICKUP；技术导入后待人工听感/Android验收；旧事件已替换</t>
        </is>
      </c>
    </row>
    <row r="81" ht="92.5" customHeight="1" s="33">
      <c r="A81" s="57" t="inlineStr">
        <is>
          <t>AUD-SFX-SOUL-PICKUP-VAR03</t>
        </is>
      </c>
      <c r="B81" s="44" t="inlineStr">
        <is>
          <t>魂球拾取 变体3</t>
        </is>
      </c>
      <c r="C81" s="44" t="inlineStr">
        <is>
          <t>音效</t>
        </is>
      </c>
      <c r="D81" s="57" t="inlineStr">
        <is>
          <t>sfx</t>
        </is>
      </c>
      <c r="E81" s="57" t="inlineStr">
        <is>
          <t>soul_pickup</t>
        </is>
      </c>
      <c r="F81" s="57" t="inlineStr">
        <is>
          <t>root</t>
        </is>
      </c>
      <c r="G81" s="44" t="inlineStr">
        <is>
          <t>AUD-SFX-SOUL-PICKUP</t>
        </is>
      </c>
      <c r="H81" s="44" t="inlineStr">
        <is>
          <t>不适用</t>
        </is>
      </c>
      <c r="I81" s="57" t="inlineStr">
        <is>
          <t>variant_03</t>
        </is>
      </c>
      <c r="J81" s="44" t="inlineStr">
        <is>
          <t>world.pickup.soul</t>
        </is>
      </c>
      <c r="K81" s="44" t="inlineStr">
        <is>
          <t>原型已接入</t>
        </is>
      </c>
      <c r="L81" s="57" t="inlineStr">
        <is>
          <t>P2</t>
        </is>
      </c>
      <c r="M81" s="57" t="inlineStr">
        <is>
          <t>v002</t>
        </is>
      </c>
      <c r="N81" s="57" t="inlineStr">
        <is>
          <t>44100Hz / mono / PCM24 master / Vorbis q6 / 0.29s</t>
        </is>
      </c>
      <c r="O81" s="57" t="inlineStr">
        <is>
          <t>src/assets/audio/sfx/soul_pickup_alt03_v002.ogg</t>
        </is>
      </c>
      <c r="P81" s="57" t="inlineStr">
        <is>
          <t>docs/v0.1/design/音效系统与资产设计.md; src/core/AudioManager.gd</t>
        </is>
      </c>
      <c r="Q81" s="57" t="inlineStr">
        <is>
          <t>soul_pickup</t>
        </is>
      </c>
      <c r="R81" s="44">
        <f>LOWER(TRIM(C81)&amp;"|"&amp;TRIM(D81)&amp;"|"&amp;TRIM(E81)&amp;"|"&amp;TRIM(F81)&amp;"|"&amp;TRIM(H81)&amp;"|"&amp;TRIM(I81))</f>
        <v/>
      </c>
      <c r="S81" s="44">
        <f>IF(COUNTIF($R$6:$R$183,R81)&gt;1,"重复","唯一")</f>
        <v/>
      </c>
      <c r="T81" s="57" t="inlineStr">
        <is>
          <t>0996aa426aee9e94f33eb7438a82c10e9eab8a333e5802aaaa28fc623553cee8</t>
        </is>
      </c>
      <c r="U81" s="57" t="inlineStr">
        <is>
          <t>Codex sound design</t>
        </is>
      </c>
      <c r="V81" s="58" t="n">
        <v>46308</v>
      </c>
      <c r="W81" s="44" t="inlineStr">
        <is>
          <t>原创离线分层DSP；无第三方采样；制作脚本与seed可追溯</t>
        </is>
      </c>
      <c r="X81" s="56" t="inlineStr">
        <is>
          <t>art_source/audio/sfx/AUD-SFX-SOUL-PICKUP-VAR03/source/soul_pickup_alt03_v002.wav</t>
        </is>
      </c>
      <c r="Y81" s="44" t="inlineStr">
        <is>
          <t>SFXSET-SOUL-PICKUP；技术导入后待人工听感/Android验收；旧事件已替换</t>
        </is>
      </c>
    </row>
    <row r="82" ht="92.5" customHeight="1" s="33">
      <c r="A82" s="57" t="inlineStr">
        <is>
          <t>AUD-SFX-FOOTSTEP-CONCRETE</t>
        </is>
      </c>
      <c r="B82" s="44" t="inlineStr">
        <is>
          <t>footstep_concrete</t>
        </is>
      </c>
      <c r="C82" s="44" t="inlineStr">
        <is>
          <t>音效</t>
        </is>
      </c>
      <c r="D82" s="57" t="inlineStr">
        <is>
          <t>sfx</t>
        </is>
      </c>
      <c r="E82" s="57" t="inlineStr">
        <is>
          <t>footstep_concrete</t>
        </is>
      </c>
      <c r="F82" s="57" t="inlineStr">
        <is>
          <t>root</t>
        </is>
      </c>
      <c r="G82" s="44" t="n"/>
      <c r="H82" s="44" t="inlineStr">
        <is>
          <t>不适用</t>
        </is>
      </c>
      <c r="I82" s="57" t="inlineStr">
        <is>
          <t>default</t>
        </is>
      </c>
      <c r="J82" s="44" t="inlineStr">
        <is>
          <t>player.footstep</t>
        </is>
      </c>
      <c r="K82" s="44" t="inlineStr">
        <is>
          <t>原型已接入</t>
        </is>
      </c>
      <c r="L82" s="57" t="inlineStr">
        <is>
          <t>P2</t>
        </is>
      </c>
      <c r="M82" s="57" t="inlineStr">
        <is>
          <t>v002</t>
        </is>
      </c>
      <c r="N82" s="57" t="inlineStr">
        <is>
          <t>44100Hz / mono / PCM24 master / Vorbis q6 / 0.36s</t>
        </is>
      </c>
      <c r="O82" s="57" t="inlineStr">
        <is>
          <t>src/assets/audio/sfx/footstep_concrete_v002.ogg</t>
        </is>
      </c>
      <c r="P82" s="57" t="inlineStr">
        <is>
          <t>art_source/audio/sfx/AUD-SFX-FOOTSTEP-CONCRETE/source/footstep_concrete_v002.wav</t>
        </is>
      </c>
      <c r="Q82" s="57" t="inlineStr">
        <is>
          <t>footstep_concrete</t>
        </is>
      </c>
      <c r="R82" s="44">
        <f>LOWER(TRIM(C82)&amp;"|"&amp;TRIM(D82)&amp;"|"&amp;TRIM(E82)&amp;"|"&amp;TRIM(F82)&amp;"|"&amp;TRIM(H82)&amp;"|"&amp;TRIM(I82))</f>
        <v/>
      </c>
      <c r="S82" s="44">
        <f>IF(COUNTIF($R$6:$R$183,R82)&gt;1,"重复","唯一")</f>
        <v/>
      </c>
      <c r="T82" s="57" t="inlineStr">
        <is>
          <t>c958331a06089791dc29b64d84c2a49aa4192d0cc2d8b3fc329c6d496c6b0d12</t>
        </is>
      </c>
      <c r="U82" s="57" t="inlineStr">
        <is>
          <t>Codex sound design</t>
        </is>
      </c>
      <c r="V82" s="58" t="n">
        <v>46314</v>
      </c>
      <c r="W82" s="44" t="inlineStr">
        <is>
          <t>https://kenney.nl/assets/impact-sounds | Kenney | CC0-1.0</t>
        </is>
      </c>
      <c r="X82" s="56" t="inlineStr">
        <is>
          <t>art_source/audio/sfx/AUD-SFX-FOOTSTEP-CONCRETE/source/footstep_concrete_v002.wav</t>
        </is>
      </c>
      <c r="Y82" s="44" t="inlineStr">
        <is>
          <t>WorldAudioEnvironment3D / RoomLightSwitch3D 正式场景触发已接入；验收 verify_world_environment_audio_flow；人工听感/Android待验</t>
        </is>
      </c>
    </row>
    <row r="83" ht="92.5" customHeight="1" s="33">
      <c r="A83" s="57" t="inlineStr">
        <is>
          <t>AUD-SFX-FOOTSTEP-CONCRETE-VAR02</t>
        </is>
      </c>
      <c r="B83" s="44" t="inlineStr">
        <is>
          <t>footstep_concrete 变体2</t>
        </is>
      </c>
      <c r="C83" s="44" t="inlineStr">
        <is>
          <t>音效</t>
        </is>
      </c>
      <c r="D83" s="57" t="inlineStr">
        <is>
          <t>sfx</t>
        </is>
      </c>
      <c r="E83" s="57" t="inlineStr">
        <is>
          <t>footstep_concrete</t>
        </is>
      </c>
      <c r="F83" s="57" t="inlineStr">
        <is>
          <t>root</t>
        </is>
      </c>
      <c r="G83" s="44" t="inlineStr">
        <is>
          <t>AUD-SFX-FOOTSTEP-CONCRETE</t>
        </is>
      </c>
      <c r="H83" s="44" t="inlineStr">
        <is>
          <t>不适用</t>
        </is>
      </c>
      <c r="I83" s="57" t="inlineStr">
        <is>
          <t>variant_02</t>
        </is>
      </c>
      <c r="J83" s="44" t="inlineStr">
        <is>
          <t>player.footstep</t>
        </is>
      </c>
      <c r="K83" s="44" t="inlineStr">
        <is>
          <t>原型已接入</t>
        </is>
      </c>
      <c r="L83" s="57" t="inlineStr">
        <is>
          <t>P2</t>
        </is>
      </c>
      <c r="M83" s="57" t="inlineStr">
        <is>
          <t>v002</t>
        </is>
      </c>
      <c r="N83" s="57" t="inlineStr">
        <is>
          <t>44100Hz / mono / PCM24 master / Vorbis q6 / 0.36s</t>
        </is>
      </c>
      <c r="O83" s="57" t="inlineStr">
        <is>
          <t>src/assets/audio/sfx/footstep_concrete_alt02_v002.ogg</t>
        </is>
      </c>
      <c r="P83" s="57" t="inlineStr">
        <is>
          <t>art_source/audio/sfx/AUD-SFX-FOOTSTEP-CONCRETE-VAR02/source/footstep_concrete_alt02_v002.wav</t>
        </is>
      </c>
      <c r="Q83" s="57" t="inlineStr">
        <is>
          <t>footstep_concrete</t>
        </is>
      </c>
      <c r="R83" s="44">
        <f>LOWER(TRIM(C83)&amp;"|"&amp;TRIM(D83)&amp;"|"&amp;TRIM(E83)&amp;"|"&amp;TRIM(F83)&amp;"|"&amp;TRIM(H83)&amp;"|"&amp;TRIM(I83))</f>
        <v/>
      </c>
      <c r="S83" s="44">
        <f>IF(COUNTIF($R$6:$R$183,R83)&gt;1,"重复","唯一")</f>
        <v/>
      </c>
      <c r="T83" s="57" t="inlineStr">
        <is>
          <t>6f2646b9388ef2234cf721093355ae18ebfe3d48c4ebafff5ea03fd690f89c99</t>
        </is>
      </c>
      <c r="U83" s="57" t="inlineStr">
        <is>
          <t>Codex sound design</t>
        </is>
      </c>
      <c r="V83" s="58" t="n">
        <v>46314</v>
      </c>
      <c r="W83" s="44" t="inlineStr">
        <is>
          <t>https://kenney.nl/assets/impact-sounds | Kenney | CC0-1.0</t>
        </is>
      </c>
      <c r="X83" s="56" t="inlineStr">
        <is>
          <t>art_source/audio/sfx/AUD-SFX-FOOTSTEP-CONCRETE-VAR02/source/footstep_concrete_alt02_v002.wav</t>
        </is>
      </c>
      <c r="Y83" s="44" t="inlineStr">
        <is>
          <t>WorldAudioEnvironment3D / RoomLightSwitch3D 正式场景触发已接入；验收 verify_world_environment_audio_flow；人工听感/Android待验</t>
        </is>
      </c>
    </row>
    <row r="84" ht="92.5" customHeight="1" s="33">
      <c r="A84" s="57" t="inlineStr">
        <is>
          <t>AUD-SFX-FOOTSTEP-CONCRETE-VAR03</t>
        </is>
      </c>
      <c r="B84" s="44" t="inlineStr">
        <is>
          <t>footstep_concrete 变体3</t>
        </is>
      </c>
      <c r="C84" s="44" t="inlineStr">
        <is>
          <t>音效</t>
        </is>
      </c>
      <c r="D84" s="57" t="inlineStr">
        <is>
          <t>sfx</t>
        </is>
      </c>
      <c r="E84" s="57" t="inlineStr">
        <is>
          <t>footstep_concrete</t>
        </is>
      </c>
      <c r="F84" s="57" t="inlineStr">
        <is>
          <t>root</t>
        </is>
      </c>
      <c r="G84" s="44" t="inlineStr">
        <is>
          <t>AUD-SFX-FOOTSTEP-CONCRETE</t>
        </is>
      </c>
      <c r="H84" s="44" t="inlineStr">
        <is>
          <t>不适用</t>
        </is>
      </c>
      <c r="I84" s="57" t="inlineStr">
        <is>
          <t>variant_03</t>
        </is>
      </c>
      <c r="J84" s="44" t="inlineStr">
        <is>
          <t>player.footstep</t>
        </is>
      </c>
      <c r="K84" s="44" t="inlineStr">
        <is>
          <t>原型已接入</t>
        </is>
      </c>
      <c r="L84" s="57" t="inlineStr">
        <is>
          <t>P2</t>
        </is>
      </c>
      <c r="M84" s="57" t="inlineStr">
        <is>
          <t>v002</t>
        </is>
      </c>
      <c r="N84" s="57" t="inlineStr">
        <is>
          <t>44100Hz / mono / PCM24 master / Vorbis q6 / 0.36s</t>
        </is>
      </c>
      <c r="O84" s="57" t="inlineStr">
        <is>
          <t>src/assets/audio/sfx/footstep_concrete_alt03_v002.ogg</t>
        </is>
      </c>
      <c r="P84" s="57" t="inlineStr">
        <is>
          <t>art_source/audio/sfx/AUD-SFX-FOOTSTEP-CONCRETE-VAR03/source/footstep_concrete_alt03_v002.wav</t>
        </is>
      </c>
      <c r="Q84" s="57" t="inlineStr">
        <is>
          <t>footstep_concrete</t>
        </is>
      </c>
      <c r="R84" s="44">
        <f>LOWER(TRIM(C84)&amp;"|"&amp;TRIM(D84)&amp;"|"&amp;TRIM(E84)&amp;"|"&amp;TRIM(F84)&amp;"|"&amp;TRIM(H84)&amp;"|"&amp;TRIM(I84))</f>
        <v/>
      </c>
      <c r="S84" s="44">
        <f>IF(COUNTIF($R$6:$R$183,R84)&gt;1,"重复","唯一")</f>
        <v/>
      </c>
      <c r="T84" s="57" t="inlineStr">
        <is>
          <t>be24bdd2be9bdabe598f2e7a985b63fc889c02da74bba6aaf0f3747ab13ec0ac</t>
        </is>
      </c>
      <c r="U84" s="57" t="inlineStr">
        <is>
          <t>Codex sound design</t>
        </is>
      </c>
      <c r="V84" s="58" t="n">
        <v>46314</v>
      </c>
      <c r="W84" s="44" t="inlineStr">
        <is>
          <t>https://kenney.nl/assets/impact-sounds | Kenney | CC0-1.0</t>
        </is>
      </c>
      <c r="X84" s="56" t="inlineStr">
        <is>
          <t>art_source/audio/sfx/AUD-SFX-FOOTSTEP-CONCRETE-VAR03/source/footstep_concrete_alt03_v002.wav</t>
        </is>
      </c>
      <c r="Y84" s="44" t="inlineStr">
        <is>
          <t>WorldAudioEnvironment3D / RoomLightSwitch3D 正式场景触发已接入；验收 verify_world_environment_audio_flow；人工听感/Android待验</t>
        </is>
      </c>
    </row>
    <row r="85" ht="92.5" customHeight="1" s="33">
      <c r="A85" s="57" t="inlineStr">
        <is>
          <t>AUD-SFX-FOOTSTEP-CONCRETE-VAR04</t>
        </is>
      </c>
      <c r="B85" s="44" t="inlineStr">
        <is>
          <t>footstep_concrete 变体4</t>
        </is>
      </c>
      <c r="C85" s="44" t="inlineStr">
        <is>
          <t>音效</t>
        </is>
      </c>
      <c r="D85" s="57" t="inlineStr">
        <is>
          <t>sfx</t>
        </is>
      </c>
      <c r="E85" s="57" t="inlineStr">
        <is>
          <t>footstep_concrete</t>
        </is>
      </c>
      <c r="F85" s="57" t="inlineStr">
        <is>
          <t>root</t>
        </is>
      </c>
      <c r="G85" s="44" t="inlineStr">
        <is>
          <t>AUD-SFX-FOOTSTEP-CONCRETE</t>
        </is>
      </c>
      <c r="H85" s="44" t="inlineStr">
        <is>
          <t>不适用</t>
        </is>
      </c>
      <c r="I85" s="57" t="inlineStr">
        <is>
          <t>variant_04</t>
        </is>
      </c>
      <c r="J85" s="44" t="inlineStr">
        <is>
          <t>player.footstep</t>
        </is>
      </c>
      <c r="K85" s="44" t="inlineStr">
        <is>
          <t>原型已接入</t>
        </is>
      </c>
      <c r="L85" s="57" t="inlineStr">
        <is>
          <t>P2</t>
        </is>
      </c>
      <c r="M85" s="57" t="inlineStr">
        <is>
          <t>v002</t>
        </is>
      </c>
      <c r="N85" s="57" t="inlineStr">
        <is>
          <t>44100Hz / mono / PCM24 master / Vorbis q6 / 0.36s</t>
        </is>
      </c>
      <c r="O85" s="57" t="inlineStr">
        <is>
          <t>src/assets/audio/sfx/footstep_concrete_alt04_v002.ogg</t>
        </is>
      </c>
      <c r="P85" s="57" t="inlineStr">
        <is>
          <t>art_source/audio/sfx/AUD-SFX-FOOTSTEP-CONCRETE-VAR04/source/footstep_concrete_alt04_v002.wav</t>
        </is>
      </c>
      <c r="Q85" s="57" t="inlineStr">
        <is>
          <t>footstep_concrete</t>
        </is>
      </c>
      <c r="R85" s="44">
        <f>LOWER(TRIM(C85)&amp;"|"&amp;TRIM(D85)&amp;"|"&amp;TRIM(E85)&amp;"|"&amp;TRIM(F85)&amp;"|"&amp;TRIM(H85)&amp;"|"&amp;TRIM(I85))</f>
        <v/>
      </c>
      <c r="S85" s="44">
        <f>IF(COUNTIF($R$6:$R$183,R85)&gt;1,"重复","唯一")</f>
        <v/>
      </c>
      <c r="T85" s="57" t="inlineStr">
        <is>
          <t>1f48394f52560312fdff9a70126a75737c2f6e17e1cb98f6876462e61babf222</t>
        </is>
      </c>
      <c r="U85" s="57" t="inlineStr">
        <is>
          <t>Codex sound design</t>
        </is>
      </c>
      <c r="V85" s="58" t="n">
        <v>46314</v>
      </c>
      <c r="W85" s="44" t="inlineStr">
        <is>
          <t>https://kenney.nl/assets/impact-sounds | Kenney | CC0-1.0</t>
        </is>
      </c>
      <c r="X85" s="56" t="inlineStr">
        <is>
          <t>art_source/audio/sfx/AUD-SFX-FOOTSTEP-CONCRETE-VAR04/source/footstep_concrete_alt04_v002.wav</t>
        </is>
      </c>
      <c r="Y85" s="44" t="inlineStr">
        <is>
          <t>WorldAudioEnvironment3D / RoomLightSwitch3D 正式场景触发已接入；验收 verify_world_environment_audio_flow；人工听感/Android待验</t>
        </is>
      </c>
    </row>
    <row r="86" ht="92.5" customHeight="1" s="33">
      <c r="A86" s="57" t="inlineStr">
        <is>
          <t>AUD-SFX-FOOTSTEP-METAL</t>
        </is>
      </c>
      <c r="B86" s="44" t="inlineStr">
        <is>
          <t>footstep_metal</t>
        </is>
      </c>
      <c r="C86" s="44" t="inlineStr">
        <is>
          <t>音效</t>
        </is>
      </c>
      <c r="D86" s="57" t="inlineStr">
        <is>
          <t>sfx</t>
        </is>
      </c>
      <c r="E86" s="57" t="inlineStr">
        <is>
          <t>footstep_metal</t>
        </is>
      </c>
      <c r="F86" s="57" t="inlineStr">
        <is>
          <t>root</t>
        </is>
      </c>
      <c r="G86" s="44" t="n"/>
      <c r="H86" s="44" t="inlineStr">
        <is>
          <t>不适用</t>
        </is>
      </c>
      <c r="I86" s="57" t="inlineStr">
        <is>
          <t>default</t>
        </is>
      </c>
      <c r="J86" s="44" t="inlineStr">
        <is>
          <t>player.footstep.metal</t>
        </is>
      </c>
      <c r="K86" s="44" t="inlineStr">
        <is>
          <t>原型已接入</t>
        </is>
      </c>
      <c r="L86" s="57" t="inlineStr">
        <is>
          <t>P2</t>
        </is>
      </c>
      <c r="M86" s="57" t="inlineStr">
        <is>
          <t>v002</t>
        </is>
      </c>
      <c r="N86" s="57" t="inlineStr">
        <is>
          <t>44100Hz / mono / PCM24 master / Vorbis q6 / 0.38s</t>
        </is>
      </c>
      <c r="O86" s="57" t="inlineStr">
        <is>
          <t>src/assets/audio/sfx/footstep_metal_v002.ogg</t>
        </is>
      </c>
      <c r="P86" s="57" t="inlineStr">
        <is>
          <t>art_source/audio/sfx/AUD-SFX-FOOTSTEP-METAL/source/footstep_metal_v002.wav</t>
        </is>
      </c>
      <c r="Q86" s="57" t="inlineStr">
        <is>
          <t>footstep_metal</t>
        </is>
      </c>
      <c r="R86" s="44">
        <f>LOWER(TRIM(C86)&amp;"|"&amp;TRIM(D86)&amp;"|"&amp;TRIM(E86)&amp;"|"&amp;TRIM(F86)&amp;"|"&amp;TRIM(H86)&amp;"|"&amp;TRIM(I86))</f>
        <v/>
      </c>
      <c r="S86" s="44">
        <f>IF(COUNTIF($R$6:$R$183,R86)&gt;1,"重复","唯一")</f>
        <v/>
      </c>
      <c r="T86" s="57" t="inlineStr">
        <is>
          <t>6a69c1e59215f836fa24b1ce49981599b840c3c3bff0ab28bc3b6756c6886b5d</t>
        </is>
      </c>
      <c r="U86" s="57" t="inlineStr">
        <is>
          <t>Codex sound design</t>
        </is>
      </c>
      <c r="V86" s="58" t="n">
        <v>46314</v>
      </c>
      <c r="W86" s="44" t="inlineStr">
        <is>
          <t>https://kenney.nl/assets/impact-sounds | Kenney | CC0-1.0</t>
        </is>
      </c>
      <c r="X86" s="56" t="inlineStr">
        <is>
          <t>art_source/audio/sfx/AUD-SFX-FOOTSTEP-METAL/source/footstep_metal_v002.wav</t>
        </is>
      </c>
      <c r="Y86" s="44" t="inlineStr">
        <is>
          <t>WorldAudioEnvironment3D / RoomLightSwitch3D 正式场景触发已接入；验收 verify_world_environment_audio_flow；人工听感/Android待验</t>
        </is>
      </c>
    </row>
    <row r="87" ht="92.5" customHeight="1" s="33">
      <c r="A87" s="57" t="inlineStr">
        <is>
          <t>AUD-SFX-FOOTSTEP-METAL-VAR02</t>
        </is>
      </c>
      <c r="B87" s="44" t="inlineStr">
        <is>
          <t>footstep_metal 变体2</t>
        </is>
      </c>
      <c r="C87" s="44" t="inlineStr">
        <is>
          <t>音效</t>
        </is>
      </c>
      <c r="D87" s="57" t="inlineStr">
        <is>
          <t>sfx</t>
        </is>
      </c>
      <c r="E87" s="57" t="inlineStr">
        <is>
          <t>footstep_metal</t>
        </is>
      </c>
      <c r="F87" s="57" t="inlineStr">
        <is>
          <t>root</t>
        </is>
      </c>
      <c r="G87" s="44" t="inlineStr">
        <is>
          <t>AUD-SFX-FOOTSTEP-METAL</t>
        </is>
      </c>
      <c r="H87" s="44" t="inlineStr">
        <is>
          <t>不适用</t>
        </is>
      </c>
      <c r="I87" s="57" t="inlineStr">
        <is>
          <t>variant_02</t>
        </is>
      </c>
      <c r="J87" s="44" t="inlineStr">
        <is>
          <t>player.footstep.metal</t>
        </is>
      </c>
      <c r="K87" s="44" t="inlineStr">
        <is>
          <t>原型已接入</t>
        </is>
      </c>
      <c r="L87" s="57" t="inlineStr">
        <is>
          <t>P2</t>
        </is>
      </c>
      <c r="M87" s="57" t="inlineStr">
        <is>
          <t>v002</t>
        </is>
      </c>
      <c r="N87" s="57" t="inlineStr">
        <is>
          <t>44100Hz / mono / PCM24 master / Vorbis q6 / 0.38s</t>
        </is>
      </c>
      <c r="O87" s="57" t="inlineStr">
        <is>
          <t>src/assets/audio/sfx/footstep_metal_alt02_v002.ogg</t>
        </is>
      </c>
      <c r="P87" s="57" t="inlineStr">
        <is>
          <t>art_source/audio/sfx/AUD-SFX-FOOTSTEP-METAL-VAR02/source/footstep_metal_alt02_v002.wav</t>
        </is>
      </c>
      <c r="Q87" s="57" t="inlineStr">
        <is>
          <t>footstep_metal</t>
        </is>
      </c>
      <c r="R87" s="44">
        <f>LOWER(TRIM(C87)&amp;"|"&amp;TRIM(D87)&amp;"|"&amp;TRIM(E87)&amp;"|"&amp;TRIM(F87)&amp;"|"&amp;TRIM(H87)&amp;"|"&amp;TRIM(I87))</f>
        <v/>
      </c>
      <c r="S87" s="44">
        <f>IF(COUNTIF($R$6:$R$183,R87)&gt;1,"重复","唯一")</f>
        <v/>
      </c>
      <c r="T87" s="57" t="inlineStr">
        <is>
          <t>a31cd42a5b05c3e3bc4f32cf3a95daf4404cb2eaefcccbac804fc611e81992b9</t>
        </is>
      </c>
      <c r="U87" s="57" t="inlineStr">
        <is>
          <t>Codex sound design</t>
        </is>
      </c>
      <c r="V87" s="58" t="n">
        <v>46314</v>
      </c>
      <c r="W87" s="44" t="inlineStr">
        <is>
          <t>https://kenney.nl/assets/impact-sounds | Kenney | CC0-1.0</t>
        </is>
      </c>
      <c r="X87" s="56" t="inlineStr">
        <is>
          <t>art_source/audio/sfx/AUD-SFX-FOOTSTEP-METAL-VAR02/source/footstep_metal_alt02_v002.wav</t>
        </is>
      </c>
      <c r="Y87" s="44" t="inlineStr">
        <is>
          <t>WorldAudioEnvironment3D / RoomLightSwitch3D 正式场景触发已接入；验收 verify_world_environment_audio_flow；人工听感/Android待验</t>
        </is>
      </c>
    </row>
    <row r="88" ht="92.5" customHeight="1" s="33">
      <c r="A88" s="57" t="inlineStr">
        <is>
          <t>AUD-SFX-FOOTSTEP-METAL-VAR03</t>
        </is>
      </c>
      <c r="B88" s="44" t="inlineStr">
        <is>
          <t>footstep_metal 变体3</t>
        </is>
      </c>
      <c r="C88" s="44" t="inlineStr">
        <is>
          <t>音效</t>
        </is>
      </c>
      <c r="D88" s="57" t="inlineStr">
        <is>
          <t>sfx</t>
        </is>
      </c>
      <c r="E88" s="57" t="inlineStr">
        <is>
          <t>footstep_metal</t>
        </is>
      </c>
      <c r="F88" s="57" t="inlineStr">
        <is>
          <t>root</t>
        </is>
      </c>
      <c r="G88" s="44" t="inlineStr">
        <is>
          <t>AUD-SFX-FOOTSTEP-METAL</t>
        </is>
      </c>
      <c r="H88" s="44" t="inlineStr">
        <is>
          <t>不适用</t>
        </is>
      </c>
      <c r="I88" s="57" t="inlineStr">
        <is>
          <t>variant_03</t>
        </is>
      </c>
      <c r="J88" s="44" t="inlineStr">
        <is>
          <t>player.footstep.metal</t>
        </is>
      </c>
      <c r="K88" s="44" t="inlineStr">
        <is>
          <t>原型已接入</t>
        </is>
      </c>
      <c r="L88" s="57" t="inlineStr">
        <is>
          <t>P2</t>
        </is>
      </c>
      <c r="M88" s="57" t="inlineStr">
        <is>
          <t>v002</t>
        </is>
      </c>
      <c r="N88" s="57" t="inlineStr">
        <is>
          <t>44100Hz / mono / PCM24 master / Vorbis q6 / 0.38s</t>
        </is>
      </c>
      <c r="O88" s="57" t="inlineStr">
        <is>
          <t>src/assets/audio/sfx/footstep_metal_alt03_v002.ogg</t>
        </is>
      </c>
      <c r="P88" s="57" t="inlineStr">
        <is>
          <t>art_source/audio/sfx/AUD-SFX-FOOTSTEP-METAL-VAR03/source/footstep_metal_alt03_v002.wav</t>
        </is>
      </c>
      <c r="Q88" s="57" t="inlineStr">
        <is>
          <t>footstep_metal</t>
        </is>
      </c>
      <c r="R88" s="44">
        <f>LOWER(TRIM(C88)&amp;"|"&amp;TRIM(D88)&amp;"|"&amp;TRIM(E88)&amp;"|"&amp;TRIM(F88)&amp;"|"&amp;TRIM(H88)&amp;"|"&amp;TRIM(I88))</f>
        <v/>
      </c>
      <c r="S88" s="44">
        <f>IF(COUNTIF($R$6:$R$183,R88)&gt;1,"重复","唯一")</f>
        <v/>
      </c>
      <c r="T88" s="57" t="inlineStr">
        <is>
          <t>ee4f839468bbb1eda7b7e66a6c37214555ba94ac87da679c16fcfc9c7cb87eb8</t>
        </is>
      </c>
      <c r="U88" s="57" t="inlineStr">
        <is>
          <t>Codex sound design</t>
        </is>
      </c>
      <c r="V88" s="58" t="n">
        <v>46314</v>
      </c>
      <c r="W88" s="44" t="inlineStr">
        <is>
          <t>https://kenney.nl/assets/impact-sounds | Kenney | CC0-1.0</t>
        </is>
      </c>
      <c r="X88" s="56" t="inlineStr">
        <is>
          <t>art_source/audio/sfx/AUD-SFX-FOOTSTEP-METAL-VAR03/source/footstep_metal_alt03_v002.wav</t>
        </is>
      </c>
      <c r="Y88" s="44" t="inlineStr">
        <is>
          <t>WorldAudioEnvironment3D / RoomLightSwitch3D 正式场景触发已接入；验收 verify_world_environment_audio_flow；人工听感/Android待验</t>
        </is>
      </c>
    </row>
    <row r="89" ht="92.5" customHeight="1" s="33">
      <c r="A89" s="57" t="inlineStr">
        <is>
          <t>AUD-SFX-FOOTSTEP-METAL-VAR04</t>
        </is>
      </c>
      <c r="B89" s="44" t="inlineStr">
        <is>
          <t>footstep_metal 变体4</t>
        </is>
      </c>
      <c r="C89" s="44" t="inlineStr">
        <is>
          <t>音效</t>
        </is>
      </c>
      <c r="D89" s="57" t="inlineStr">
        <is>
          <t>sfx</t>
        </is>
      </c>
      <c r="E89" s="57" t="inlineStr">
        <is>
          <t>footstep_metal</t>
        </is>
      </c>
      <c r="F89" s="57" t="inlineStr">
        <is>
          <t>root</t>
        </is>
      </c>
      <c r="G89" s="44" t="inlineStr">
        <is>
          <t>AUD-SFX-FOOTSTEP-METAL</t>
        </is>
      </c>
      <c r="H89" s="44" t="inlineStr">
        <is>
          <t>不适用</t>
        </is>
      </c>
      <c r="I89" s="57" t="inlineStr">
        <is>
          <t>variant_04</t>
        </is>
      </c>
      <c r="J89" s="44" t="inlineStr">
        <is>
          <t>player.footstep.metal</t>
        </is>
      </c>
      <c r="K89" s="44" t="inlineStr">
        <is>
          <t>原型已接入</t>
        </is>
      </c>
      <c r="L89" s="57" t="inlineStr">
        <is>
          <t>P2</t>
        </is>
      </c>
      <c r="M89" s="57" t="inlineStr">
        <is>
          <t>v002</t>
        </is>
      </c>
      <c r="N89" s="57" t="inlineStr">
        <is>
          <t>44100Hz / mono / PCM24 master / Vorbis q6 / 0.38s</t>
        </is>
      </c>
      <c r="O89" s="57" t="inlineStr">
        <is>
          <t>src/assets/audio/sfx/footstep_metal_alt04_v002.ogg</t>
        </is>
      </c>
      <c r="P89" s="57" t="inlineStr">
        <is>
          <t>art_source/audio/sfx/AUD-SFX-FOOTSTEP-METAL-VAR04/source/footstep_metal_alt04_v002.wav</t>
        </is>
      </c>
      <c r="Q89" s="57" t="inlineStr">
        <is>
          <t>footstep_metal</t>
        </is>
      </c>
      <c r="R89" s="44">
        <f>LOWER(TRIM(C89)&amp;"|"&amp;TRIM(D89)&amp;"|"&amp;TRIM(E89)&amp;"|"&amp;TRIM(F89)&amp;"|"&amp;TRIM(H89)&amp;"|"&amp;TRIM(I89))</f>
        <v/>
      </c>
      <c r="S89" s="44">
        <f>IF(COUNTIF($R$6:$R$183,R89)&gt;1,"重复","唯一")</f>
        <v/>
      </c>
      <c r="T89" s="57" t="inlineStr">
        <is>
          <t>f20d9cae6074756401e994d7268dd112566ee07a42fab3c4b454d8522e60641b</t>
        </is>
      </c>
      <c r="U89" s="57" t="inlineStr">
        <is>
          <t>Codex sound design</t>
        </is>
      </c>
      <c r="V89" s="58" t="n">
        <v>46314</v>
      </c>
      <c r="W89" s="44" t="inlineStr">
        <is>
          <t>https://kenney.nl/assets/impact-sounds | Kenney | CC0-1.0</t>
        </is>
      </c>
      <c r="X89" s="56" t="inlineStr">
        <is>
          <t>art_source/audio/sfx/AUD-SFX-FOOTSTEP-METAL-VAR04/source/footstep_metal_alt04_v002.wav</t>
        </is>
      </c>
      <c r="Y89" s="44" t="inlineStr">
        <is>
          <t>WorldAudioEnvironment3D / RoomLightSwitch3D 正式场景触发已接入；验收 verify_world_environment_audio_flow；人工听感/Android待验</t>
        </is>
      </c>
    </row>
    <row r="90" ht="92.5" customHeight="1" s="33">
      <c r="A90" s="57" t="inlineStr">
        <is>
          <t>AUD-SFX-FOOTSTEP-DEBRIS</t>
        </is>
      </c>
      <c r="B90" s="44" t="inlineStr">
        <is>
          <t>footstep_debris</t>
        </is>
      </c>
      <c r="C90" s="44" t="inlineStr">
        <is>
          <t>音效</t>
        </is>
      </c>
      <c r="D90" s="57" t="inlineStr">
        <is>
          <t>sfx</t>
        </is>
      </c>
      <c r="E90" s="57" t="inlineStr">
        <is>
          <t>footstep_debris</t>
        </is>
      </c>
      <c r="F90" s="57" t="inlineStr">
        <is>
          <t>root</t>
        </is>
      </c>
      <c r="G90" s="44" t="n"/>
      <c r="H90" s="44" t="inlineStr">
        <is>
          <t>不适用</t>
        </is>
      </c>
      <c r="I90" s="57" t="inlineStr">
        <is>
          <t>default</t>
        </is>
      </c>
      <c r="J90" s="44" t="inlineStr">
        <is>
          <t>player.footstep.debris</t>
        </is>
      </c>
      <c r="K90" s="44" t="inlineStr">
        <is>
          <t>原型已接入</t>
        </is>
      </c>
      <c r="L90" s="57" t="inlineStr">
        <is>
          <t>P2</t>
        </is>
      </c>
      <c r="M90" s="57" t="inlineStr">
        <is>
          <t>v002</t>
        </is>
      </c>
      <c r="N90" s="57" t="inlineStr">
        <is>
          <t>44100Hz / mono / PCM24 master / Vorbis q6 / 0.4s</t>
        </is>
      </c>
      <c r="O90" s="57" t="inlineStr">
        <is>
          <t>src/assets/audio/sfx/footstep_debris_v002.ogg</t>
        </is>
      </c>
      <c r="P90" s="57" t="inlineStr">
        <is>
          <t>art_source/audio/sfx/AUD-SFX-FOOTSTEP-DEBRIS/source/footstep_debris_v002.wav</t>
        </is>
      </c>
      <c r="Q90" s="57" t="inlineStr">
        <is>
          <t>footstep_debris</t>
        </is>
      </c>
      <c r="R90" s="44">
        <f>LOWER(TRIM(C90)&amp;"|"&amp;TRIM(D90)&amp;"|"&amp;TRIM(E90)&amp;"|"&amp;TRIM(F90)&amp;"|"&amp;TRIM(H90)&amp;"|"&amp;TRIM(I90))</f>
        <v/>
      </c>
      <c r="S90" s="44">
        <f>IF(COUNTIF($R$6:$R$183,R90)&gt;1,"重复","唯一")</f>
        <v/>
      </c>
      <c r="T90" s="57" t="inlineStr">
        <is>
          <t>4ef668da2b7121f54485d8cffd28752e1a251d7af521e03ead2470b08c43ef01</t>
        </is>
      </c>
      <c r="U90" s="57" t="inlineStr">
        <is>
          <t>Codex sound design</t>
        </is>
      </c>
      <c r="V90" s="58" t="n">
        <v>46314</v>
      </c>
      <c r="W90" s="44" t="inlineStr">
        <is>
          <t>https://kenney.nl/assets/impact-sounds | Kenney | CC0-1.0</t>
        </is>
      </c>
      <c r="X90" s="56" t="inlineStr">
        <is>
          <t>art_source/audio/sfx/AUD-SFX-FOOTSTEP-DEBRIS/source/footstep_debris_v002.wav</t>
        </is>
      </c>
      <c r="Y90" s="44" t="inlineStr">
        <is>
          <t>WorldAudioEnvironment3D / RoomLightSwitch3D 正式场景触发已接入；验收 verify_world_environment_audio_flow；人工听感/Android待验</t>
        </is>
      </c>
    </row>
    <row r="91" ht="92.5" customHeight="1" s="33">
      <c r="A91" s="57" t="inlineStr">
        <is>
          <t>AUD-SFX-FOOTSTEP-DEBRIS-VAR02</t>
        </is>
      </c>
      <c r="B91" s="44" t="inlineStr">
        <is>
          <t>footstep_debris 变体2</t>
        </is>
      </c>
      <c r="C91" s="44" t="inlineStr">
        <is>
          <t>音效</t>
        </is>
      </c>
      <c r="D91" s="57" t="inlineStr">
        <is>
          <t>sfx</t>
        </is>
      </c>
      <c r="E91" s="57" t="inlineStr">
        <is>
          <t>footstep_debris</t>
        </is>
      </c>
      <c r="F91" s="57" t="inlineStr">
        <is>
          <t>root</t>
        </is>
      </c>
      <c r="G91" s="44" t="inlineStr">
        <is>
          <t>AUD-SFX-FOOTSTEP-DEBRIS</t>
        </is>
      </c>
      <c r="H91" s="44" t="inlineStr">
        <is>
          <t>不适用</t>
        </is>
      </c>
      <c r="I91" s="57" t="inlineStr">
        <is>
          <t>variant_02</t>
        </is>
      </c>
      <c r="J91" s="44" t="inlineStr">
        <is>
          <t>player.footstep.debris</t>
        </is>
      </c>
      <c r="K91" s="44" t="inlineStr">
        <is>
          <t>原型已接入</t>
        </is>
      </c>
      <c r="L91" s="57" t="inlineStr">
        <is>
          <t>P2</t>
        </is>
      </c>
      <c r="M91" s="57" t="inlineStr">
        <is>
          <t>v002</t>
        </is>
      </c>
      <c r="N91" s="57" t="inlineStr">
        <is>
          <t>44100Hz / mono / PCM24 master / Vorbis q6 / 0.4s</t>
        </is>
      </c>
      <c r="O91" s="57" t="inlineStr">
        <is>
          <t>src/assets/audio/sfx/footstep_debris_alt02_v002.ogg</t>
        </is>
      </c>
      <c r="P91" s="57" t="inlineStr">
        <is>
          <t>art_source/audio/sfx/AUD-SFX-FOOTSTEP-DEBRIS-VAR02/source/footstep_debris_alt02_v002.wav</t>
        </is>
      </c>
      <c r="Q91" s="57" t="inlineStr">
        <is>
          <t>footstep_debris</t>
        </is>
      </c>
      <c r="R91" s="44">
        <f>LOWER(TRIM(C91)&amp;"|"&amp;TRIM(D91)&amp;"|"&amp;TRIM(E91)&amp;"|"&amp;TRIM(F91)&amp;"|"&amp;TRIM(H91)&amp;"|"&amp;TRIM(I91))</f>
        <v/>
      </c>
      <c r="S91" s="44">
        <f>IF(COUNTIF($R$6:$R$183,R91)&gt;1,"重复","唯一")</f>
        <v/>
      </c>
      <c r="T91" s="57" t="inlineStr">
        <is>
          <t>46d1644301edebb5754b6fdd618b903965722a32dbcb4affa3a042468d061e0a</t>
        </is>
      </c>
      <c r="U91" s="57" t="inlineStr">
        <is>
          <t>Codex sound design</t>
        </is>
      </c>
      <c r="V91" s="58" t="n">
        <v>46314</v>
      </c>
      <c r="W91" s="44" t="inlineStr">
        <is>
          <t>https://kenney.nl/assets/impact-sounds | Kenney | CC0-1.0</t>
        </is>
      </c>
      <c r="X91" s="56" t="inlineStr">
        <is>
          <t>art_source/audio/sfx/AUD-SFX-FOOTSTEP-DEBRIS-VAR02/source/footstep_debris_alt02_v002.wav</t>
        </is>
      </c>
      <c r="Y91" s="44" t="inlineStr">
        <is>
          <t>WorldAudioEnvironment3D / RoomLightSwitch3D 正式场景触发已接入；验收 verify_world_environment_audio_flow；人工听感/Android待验</t>
        </is>
      </c>
    </row>
    <row r="92" ht="92.5" customHeight="1" s="33">
      <c r="A92" s="57" t="inlineStr">
        <is>
          <t>AUD-SFX-FOOTSTEP-DEBRIS-VAR03</t>
        </is>
      </c>
      <c r="B92" s="44" t="inlineStr">
        <is>
          <t>footstep_debris 变体3</t>
        </is>
      </c>
      <c r="C92" s="44" t="inlineStr">
        <is>
          <t>音效</t>
        </is>
      </c>
      <c r="D92" s="57" t="inlineStr">
        <is>
          <t>sfx</t>
        </is>
      </c>
      <c r="E92" s="57" t="inlineStr">
        <is>
          <t>footstep_debris</t>
        </is>
      </c>
      <c r="F92" s="57" t="inlineStr">
        <is>
          <t>root</t>
        </is>
      </c>
      <c r="G92" s="44" t="inlineStr">
        <is>
          <t>AUD-SFX-FOOTSTEP-DEBRIS</t>
        </is>
      </c>
      <c r="H92" s="44" t="inlineStr">
        <is>
          <t>不适用</t>
        </is>
      </c>
      <c r="I92" s="57" t="inlineStr">
        <is>
          <t>variant_03</t>
        </is>
      </c>
      <c r="J92" s="44" t="inlineStr">
        <is>
          <t>player.footstep.debris</t>
        </is>
      </c>
      <c r="K92" s="44" t="inlineStr">
        <is>
          <t>原型已接入</t>
        </is>
      </c>
      <c r="L92" s="57" t="inlineStr">
        <is>
          <t>P2</t>
        </is>
      </c>
      <c r="M92" s="57" t="inlineStr">
        <is>
          <t>v002</t>
        </is>
      </c>
      <c r="N92" s="57" t="inlineStr">
        <is>
          <t>44100Hz / mono / PCM24 master / Vorbis q6 / 0.4s</t>
        </is>
      </c>
      <c r="O92" s="57" t="inlineStr">
        <is>
          <t>src/assets/audio/sfx/footstep_debris_alt03_v002.ogg</t>
        </is>
      </c>
      <c r="P92" s="57" t="inlineStr">
        <is>
          <t>art_source/audio/sfx/AUD-SFX-FOOTSTEP-DEBRIS-VAR03/source/footstep_debris_alt03_v002.wav</t>
        </is>
      </c>
      <c r="Q92" s="57" t="inlineStr">
        <is>
          <t>footstep_debris</t>
        </is>
      </c>
      <c r="R92" s="44">
        <f>LOWER(TRIM(C92)&amp;"|"&amp;TRIM(D92)&amp;"|"&amp;TRIM(E92)&amp;"|"&amp;TRIM(F92)&amp;"|"&amp;TRIM(H92)&amp;"|"&amp;TRIM(I92))</f>
        <v/>
      </c>
      <c r="S92" s="44">
        <f>IF(COUNTIF($R$6:$R$183,R92)&gt;1,"重复","唯一")</f>
        <v/>
      </c>
      <c r="T92" s="57" t="inlineStr">
        <is>
          <t>9700ac8afe1ec718882ca798b35351c713e17812271c6b6596d513c5ca4bdb5a</t>
        </is>
      </c>
      <c r="U92" s="57" t="inlineStr">
        <is>
          <t>Codex sound design</t>
        </is>
      </c>
      <c r="V92" s="58" t="n">
        <v>46314</v>
      </c>
      <c r="W92" s="44" t="inlineStr">
        <is>
          <t>https://kenney.nl/assets/impact-sounds | Kenney | CC0-1.0</t>
        </is>
      </c>
      <c r="X92" s="56" t="inlineStr">
        <is>
          <t>art_source/audio/sfx/AUD-SFX-FOOTSTEP-DEBRIS-VAR03/source/footstep_debris_alt03_v002.wav</t>
        </is>
      </c>
      <c r="Y92" s="44" t="inlineStr">
        <is>
          <t>WorldAudioEnvironment3D / RoomLightSwitch3D 正式场景触发已接入；验收 verify_world_environment_audio_flow；人工听感/Android待验</t>
        </is>
      </c>
    </row>
    <row r="93" ht="92.5" customHeight="1" s="33">
      <c r="A93" s="57" t="inlineStr">
        <is>
          <t>AUD-SFX-FOOTSTEP-DEBRIS-VAR04</t>
        </is>
      </c>
      <c r="B93" s="44" t="inlineStr">
        <is>
          <t>footstep_debris 变体4</t>
        </is>
      </c>
      <c r="C93" s="44" t="inlineStr">
        <is>
          <t>音效</t>
        </is>
      </c>
      <c r="D93" s="57" t="inlineStr">
        <is>
          <t>sfx</t>
        </is>
      </c>
      <c r="E93" s="57" t="inlineStr">
        <is>
          <t>footstep_debris</t>
        </is>
      </c>
      <c r="F93" s="57" t="inlineStr">
        <is>
          <t>root</t>
        </is>
      </c>
      <c r="G93" s="44" t="inlineStr">
        <is>
          <t>AUD-SFX-FOOTSTEP-DEBRIS</t>
        </is>
      </c>
      <c r="H93" s="44" t="inlineStr">
        <is>
          <t>不适用</t>
        </is>
      </c>
      <c r="I93" s="57" t="inlineStr">
        <is>
          <t>variant_04</t>
        </is>
      </c>
      <c r="J93" s="44" t="inlineStr">
        <is>
          <t>player.footstep.debris</t>
        </is>
      </c>
      <c r="K93" s="44" t="inlineStr">
        <is>
          <t>原型已接入</t>
        </is>
      </c>
      <c r="L93" s="57" t="inlineStr">
        <is>
          <t>P2</t>
        </is>
      </c>
      <c r="M93" s="57" t="inlineStr">
        <is>
          <t>v002</t>
        </is>
      </c>
      <c r="N93" s="57" t="inlineStr">
        <is>
          <t>44100Hz / mono / PCM24 master / Vorbis q6 / 0.4s</t>
        </is>
      </c>
      <c r="O93" s="57" t="inlineStr">
        <is>
          <t>src/assets/audio/sfx/footstep_debris_alt04_v002.ogg</t>
        </is>
      </c>
      <c r="P93" s="57" t="inlineStr">
        <is>
          <t>art_source/audio/sfx/AUD-SFX-FOOTSTEP-DEBRIS-VAR04/source/footstep_debris_alt04_v002.wav</t>
        </is>
      </c>
      <c r="Q93" s="57" t="inlineStr">
        <is>
          <t>footstep_debris</t>
        </is>
      </c>
      <c r="R93" s="44">
        <f>LOWER(TRIM(C93)&amp;"|"&amp;TRIM(D93)&amp;"|"&amp;TRIM(E93)&amp;"|"&amp;TRIM(F93)&amp;"|"&amp;TRIM(H93)&amp;"|"&amp;TRIM(I93))</f>
        <v/>
      </c>
      <c r="S93" s="44">
        <f>IF(COUNTIF($R$6:$R$183,R93)&gt;1,"重复","唯一")</f>
        <v/>
      </c>
      <c r="T93" s="57" t="inlineStr">
        <is>
          <t>4d2308ed840dbf4407c947b56d1bd419d7e32be6e7464c5d896238ff1082400a</t>
        </is>
      </c>
      <c r="U93" s="57" t="inlineStr">
        <is>
          <t>Codex sound design</t>
        </is>
      </c>
      <c r="V93" s="58" t="n">
        <v>46314</v>
      </c>
      <c r="W93" s="44" t="inlineStr">
        <is>
          <t>https://kenney.nl/assets/impact-sounds | Kenney | CC0-1.0</t>
        </is>
      </c>
      <c r="X93" s="56" t="inlineStr">
        <is>
          <t>art_source/audio/sfx/AUD-SFX-FOOTSTEP-DEBRIS-VAR04/source/footstep_debris_alt04_v002.wav</t>
        </is>
      </c>
      <c r="Y93" s="44" t="inlineStr">
        <is>
          <t>WorldAudioEnvironment3D / RoomLightSwitch3D 正式场景触发已接入；验收 verify_world_environment_audio_flow；人工听感/Android待验</t>
        </is>
      </c>
    </row>
    <row r="94" ht="92.5" customHeight="1" s="33">
      <c r="A94" s="57" t="inlineStr">
        <is>
          <t>AUD-SFX-PLAYER-LAND</t>
        </is>
      </c>
      <c r="B94" s="44" t="inlineStr">
        <is>
          <t>player_land</t>
        </is>
      </c>
      <c r="C94" s="44" t="inlineStr">
        <is>
          <t>音效</t>
        </is>
      </c>
      <c r="D94" s="57" t="inlineStr">
        <is>
          <t>sfx</t>
        </is>
      </c>
      <c r="E94" s="57" t="inlineStr">
        <is>
          <t>player_land</t>
        </is>
      </c>
      <c r="F94" s="57" t="inlineStr">
        <is>
          <t>root</t>
        </is>
      </c>
      <c r="G94" s="44" t="n"/>
      <c r="H94" s="44" t="inlineStr">
        <is>
          <t>不适用</t>
        </is>
      </c>
      <c r="I94" s="57" t="inlineStr">
        <is>
          <t>default</t>
        </is>
      </c>
      <c r="J94" s="44" t="inlineStr">
        <is>
          <t>player.land</t>
        </is>
      </c>
      <c r="K94" s="44" t="inlineStr">
        <is>
          <t>authored</t>
        </is>
      </c>
      <c r="L94" s="57" t="inlineStr">
        <is>
          <t>P2</t>
        </is>
      </c>
      <c r="M94" s="57" t="inlineStr">
        <is>
          <t>v002</t>
        </is>
      </c>
      <c r="N94" s="57" t="inlineStr">
        <is>
          <t>44100Hz / mono / PCM24 master / Vorbis q6 / 0.5s</t>
        </is>
      </c>
      <c r="O94" s="57" t="inlineStr">
        <is>
          <t>src/assets/audio/sfx/player_land_v002.ogg</t>
        </is>
      </c>
      <c r="P94" s="57" t="inlineStr">
        <is>
          <t>art_source/audio/sfx/AUD-SFX-PLAYER-LAND/source/player_land_v002.wav</t>
        </is>
      </c>
      <c r="Q94" s="57" t="inlineStr">
        <is>
          <t>player_land</t>
        </is>
      </c>
      <c r="R94" s="44">
        <f>LOWER(TRIM(C94)&amp;"|"&amp;TRIM(D94)&amp;"|"&amp;TRIM(E94)&amp;"|"&amp;TRIM(F94)&amp;"|"&amp;TRIM(H94)&amp;"|"&amp;TRIM(I94))</f>
        <v/>
      </c>
      <c r="S94" s="44">
        <f>IF(COUNTIF($R$6:$R$183,R94)&gt;1,"重复","唯一")</f>
        <v/>
      </c>
      <c r="T94" s="57" t="inlineStr">
        <is>
          <t>0b33702ac7193ceb7fae39a5d22e536814da84c895bf88367c987818c2211165</t>
        </is>
      </c>
      <c r="U94" s="57" t="inlineStr">
        <is>
          <t>Codex sound design</t>
        </is>
      </c>
      <c r="V94" s="58" t="n">
        <v>46314</v>
      </c>
      <c r="W94" s="44" t="inlineStr">
        <is>
          <t>https://kenney.nl/assets/impact-sounds | Kenney | CC0-1.0</t>
        </is>
      </c>
      <c r="X94" s="56" t="inlineStr">
        <is>
          <t>art_source/audio/sfx/AUD-SFX-PLAYER-LAND/source/player_land_v002.wav</t>
        </is>
      </c>
      <c r="Y94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95" ht="92.5" customHeight="1" s="33">
      <c r="A95" s="57" t="inlineStr">
        <is>
          <t>AUD-SFX-PLAYER-LAND-VAR02</t>
        </is>
      </c>
      <c r="B95" s="44" t="inlineStr">
        <is>
          <t>player_land 变体2</t>
        </is>
      </c>
      <c r="C95" s="44" t="inlineStr">
        <is>
          <t>音效</t>
        </is>
      </c>
      <c r="D95" s="57" t="inlineStr">
        <is>
          <t>sfx</t>
        </is>
      </c>
      <c r="E95" s="57" t="inlineStr">
        <is>
          <t>player_land</t>
        </is>
      </c>
      <c r="F95" s="57" t="inlineStr">
        <is>
          <t>root</t>
        </is>
      </c>
      <c r="G95" s="44" t="inlineStr">
        <is>
          <t>AUD-SFX-PLAYER-LAND</t>
        </is>
      </c>
      <c r="H95" s="44" t="inlineStr">
        <is>
          <t>不适用</t>
        </is>
      </c>
      <c r="I95" s="57" t="inlineStr">
        <is>
          <t>variant_02</t>
        </is>
      </c>
      <c r="J95" s="44" t="inlineStr">
        <is>
          <t>player.land</t>
        </is>
      </c>
      <c r="K95" s="44" t="inlineStr">
        <is>
          <t>authored</t>
        </is>
      </c>
      <c r="L95" s="57" t="inlineStr">
        <is>
          <t>P2</t>
        </is>
      </c>
      <c r="M95" s="57" t="inlineStr">
        <is>
          <t>v002</t>
        </is>
      </c>
      <c r="N95" s="57" t="inlineStr">
        <is>
          <t>44100Hz / mono / PCM24 master / Vorbis q6 / 0.5s</t>
        </is>
      </c>
      <c r="O95" s="57" t="inlineStr">
        <is>
          <t>src/assets/audio/sfx/player_land_alt02_v002.ogg</t>
        </is>
      </c>
      <c r="P95" s="57" t="inlineStr">
        <is>
          <t>art_source/audio/sfx/AUD-SFX-PLAYER-LAND-VAR02/source/player_land_alt02_v002.wav</t>
        </is>
      </c>
      <c r="Q95" s="57" t="inlineStr">
        <is>
          <t>player_land</t>
        </is>
      </c>
      <c r="R95" s="44">
        <f>LOWER(TRIM(C95)&amp;"|"&amp;TRIM(D95)&amp;"|"&amp;TRIM(E95)&amp;"|"&amp;TRIM(F95)&amp;"|"&amp;TRIM(H95)&amp;"|"&amp;TRIM(I95))</f>
        <v/>
      </c>
      <c r="S95" s="44">
        <f>IF(COUNTIF($R$6:$R$183,R95)&gt;1,"重复","唯一")</f>
        <v/>
      </c>
      <c r="T95" s="57" t="inlineStr">
        <is>
          <t>e407f5ced53df69f51280e7c1a7fea28fec118ac30300df16f35a2ba1c80aaa0</t>
        </is>
      </c>
      <c r="U95" s="57" t="inlineStr">
        <is>
          <t>Codex sound design</t>
        </is>
      </c>
      <c r="V95" s="58" t="n">
        <v>46314</v>
      </c>
      <c r="W95" s="44" t="inlineStr">
        <is>
          <t>https://kenney.nl/assets/impact-sounds | Kenney | CC0-1.0</t>
        </is>
      </c>
      <c r="X95" s="56" t="inlineStr">
        <is>
          <t>art_source/audio/sfx/AUD-SFX-PLAYER-LAND-VAR02/source/player_land_alt02_v002.wav</t>
        </is>
      </c>
      <c r="Y95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96" ht="92.5" customHeight="1" s="33">
      <c r="A96" s="57" t="inlineStr">
        <is>
          <t>AUD-SFX-PLAYER-LAND-VAR03</t>
        </is>
      </c>
      <c r="B96" s="44" t="inlineStr">
        <is>
          <t>player_land 变体3</t>
        </is>
      </c>
      <c r="C96" s="44" t="inlineStr">
        <is>
          <t>音效</t>
        </is>
      </c>
      <c r="D96" s="57" t="inlineStr">
        <is>
          <t>sfx</t>
        </is>
      </c>
      <c r="E96" s="57" t="inlineStr">
        <is>
          <t>player_land</t>
        </is>
      </c>
      <c r="F96" s="57" t="inlineStr">
        <is>
          <t>root</t>
        </is>
      </c>
      <c r="G96" s="44" t="inlineStr">
        <is>
          <t>AUD-SFX-PLAYER-LAND</t>
        </is>
      </c>
      <c r="H96" s="44" t="inlineStr">
        <is>
          <t>不适用</t>
        </is>
      </c>
      <c r="I96" s="57" t="inlineStr">
        <is>
          <t>variant_03</t>
        </is>
      </c>
      <c r="J96" s="44" t="inlineStr">
        <is>
          <t>player.land</t>
        </is>
      </c>
      <c r="K96" s="44" t="inlineStr">
        <is>
          <t>authored</t>
        </is>
      </c>
      <c r="L96" s="57" t="inlineStr">
        <is>
          <t>P2</t>
        </is>
      </c>
      <c r="M96" s="57" t="inlineStr">
        <is>
          <t>v002</t>
        </is>
      </c>
      <c r="N96" s="57" t="inlineStr">
        <is>
          <t>44100Hz / mono / PCM24 master / Vorbis q6 / 0.5s</t>
        </is>
      </c>
      <c r="O96" s="57" t="inlineStr">
        <is>
          <t>src/assets/audio/sfx/player_land_alt03_v002.ogg</t>
        </is>
      </c>
      <c r="P96" s="57" t="inlineStr">
        <is>
          <t>art_source/audio/sfx/AUD-SFX-PLAYER-LAND-VAR03/source/player_land_alt03_v002.wav</t>
        </is>
      </c>
      <c r="Q96" s="57" t="inlineStr">
        <is>
          <t>player_land</t>
        </is>
      </c>
      <c r="R96" s="44">
        <f>LOWER(TRIM(C96)&amp;"|"&amp;TRIM(D96)&amp;"|"&amp;TRIM(E96)&amp;"|"&amp;TRIM(F96)&amp;"|"&amp;TRIM(H96)&amp;"|"&amp;TRIM(I96))</f>
        <v/>
      </c>
      <c r="S96" s="44">
        <f>IF(COUNTIF($R$6:$R$183,R96)&gt;1,"重复","唯一")</f>
        <v/>
      </c>
      <c r="T96" s="57" t="inlineStr">
        <is>
          <t>aae3def7ae1827a58f998c526dbf5abc30ab17f05fcf4153ebbc35ef062b95dd</t>
        </is>
      </c>
      <c r="U96" s="57" t="inlineStr">
        <is>
          <t>Codex sound design</t>
        </is>
      </c>
      <c r="V96" s="58" t="n">
        <v>46314</v>
      </c>
      <c r="W96" s="44" t="inlineStr">
        <is>
          <t>https://kenney.nl/assets/impact-sounds | Kenney | CC0-1.0</t>
        </is>
      </c>
      <c r="X96" s="56" t="inlineStr">
        <is>
          <t>art_source/audio/sfx/AUD-SFX-PLAYER-LAND-VAR03/source/player_land_alt03_v002.wav</t>
        </is>
      </c>
      <c r="Y96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97" ht="92.5" customHeight="1" s="33">
      <c r="A97" s="57" t="inlineStr">
        <is>
          <t>AUD-SFX-PLAYER-DOWN</t>
        </is>
      </c>
      <c r="B97" s="44" t="inlineStr">
        <is>
          <t>player_down</t>
        </is>
      </c>
      <c r="C97" s="44" t="inlineStr">
        <is>
          <t>音效</t>
        </is>
      </c>
      <c r="D97" s="57" t="inlineStr">
        <is>
          <t>sfx</t>
        </is>
      </c>
      <c r="E97" s="57" t="inlineStr">
        <is>
          <t>player_down</t>
        </is>
      </c>
      <c r="F97" s="57" t="inlineStr">
        <is>
          <t>root</t>
        </is>
      </c>
      <c r="G97" s="44" t="n"/>
      <c r="H97" s="44" t="inlineStr">
        <is>
          <t>不适用</t>
        </is>
      </c>
      <c r="I97" s="57" t="inlineStr">
        <is>
          <t>default</t>
        </is>
      </c>
      <c r="J97" s="44" t="inlineStr">
        <is>
          <t>player.down</t>
        </is>
      </c>
      <c r="K97" s="44" t="inlineStr">
        <is>
          <t>authored</t>
        </is>
      </c>
      <c r="L97" s="57" t="inlineStr">
        <is>
          <t>P0</t>
        </is>
      </c>
      <c r="M97" s="57" t="inlineStr">
        <is>
          <t>v002</t>
        </is>
      </c>
      <c r="N97" s="57" t="inlineStr">
        <is>
          <t>44100Hz / mono / PCM24 master / Vorbis q6 / 0.85s</t>
        </is>
      </c>
      <c r="O97" s="57" t="inlineStr">
        <is>
          <t>src/assets/audio/sfx/player_down_v002.ogg</t>
        </is>
      </c>
      <c r="P97" s="57" t="inlineStr">
        <is>
          <t>art_source/audio/sfx/AUD-SFX-PLAYER-DOWN/source/player_down_v002.wav</t>
        </is>
      </c>
      <c r="Q97" s="57" t="inlineStr">
        <is>
          <t>player_down</t>
        </is>
      </c>
      <c r="R97" s="44">
        <f>LOWER(TRIM(C97)&amp;"|"&amp;TRIM(D97)&amp;"|"&amp;TRIM(E97)&amp;"|"&amp;TRIM(F97)&amp;"|"&amp;TRIM(H97)&amp;"|"&amp;TRIM(I97))</f>
        <v/>
      </c>
      <c r="S97" s="44">
        <f>IF(COUNTIF($R$6:$R$183,R97)&gt;1,"重复","唯一")</f>
        <v/>
      </c>
      <c r="T97" s="57" t="inlineStr">
        <is>
          <t>98044c7f4b4233fa201d997b9ad620b9ecfd7cb670fae9047e8b4476572627c8</t>
        </is>
      </c>
      <c r="U97" s="57" t="inlineStr">
        <is>
          <t>Codex sound design</t>
        </is>
      </c>
      <c r="V97" s="58" t="n">
        <v>46314</v>
      </c>
      <c r="W97" s="44" t="inlineStr">
        <is>
          <t>https://kenney.nl/assets/impact-sounds | Kenney; https://opengameart.org/content/male-gruntyelling-sounds | HaelDB | CC0-1.0</t>
        </is>
      </c>
      <c r="X97" s="56" t="inlineStr">
        <is>
          <t>art_source/audio/sfx/AUD-SFX-PLAYER-DOWN/source/player_down_v002.wav</t>
        </is>
      </c>
      <c r="Y97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98" ht="92.5" customHeight="1" s="33">
      <c r="A98" s="57" t="inlineStr">
        <is>
          <t>AUD-SFX-PLAYER-DEATH</t>
        </is>
      </c>
      <c r="B98" s="44" t="inlineStr">
        <is>
          <t>player_death</t>
        </is>
      </c>
      <c r="C98" s="44" t="inlineStr">
        <is>
          <t>音效</t>
        </is>
      </c>
      <c r="D98" s="57" t="inlineStr">
        <is>
          <t>sfx</t>
        </is>
      </c>
      <c r="E98" s="57" t="inlineStr">
        <is>
          <t>player_death</t>
        </is>
      </c>
      <c r="F98" s="57" t="inlineStr">
        <is>
          <t>root</t>
        </is>
      </c>
      <c r="G98" s="44" t="n"/>
      <c r="H98" s="44" t="inlineStr">
        <is>
          <t>不适用</t>
        </is>
      </c>
      <c r="I98" s="57" t="inlineStr">
        <is>
          <t>default</t>
        </is>
      </c>
      <c r="J98" s="44" t="inlineStr">
        <is>
          <t>player.death_confirmed</t>
        </is>
      </c>
      <c r="K98" s="44" t="inlineStr">
        <is>
          <t>authored</t>
        </is>
      </c>
      <c r="L98" s="57" t="inlineStr">
        <is>
          <t>P1</t>
        </is>
      </c>
      <c r="M98" s="57" t="inlineStr">
        <is>
          <t>v002</t>
        </is>
      </c>
      <c r="N98" s="57" t="inlineStr">
        <is>
          <t>44100Hz / mono / PCM24 master / Vorbis q6 / 1.15s</t>
        </is>
      </c>
      <c r="O98" s="57" t="inlineStr">
        <is>
          <t>src/assets/audio/sfx/player_death_v002.ogg</t>
        </is>
      </c>
      <c r="P98" s="57" t="inlineStr">
        <is>
          <t>art_source/audio/sfx/AUD-SFX-PLAYER-DEATH/source/player_death_v002.wav</t>
        </is>
      </c>
      <c r="Q98" s="57" t="inlineStr">
        <is>
          <t>player_death</t>
        </is>
      </c>
      <c r="R98" s="44">
        <f>LOWER(TRIM(C98)&amp;"|"&amp;TRIM(D98)&amp;"|"&amp;TRIM(E98)&amp;"|"&amp;TRIM(F98)&amp;"|"&amp;TRIM(H98)&amp;"|"&amp;TRIM(I98))</f>
        <v/>
      </c>
      <c r="S98" s="44">
        <f>IF(COUNTIF($R$6:$R$183,R98)&gt;1,"重复","唯一")</f>
        <v/>
      </c>
      <c r="T98" s="57" t="inlineStr">
        <is>
          <t>c7ccbb37fcf7c232c06f9ea1f503b9943d7774e730da591ef9a1e92084e8dc32</t>
        </is>
      </c>
      <c r="U98" s="57" t="inlineStr">
        <is>
          <t>Codex sound design</t>
        </is>
      </c>
      <c r="V98" s="58" t="n">
        <v>46314</v>
      </c>
      <c r="W98" s="44" t="inlineStr">
        <is>
          <t>https://kenney.nl/assets/impact-sounds | Kenney; https://kenney.nl/assets/rpg-audio | Kenney; https://opengameart.org/content/male-gruntyelling-sounds | HaelDB | CC0-1.0</t>
        </is>
      </c>
      <c r="X98" s="56" t="inlineStr">
        <is>
          <t>art_source/audio/sfx/AUD-SFX-PLAYER-DEATH/source/player_death_v002.wav</t>
        </is>
      </c>
      <c r="Y98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99" ht="92.5" customHeight="1" s="33">
      <c r="A99" s="57" t="inlineStr">
        <is>
          <t>AUD-SFX-FLASHLIGHT-ON</t>
        </is>
      </c>
      <c r="B99" s="44" t="inlineStr">
        <is>
          <t>flashlight_on</t>
        </is>
      </c>
      <c r="C99" s="44" t="inlineStr">
        <is>
          <t>音效</t>
        </is>
      </c>
      <c r="D99" s="57" t="inlineStr">
        <is>
          <t>sfx</t>
        </is>
      </c>
      <c r="E99" s="57" t="inlineStr">
        <is>
          <t>flashlight_on</t>
        </is>
      </c>
      <c r="F99" s="57" t="inlineStr">
        <is>
          <t>root</t>
        </is>
      </c>
      <c r="G99" s="44" t="n"/>
      <c r="H99" s="44" t="inlineStr">
        <is>
          <t>不适用</t>
        </is>
      </c>
      <c r="I99" s="57" t="inlineStr">
        <is>
          <t>default</t>
        </is>
      </c>
      <c r="J99" s="44" t="inlineStr">
        <is>
          <t>player.flashlight_on</t>
        </is>
      </c>
      <c r="K99" s="44" t="inlineStr">
        <is>
          <t>authored</t>
        </is>
      </c>
      <c r="L99" s="57" t="inlineStr">
        <is>
          <t>P2</t>
        </is>
      </c>
      <c r="M99" s="57" t="inlineStr">
        <is>
          <t>v002</t>
        </is>
      </c>
      <c r="N99" s="57" t="inlineStr">
        <is>
          <t>44100Hz / mono / PCM24 master / Vorbis q6 / 0.22s</t>
        </is>
      </c>
      <c r="O99" s="57" t="inlineStr">
        <is>
          <t>src/assets/audio/sfx/flashlight_on_v002.ogg</t>
        </is>
      </c>
      <c r="P99" s="57" t="inlineStr">
        <is>
          <t>art_source/audio/sfx/AUD-SFX-FLASHLIGHT-ON/source/flashlight_on_v002.wav</t>
        </is>
      </c>
      <c r="Q99" s="57" t="inlineStr">
        <is>
          <t>flashlight_on</t>
        </is>
      </c>
      <c r="R99" s="44">
        <f>LOWER(TRIM(C99)&amp;"|"&amp;TRIM(D99)&amp;"|"&amp;TRIM(E99)&amp;"|"&amp;TRIM(F99)&amp;"|"&amp;TRIM(H99)&amp;"|"&amp;TRIM(I99))</f>
        <v/>
      </c>
      <c r="S99" s="44">
        <f>IF(COUNTIF($R$6:$R$183,R99)&gt;1,"重复","唯一")</f>
        <v/>
      </c>
      <c r="T99" s="57" t="inlineStr">
        <is>
          <t>e9326db12f08f46d0e124ac92a5494259ebd1610f877255581b40c70f3dd627a</t>
        </is>
      </c>
      <c r="U99" s="57" t="inlineStr">
        <is>
          <t>Codex sound design</t>
        </is>
      </c>
      <c r="V99" s="58" t="n">
        <v>46314</v>
      </c>
      <c r="W99" s="44" t="inlineStr">
        <is>
          <t>https://kenney.nl/assets/rpg-audio | Kenney | CC0-1.0</t>
        </is>
      </c>
      <c r="X99" s="56" t="inlineStr">
        <is>
          <t>art_source/audio/sfx/AUD-SFX-FLASHLIGHT-ON/source/flashlight_on_v002.wav</t>
        </is>
      </c>
      <c r="Y99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100" ht="92.5" customHeight="1" s="33">
      <c r="A100" s="57" t="inlineStr">
        <is>
          <t>AUD-SFX-FLASHLIGHT-OFF</t>
        </is>
      </c>
      <c r="B100" s="44" t="inlineStr">
        <is>
          <t>flashlight_off</t>
        </is>
      </c>
      <c r="C100" s="44" t="inlineStr">
        <is>
          <t>音效</t>
        </is>
      </c>
      <c r="D100" s="57" t="inlineStr">
        <is>
          <t>sfx</t>
        </is>
      </c>
      <c r="E100" s="57" t="inlineStr">
        <is>
          <t>flashlight_off</t>
        </is>
      </c>
      <c r="F100" s="57" t="inlineStr">
        <is>
          <t>root</t>
        </is>
      </c>
      <c r="G100" s="44" t="n"/>
      <c r="H100" s="44" t="inlineStr">
        <is>
          <t>不适用</t>
        </is>
      </c>
      <c r="I100" s="57" t="inlineStr">
        <is>
          <t>default</t>
        </is>
      </c>
      <c r="J100" s="44" t="inlineStr">
        <is>
          <t>player.flashlight_off</t>
        </is>
      </c>
      <c r="K100" s="44" t="inlineStr">
        <is>
          <t>authored</t>
        </is>
      </c>
      <c r="L100" s="57" t="inlineStr">
        <is>
          <t>P2</t>
        </is>
      </c>
      <c r="M100" s="57" t="inlineStr">
        <is>
          <t>v002</t>
        </is>
      </c>
      <c r="N100" s="57" t="inlineStr">
        <is>
          <t>44100Hz / mono / PCM24 master / Vorbis q6 / 0.24s</t>
        </is>
      </c>
      <c r="O100" s="57" t="inlineStr">
        <is>
          <t>src/assets/audio/sfx/flashlight_off_v002.ogg</t>
        </is>
      </c>
      <c r="P100" s="57" t="inlineStr">
        <is>
          <t>art_source/audio/sfx/AUD-SFX-FLASHLIGHT-OFF/source/flashlight_off_v002.wav</t>
        </is>
      </c>
      <c r="Q100" s="57" t="inlineStr">
        <is>
          <t>flashlight_off</t>
        </is>
      </c>
      <c r="R100" s="44">
        <f>LOWER(TRIM(C100)&amp;"|"&amp;TRIM(D100)&amp;"|"&amp;TRIM(E100)&amp;"|"&amp;TRIM(F100)&amp;"|"&amp;TRIM(H100)&amp;"|"&amp;TRIM(I100))</f>
        <v/>
      </c>
      <c r="S100" s="44">
        <f>IF(COUNTIF($R$6:$R$183,R100)&gt;1,"重复","唯一")</f>
        <v/>
      </c>
      <c r="T100" s="57" t="inlineStr">
        <is>
          <t>cf4799849c294ca01153a39e0f7742b1baa8cefc1d601e41c4d4aabeb1b9ed90</t>
        </is>
      </c>
      <c r="U100" s="57" t="inlineStr">
        <is>
          <t>Codex sound design</t>
        </is>
      </c>
      <c r="V100" s="58" t="n">
        <v>46314</v>
      </c>
      <c r="W100" s="44" t="inlineStr">
        <is>
          <t>https://kenney.nl/assets/rpg-audio | Kenney | CC0-1.0</t>
        </is>
      </c>
      <c r="X100" s="56" t="inlineStr">
        <is>
          <t>art_source/audio/sfx/AUD-SFX-FLASHLIGHT-OFF/source/flashlight_off_v002.wav</t>
        </is>
      </c>
      <c r="Y100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101" ht="92.5" customHeight="1" s="33">
      <c r="A101" s="57" t="inlineStr">
        <is>
          <t>AUD-SFX-RELOAD-ACTION</t>
        </is>
      </c>
      <c r="B101" s="44" t="inlineStr">
        <is>
          <t>换弹操作段（储备素材）</t>
        </is>
      </c>
      <c r="C101" s="44" t="inlineStr">
        <is>
          <t>音效</t>
        </is>
      </c>
      <c r="D101" s="57" t="inlineStr">
        <is>
          <t>sfx</t>
        </is>
      </c>
      <c r="E101" s="57" t="inlineStr">
        <is>
          <t>reload_action</t>
        </is>
      </c>
      <c r="F101" s="57" t="inlineStr">
        <is>
          <t>root</t>
        </is>
      </c>
      <c r="G101" s="44" t="n"/>
      <c r="H101" s="44" t="inlineStr">
        <is>
          <t>不适用</t>
        </is>
      </c>
      <c r="I101" s="57" t="inlineStr">
        <is>
          <t>default</t>
        </is>
      </c>
      <c r="J101" s="44" t="inlineStr">
        <is>
          <t>combat.weapon.reload_action</t>
        </is>
      </c>
      <c r="K101" s="44" t="inlineStr">
        <is>
          <t>authored</t>
        </is>
      </c>
      <c r="L101" s="57" t="inlineStr">
        <is>
          <t>P2</t>
        </is>
      </c>
      <c r="M101" s="57" t="inlineStr">
        <is>
          <t>v002</t>
        </is>
      </c>
      <c r="N101" s="57" t="inlineStr">
        <is>
          <t>44100Hz / mono / PCM24 master / Vorbis q6 / 0.620000s</t>
        </is>
      </c>
      <c r="O101" s="57" t="inlineStr">
        <is>
          <t>src/assets/audio/sfx/reload_action_v002.ogg</t>
        </is>
      </c>
      <c r="P101" s="57" t="inlineStr">
        <is>
          <t>art_source/audio/sfx/AUD-SFX-RELOAD-ACTION/source/reload_action_v002.wav</t>
        </is>
      </c>
      <c r="Q101" s="57" t="inlineStr">
        <is>
          <t>reload_action</t>
        </is>
      </c>
      <c r="R101" s="44">
        <f>LOWER(TRIM(C101)&amp;"|"&amp;TRIM(D101)&amp;"|"&amp;TRIM(E101)&amp;"|"&amp;TRIM(F101)&amp;"|"&amp;TRIM(H101)&amp;"|"&amp;TRIM(I101))</f>
        <v/>
      </c>
      <c r="S101" s="44">
        <f>IF(COUNTIF($R$6:$R$183,R101)&gt;1,"重复","唯一")</f>
        <v/>
      </c>
      <c r="T101" s="57" t="inlineStr">
        <is>
          <t>03721cca712b4a04bd4590f1930158ff1ab0946d2d224eeaa5ebbe421427d503</t>
        </is>
      </c>
      <c r="U101" s="57" t="inlineStr">
        <is>
          <t>Codex sound design</t>
        </is>
      </c>
      <c r="V101" s="58" t="n">
        <v>46314</v>
      </c>
      <c r="W101" s="44" t="inlineStr">
        <is>
          <t>https://opengameart.org/content/equipment-clicks-iii | LFA | CC0-1.0; edited recording; OpenSpades free pak distribution</t>
        </is>
      </c>
      <c r="X101" s="56" t="inlineStr">
        <is>
          <t>art_source/audio/sfx/AUD-SFX-RELOAD-ACTION/source/reload_action_v002.wav</t>
        </is>
      </c>
      <c r="Y101" s="44" t="inlineStr">
        <is>
          <t>素材与事件映射已制作；尚无正式领域触发调用；资源解码与哈希已核验；人工听感与Android待验</t>
        </is>
      </c>
    </row>
    <row r="102" ht="92.5" customHeight="1" s="33">
      <c r="A102" s="57" t="inlineStr">
        <is>
          <t>AUD-SFX-RELOAD-END</t>
        </is>
      </c>
      <c r="B102" s="44" t="inlineStr">
        <is>
          <t>换弹完成段（储备素材）</t>
        </is>
      </c>
      <c r="C102" s="44" t="inlineStr">
        <is>
          <t>音效</t>
        </is>
      </c>
      <c r="D102" s="57" t="inlineStr">
        <is>
          <t>sfx</t>
        </is>
      </c>
      <c r="E102" s="57" t="inlineStr">
        <is>
          <t>reload_end</t>
        </is>
      </c>
      <c r="F102" s="57" t="inlineStr">
        <is>
          <t>root</t>
        </is>
      </c>
      <c r="G102" s="44" t="n"/>
      <c r="H102" s="44" t="inlineStr">
        <is>
          <t>不适用</t>
        </is>
      </c>
      <c r="I102" s="57" t="inlineStr">
        <is>
          <t>default</t>
        </is>
      </c>
      <c r="J102" s="44" t="inlineStr">
        <is>
          <t>combat.weapon.reload_end</t>
        </is>
      </c>
      <c r="K102" s="44" t="inlineStr">
        <is>
          <t>authored</t>
        </is>
      </c>
      <c r="L102" s="57" t="inlineStr">
        <is>
          <t>P2</t>
        </is>
      </c>
      <c r="M102" s="57" t="inlineStr">
        <is>
          <t>v002</t>
        </is>
      </c>
      <c r="N102" s="57" t="inlineStr">
        <is>
          <t>44100Hz / mono / PCM24 master / Vorbis q6 / 0.320000s</t>
        </is>
      </c>
      <c r="O102" s="57" t="inlineStr">
        <is>
          <t>src/assets/audio/sfx/reload_end_v002.ogg</t>
        </is>
      </c>
      <c r="P102" s="57" t="inlineStr">
        <is>
          <t>art_source/audio/sfx/AUD-SFX-RELOAD-END/source/reload_end_v002.wav</t>
        </is>
      </c>
      <c r="Q102" s="57" t="inlineStr">
        <is>
          <t>reload_end</t>
        </is>
      </c>
      <c r="R102" s="44">
        <f>LOWER(TRIM(C102)&amp;"|"&amp;TRIM(D102)&amp;"|"&amp;TRIM(E102)&amp;"|"&amp;TRIM(F102)&amp;"|"&amp;TRIM(H102)&amp;"|"&amp;TRIM(I102))</f>
        <v/>
      </c>
      <c r="S102" s="44">
        <f>IF(COUNTIF($R$6:$R$183,R102)&gt;1,"重复","唯一")</f>
        <v/>
      </c>
      <c r="T102" s="57" t="inlineStr">
        <is>
          <t>ee606322d996f396f83f8e1d17648a22c1e7b903ef3a0cc85ee9e8c5817063dc</t>
        </is>
      </c>
      <c r="U102" s="57" t="inlineStr">
        <is>
          <t>Codex sound design</t>
        </is>
      </c>
      <c r="V102" s="58" t="n">
        <v>46314</v>
      </c>
      <c r="W102" s="44" t="inlineStr">
        <is>
          <t>https://opengameart.org/content/gun-reload-sounds | SpringySpringo | CC0-1.0; edited recording; OpenSpades free pak distribution</t>
        </is>
      </c>
      <c r="X102" s="56" t="inlineStr">
        <is>
          <t>art_source/audio/sfx/AUD-SFX-RELOAD-END/source/reload_end_v002.wav</t>
        </is>
      </c>
      <c r="Y102" s="44" t="inlineStr">
        <is>
          <t>素材与事件映射已制作；尚无正式领域触发调用；资源解码与哈希已核验；人工听感与Android待验</t>
        </is>
      </c>
    </row>
    <row r="103" ht="92.5" customHeight="1" s="33">
      <c r="A103" s="57" t="inlineStr">
        <is>
          <t>AUD-SFX-WEAPON-SWAP</t>
        </is>
      </c>
      <c r="B103" s="44" t="inlineStr">
        <is>
          <t>切换枪械（储备素材）</t>
        </is>
      </c>
      <c r="C103" s="44" t="inlineStr">
        <is>
          <t>音效</t>
        </is>
      </c>
      <c r="D103" s="57" t="inlineStr">
        <is>
          <t>sfx</t>
        </is>
      </c>
      <c r="E103" s="57" t="inlineStr">
        <is>
          <t>weapon_swap</t>
        </is>
      </c>
      <c r="F103" s="57" t="inlineStr">
        <is>
          <t>root</t>
        </is>
      </c>
      <c r="G103" s="44" t="n"/>
      <c r="H103" s="44" t="inlineStr">
        <is>
          <t>不适用</t>
        </is>
      </c>
      <c r="I103" s="57" t="inlineStr">
        <is>
          <t>default</t>
        </is>
      </c>
      <c r="J103" s="44" t="inlineStr">
        <is>
          <t>combat.weapon.swap</t>
        </is>
      </c>
      <c r="K103" s="44" t="inlineStr">
        <is>
          <t>authored</t>
        </is>
      </c>
      <c r="L103" s="57" t="inlineStr">
        <is>
          <t>P2</t>
        </is>
      </c>
      <c r="M103" s="57" t="inlineStr">
        <is>
          <t>v002</t>
        </is>
      </c>
      <c r="N103" s="57" t="inlineStr">
        <is>
          <t>44100Hz / mono / PCM24 master / Vorbis q6 / 0.390000s</t>
        </is>
      </c>
      <c r="O103" s="57" t="inlineStr">
        <is>
          <t>src/assets/audio/sfx/weapon_swap_v002.ogg</t>
        </is>
      </c>
      <c r="P103" s="57" t="inlineStr">
        <is>
          <t>art_source/audio/sfx/AUD-SFX-WEAPON-SWAP/source/weapon_swap_v002.wav</t>
        </is>
      </c>
      <c r="Q103" s="57" t="inlineStr">
        <is>
          <t>weapon_swap</t>
        </is>
      </c>
      <c r="R103" s="44">
        <f>LOWER(TRIM(C103)&amp;"|"&amp;TRIM(D103)&amp;"|"&amp;TRIM(E103)&amp;"|"&amp;TRIM(F103)&amp;"|"&amp;TRIM(H103)&amp;"|"&amp;TRIM(I103))</f>
        <v/>
      </c>
      <c r="S103" s="44">
        <f>IF(COUNTIF($R$6:$R$183,R103)&gt;1,"重复","唯一")</f>
        <v/>
      </c>
      <c r="T103" s="57" t="inlineStr">
        <is>
          <t>b5bb16fea072a464db0ce79c6f2b9a12caaf0d865ce50cc08ca1c351be0b9e53</t>
        </is>
      </c>
      <c r="U103" s="57" t="inlineStr">
        <is>
          <t>Codex sound design</t>
        </is>
      </c>
      <c r="V103" s="58" t="n">
        <v>46314</v>
      </c>
      <c r="W103" s="44" t="inlineStr">
        <is>
          <t>https://opengameart.org/content/equipment-clicks-iii | LFA | CC0-1.0; edited recording; OpenSpades free pak distribution</t>
        </is>
      </c>
      <c r="X103" s="56" t="inlineStr">
        <is>
          <t>art_source/audio/sfx/AUD-SFX-WEAPON-SWAP/source/weapon_swap_v002.wav</t>
        </is>
      </c>
      <c r="Y103" s="44" t="inlineStr">
        <is>
          <t>素材与事件映射已制作；尚无正式领域触发调用；资源解码与哈希已核验；人工听感与Android待验</t>
        </is>
      </c>
    </row>
    <row r="104" ht="92.5" customHeight="1" s="33">
      <c r="A104" s="57" t="inlineStr">
        <is>
          <t>AUD-SFX-WEAPON-ATTACH</t>
        </is>
      </c>
      <c r="B104" s="44" t="inlineStr">
        <is>
          <t>枪械装配（储备素材）</t>
        </is>
      </c>
      <c r="C104" s="44" t="inlineStr">
        <is>
          <t>音效</t>
        </is>
      </c>
      <c r="D104" s="57" t="inlineStr">
        <is>
          <t>sfx</t>
        </is>
      </c>
      <c r="E104" s="57" t="inlineStr">
        <is>
          <t>weapon_attach</t>
        </is>
      </c>
      <c r="F104" s="57" t="inlineStr">
        <is>
          <t>root</t>
        </is>
      </c>
      <c r="G104" s="44" t="n"/>
      <c r="H104" s="44" t="inlineStr">
        <is>
          <t>不适用</t>
        </is>
      </c>
      <c r="I104" s="57" t="inlineStr">
        <is>
          <t>default</t>
        </is>
      </c>
      <c r="J104" s="44" t="inlineStr">
        <is>
          <t>combat.weapon.attach</t>
        </is>
      </c>
      <c r="K104" s="44" t="inlineStr">
        <is>
          <t>authored</t>
        </is>
      </c>
      <c r="L104" s="57" t="inlineStr">
        <is>
          <t>P2</t>
        </is>
      </c>
      <c r="M104" s="57" t="inlineStr">
        <is>
          <t>v002</t>
        </is>
      </c>
      <c r="N104" s="57" t="inlineStr">
        <is>
          <t>44100Hz / mono / PCM24 master / Vorbis q6 / 0.300000s</t>
        </is>
      </c>
      <c r="O104" s="57" t="inlineStr">
        <is>
          <t>src/assets/audio/sfx/weapon_attach_v002.ogg</t>
        </is>
      </c>
      <c r="P104" s="57" t="inlineStr">
        <is>
          <t>art_source/audio/sfx/AUD-SFX-WEAPON-ATTACH/source/weapon_attach_v002.wav</t>
        </is>
      </c>
      <c r="Q104" s="57" t="inlineStr">
        <is>
          <t>weapon_attach</t>
        </is>
      </c>
      <c r="R104" s="44">
        <f>LOWER(TRIM(C104)&amp;"|"&amp;TRIM(D104)&amp;"|"&amp;TRIM(E104)&amp;"|"&amp;TRIM(F104)&amp;"|"&amp;TRIM(H104)&amp;"|"&amp;TRIM(I104))</f>
        <v/>
      </c>
      <c r="S104" s="44">
        <f>IF(COUNTIF($R$6:$R$183,R104)&gt;1,"重复","唯一")</f>
        <v/>
      </c>
      <c r="T104" s="57" t="inlineStr">
        <is>
          <t>1f9d87be6bef85f78a8949d839712ed03435ab8c246709231f4d585ada275281</t>
        </is>
      </c>
      <c r="U104" s="57" t="inlineStr">
        <is>
          <t>Codex sound design</t>
        </is>
      </c>
      <c r="V104" s="58" t="n">
        <v>46314</v>
      </c>
      <c r="W104" s="44" t="inlineStr">
        <is>
          <t>https://opengameart.org/content/gun-reload-sounds | SpringySpringo | CC0-1.0; edited recording; OpenSpades free pak distribution</t>
        </is>
      </c>
      <c r="X104" s="56" t="inlineStr">
        <is>
          <t>art_source/audio/sfx/AUD-SFX-WEAPON-ATTACH/source/weapon_attach_v002.wav</t>
        </is>
      </c>
      <c r="Y104" s="44" t="inlineStr">
        <is>
          <t>素材与事件映射已制作；尚无正式领域触发调用；资源解码与哈希已核验；人工听感与Android待验</t>
        </is>
      </c>
    </row>
    <row r="105" ht="92.5" customHeight="1" s="33">
      <c r="A105" s="57" t="inlineStr">
        <is>
          <t>AUD-SFX-WEAPON-ATTACH-DENIED</t>
        </is>
      </c>
      <c r="B105" s="44" t="inlineStr">
        <is>
          <t>weapon_attach_denied</t>
        </is>
      </c>
      <c r="C105" s="44" t="inlineStr">
        <is>
          <t>音效</t>
        </is>
      </c>
      <c r="D105" s="57" t="inlineStr">
        <is>
          <t>sfx</t>
        </is>
      </c>
      <c r="E105" s="57" t="inlineStr">
        <is>
          <t>weapon_attach_denied</t>
        </is>
      </c>
      <c r="F105" s="57" t="inlineStr">
        <is>
          <t>root</t>
        </is>
      </c>
      <c r="G105" s="44" t="n"/>
      <c r="H105" s="44" t="inlineStr">
        <is>
          <t>不适用</t>
        </is>
      </c>
      <c r="I105" s="57" t="inlineStr">
        <is>
          <t>default</t>
        </is>
      </c>
      <c r="J105" s="44" t="inlineStr">
        <is>
          <t>combat.weapon.attach_denied</t>
        </is>
      </c>
      <c r="K105" s="44" t="inlineStr">
        <is>
          <t>authored</t>
        </is>
      </c>
      <c r="L105" s="57" t="inlineStr">
        <is>
          <t>P2</t>
        </is>
      </c>
      <c r="M105" s="57" t="inlineStr">
        <is>
          <t>v001</t>
        </is>
      </c>
      <c r="N105" s="57" t="inlineStr">
        <is>
          <t>44100Hz / mono / PCM24 master / Vorbis q6 / 0.27s</t>
        </is>
      </c>
      <c r="O105" s="57" t="inlineStr">
        <is>
          <t>src/assets/audio/sfx/weapon_attach_denied_v001.ogg</t>
        </is>
      </c>
      <c r="P105" s="57" t="inlineStr">
        <is>
          <t>docs/v0.1/design/音效系统与资产设计.md; src/core/AudioManager.gd</t>
        </is>
      </c>
      <c r="Q105" s="57" t="inlineStr">
        <is>
          <t>weapon_attach_denied</t>
        </is>
      </c>
      <c r="R105" s="44">
        <f>LOWER(TRIM(C105)&amp;"|"&amp;TRIM(D105)&amp;"|"&amp;TRIM(E105)&amp;"|"&amp;TRIM(F105)&amp;"|"&amp;TRIM(H105)&amp;"|"&amp;TRIM(I105))</f>
        <v/>
      </c>
      <c r="S105" s="44">
        <f>IF(COUNTIF($R$6:$R$183,R105)&gt;1,"重复","唯一")</f>
        <v/>
      </c>
      <c r="T105" s="57" t="inlineStr">
        <is>
          <t>5cdbbf2b668b0e954670023ed03e78ed3ce9cbcef49966f141011cb34e506cc2</t>
        </is>
      </c>
      <c r="U105" s="57" t="inlineStr">
        <is>
          <t>Codex sound design</t>
        </is>
      </c>
      <c r="V105" s="58" t="n">
        <v>46308</v>
      </c>
      <c r="W105" s="44" t="inlineStr">
        <is>
          <t>原创离线分层DSP；无第三方采样；制作脚本与seed可追溯</t>
        </is>
      </c>
      <c r="X105" s="56" t="inlineStr">
        <is>
          <t>art_source/audio/sfx/AUD-SFX-WEAPON-ATTACH-DENIED/source/weapon_attach_denied_v001.wav</t>
        </is>
      </c>
      <c r="Y105" s="44" t="inlineStr">
        <is>
          <t>SFXSET-WEAPON-ATTACH-DENIED；技术导入后待人工听感/Android验收；新增素材，领域触发待接入</t>
        </is>
      </c>
    </row>
    <row r="106" ht="92.5" customHeight="1" s="33">
      <c r="A106" s="57" t="inlineStr">
        <is>
          <t>AUD-SFX-PROJECTILE-IMPACT</t>
        </is>
      </c>
      <c r="B106" s="44" t="inlineStr">
        <is>
          <t>projectile_impact</t>
        </is>
      </c>
      <c r="C106" s="44" t="inlineStr">
        <is>
          <t>音效</t>
        </is>
      </c>
      <c r="D106" s="57" t="inlineStr">
        <is>
          <t>sfx</t>
        </is>
      </c>
      <c r="E106" s="57" t="inlineStr">
        <is>
          <t>projectile_impact</t>
        </is>
      </c>
      <c r="F106" s="57" t="inlineStr">
        <is>
          <t>root</t>
        </is>
      </c>
      <c r="G106" s="44" t="n"/>
      <c r="H106" s="44" t="inlineStr">
        <is>
          <t>不适用</t>
        </is>
      </c>
      <c r="I106" s="57" t="inlineStr">
        <is>
          <t>default</t>
        </is>
      </c>
      <c r="J106" s="44" t="inlineStr">
        <is>
          <t>combat.projectile.impact</t>
        </is>
      </c>
      <c r="K106" s="44" t="inlineStr">
        <is>
          <t>authored</t>
        </is>
      </c>
      <c r="L106" s="57" t="inlineStr">
        <is>
          <t>P2</t>
        </is>
      </c>
      <c r="M106" s="57" t="inlineStr">
        <is>
          <t>v002</t>
        </is>
      </c>
      <c r="N106" s="57" t="inlineStr">
        <is>
          <t>44100Hz / mono / PCM24 master / Vorbis q6 / 0.4s</t>
        </is>
      </c>
      <c r="O106" s="57" t="inlineStr">
        <is>
          <t>src/assets/audio/sfx/projectile_impact_v002.ogg</t>
        </is>
      </c>
      <c r="P106" s="57" t="inlineStr">
        <is>
          <t>art_source/audio/sfx/AUD-SFX-PROJECTILE-IMPACT/source/projectile_impact_v002.wav</t>
        </is>
      </c>
      <c r="Q106" s="57" t="inlineStr">
        <is>
          <t>projectile_impact</t>
        </is>
      </c>
      <c r="R106" s="44">
        <f>LOWER(TRIM(C106)&amp;"|"&amp;TRIM(D106)&amp;"|"&amp;TRIM(E106)&amp;"|"&amp;TRIM(F106)&amp;"|"&amp;TRIM(H106)&amp;"|"&amp;TRIM(I106))</f>
        <v/>
      </c>
      <c r="S106" s="44">
        <f>IF(COUNTIF($R$6:$R$183,R106)&gt;1,"重复","唯一")</f>
        <v/>
      </c>
      <c r="T106" s="57" t="inlineStr">
        <is>
          <t>2c3ecf90021219b1b42912ac0df6d60fb518a2ba72293f69f3c791c6d5455e46</t>
        </is>
      </c>
      <c r="U106" s="57" t="inlineStr">
        <is>
          <t>Codex sound design</t>
        </is>
      </c>
      <c r="V106" s="58" t="n">
        <v>46314</v>
      </c>
      <c r="W106" s="44" t="inlineStr">
        <is>
          <t>https://kenney.nl/assets/impact-sounds | Kenney | CC0-1.0</t>
        </is>
      </c>
      <c r="X106" s="56" t="inlineStr">
        <is>
          <t>art_source/audio/sfx/AUD-SFX-PROJECTILE-IMPACT/source/projectile_impact_v002.wav</t>
        </is>
      </c>
      <c r="Y106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107" ht="92.5" customHeight="1" s="33">
      <c r="A107" s="57" t="inlineStr">
        <is>
          <t>AUD-SFX-PROJECTILE-IMPACT-VAR02</t>
        </is>
      </c>
      <c r="B107" s="44" t="inlineStr">
        <is>
          <t>projectile_impact 变体2</t>
        </is>
      </c>
      <c r="C107" s="44" t="inlineStr">
        <is>
          <t>音效</t>
        </is>
      </c>
      <c r="D107" s="57" t="inlineStr">
        <is>
          <t>sfx</t>
        </is>
      </c>
      <c r="E107" s="57" t="inlineStr">
        <is>
          <t>projectile_impact</t>
        </is>
      </c>
      <c r="F107" s="57" t="inlineStr">
        <is>
          <t>root</t>
        </is>
      </c>
      <c r="G107" s="44" t="inlineStr">
        <is>
          <t>AUD-SFX-PROJECTILE-IMPACT</t>
        </is>
      </c>
      <c r="H107" s="44" t="inlineStr">
        <is>
          <t>不适用</t>
        </is>
      </c>
      <c r="I107" s="57" t="inlineStr">
        <is>
          <t>variant_02</t>
        </is>
      </c>
      <c r="J107" s="44" t="inlineStr">
        <is>
          <t>combat.projectile.impact</t>
        </is>
      </c>
      <c r="K107" s="44" t="inlineStr">
        <is>
          <t>authored</t>
        </is>
      </c>
      <c r="L107" s="57" t="inlineStr">
        <is>
          <t>P2</t>
        </is>
      </c>
      <c r="M107" s="57" t="inlineStr">
        <is>
          <t>v002</t>
        </is>
      </c>
      <c r="N107" s="57" t="inlineStr">
        <is>
          <t>44100Hz / mono / PCM24 master / Vorbis q6 / 0.4s</t>
        </is>
      </c>
      <c r="O107" s="57" t="inlineStr">
        <is>
          <t>src/assets/audio/sfx/projectile_impact_alt02_v002.ogg</t>
        </is>
      </c>
      <c r="P107" s="57" t="inlineStr">
        <is>
          <t>art_source/audio/sfx/AUD-SFX-PROJECTILE-IMPACT-VAR02/source/projectile_impact_alt02_v002.wav</t>
        </is>
      </c>
      <c r="Q107" s="57" t="inlineStr">
        <is>
          <t>projectile_impact</t>
        </is>
      </c>
      <c r="R107" s="44">
        <f>LOWER(TRIM(C107)&amp;"|"&amp;TRIM(D107)&amp;"|"&amp;TRIM(E107)&amp;"|"&amp;TRIM(F107)&amp;"|"&amp;TRIM(H107)&amp;"|"&amp;TRIM(I107))</f>
        <v/>
      </c>
      <c r="S107" s="44">
        <f>IF(COUNTIF($R$6:$R$183,R107)&gt;1,"重复","唯一")</f>
        <v/>
      </c>
      <c r="T107" s="57" t="inlineStr">
        <is>
          <t>70b8c471ba121d419cf611936600b94167dcaf87d5e1c337942eca2dea15d37f</t>
        </is>
      </c>
      <c r="U107" s="57" t="inlineStr">
        <is>
          <t>Codex sound design</t>
        </is>
      </c>
      <c r="V107" s="58" t="n">
        <v>46314</v>
      </c>
      <c r="W107" s="44" t="inlineStr">
        <is>
          <t>https://kenney.nl/assets/impact-sounds | Kenney | CC0-1.0</t>
        </is>
      </c>
      <c r="X107" s="56" t="inlineStr">
        <is>
          <t>art_source/audio/sfx/AUD-SFX-PROJECTILE-IMPACT-VAR02/source/projectile_impact_alt02_v002.wav</t>
        </is>
      </c>
      <c r="Y107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108" ht="92.5" customHeight="1" s="33">
      <c r="A108" s="57" t="inlineStr">
        <is>
          <t>AUD-SFX-PROJECTILE-IMPACT-VAR03</t>
        </is>
      </c>
      <c r="B108" s="44" t="inlineStr">
        <is>
          <t>projectile_impact 变体3</t>
        </is>
      </c>
      <c r="C108" s="44" t="inlineStr">
        <is>
          <t>音效</t>
        </is>
      </c>
      <c r="D108" s="57" t="inlineStr">
        <is>
          <t>sfx</t>
        </is>
      </c>
      <c r="E108" s="57" t="inlineStr">
        <is>
          <t>projectile_impact</t>
        </is>
      </c>
      <c r="F108" s="57" t="inlineStr">
        <is>
          <t>root</t>
        </is>
      </c>
      <c r="G108" s="44" t="inlineStr">
        <is>
          <t>AUD-SFX-PROJECTILE-IMPACT</t>
        </is>
      </c>
      <c r="H108" s="44" t="inlineStr">
        <is>
          <t>不适用</t>
        </is>
      </c>
      <c r="I108" s="57" t="inlineStr">
        <is>
          <t>variant_03</t>
        </is>
      </c>
      <c r="J108" s="44" t="inlineStr">
        <is>
          <t>combat.projectile.impact</t>
        </is>
      </c>
      <c r="K108" s="44" t="inlineStr">
        <is>
          <t>authored</t>
        </is>
      </c>
      <c r="L108" s="57" t="inlineStr">
        <is>
          <t>P2</t>
        </is>
      </c>
      <c r="M108" s="57" t="inlineStr">
        <is>
          <t>v002</t>
        </is>
      </c>
      <c r="N108" s="57" t="inlineStr">
        <is>
          <t>44100Hz / mono / PCM24 master / Vorbis q6 / 0.4s</t>
        </is>
      </c>
      <c r="O108" s="57" t="inlineStr">
        <is>
          <t>src/assets/audio/sfx/projectile_impact_alt03_v002.ogg</t>
        </is>
      </c>
      <c r="P108" s="57" t="inlineStr">
        <is>
          <t>art_source/audio/sfx/AUD-SFX-PROJECTILE-IMPACT-VAR03/source/projectile_impact_alt03_v002.wav</t>
        </is>
      </c>
      <c r="Q108" s="57" t="inlineStr">
        <is>
          <t>projectile_impact</t>
        </is>
      </c>
      <c r="R108" s="44">
        <f>LOWER(TRIM(C108)&amp;"|"&amp;TRIM(D108)&amp;"|"&amp;TRIM(E108)&amp;"|"&amp;TRIM(F108)&amp;"|"&amp;TRIM(H108)&amp;"|"&amp;TRIM(I108))</f>
        <v/>
      </c>
      <c r="S108" s="44">
        <f>IF(COUNTIF($R$6:$R$183,R108)&gt;1,"重复","唯一")</f>
        <v/>
      </c>
      <c r="T108" s="57" t="inlineStr">
        <is>
          <t>e691c3846691b14253f70bf3ca0c91e00bacb083eba32086a9fc2f7242b653a5</t>
        </is>
      </c>
      <c r="U108" s="57" t="inlineStr">
        <is>
          <t>Codex sound design</t>
        </is>
      </c>
      <c r="V108" s="58" t="n">
        <v>46314</v>
      </c>
      <c r="W108" s="44" t="inlineStr">
        <is>
          <t>https://kenney.nl/assets/impact-sounds | Kenney | CC0-1.0</t>
        </is>
      </c>
      <c r="X108" s="56" t="inlineStr">
        <is>
          <t>art_source/audio/sfx/AUD-SFX-PROJECTILE-IMPACT-VAR03/source/projectile_impact_alt03_v002.wav</t>
        </is>
      </c>
      <c r="Y108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109" ht="92.5" customHeight="1" s="33">
      <c r="A109" s="57" t="inlineStr">
        <is>
          <t>AUD-SFX-MELEE-TARGET-HIT</t>
        </is>
      </c>
      <c r="B109" s="44" t="inlineStr">
        <is>
          <t>melee_target_hit</t>
        </is>
      </c>
      <c r="C109" s="44" t="inlineStr">
        <is>
          <t>音效</t>
        </is>
      </c>
      <c r="D109" s="57" t="inlineStr">
        <is>
          <t>sfx</t>
        </is>
      </c>
      <c r="E109" s="57" t="inlineStr">
        <is>
          <t>melee_target_hit</t>
        </is>
      </c>
      <c r="F109" s="57" t="inlineStr">
        <is>
          <t>root</t>
        </is>
      </c>
      <c r="G109" s="44" t="n"/>
      <c r="H109" s="44" t="inlineStr">
        <is>
          <t>不适用</t>
        </is>
      </c>
      <c r="I109" s="57" t="inlineStr">
        <is>
          <t>default</t>
        </is>
      </c>
      <c r="J109" s="44" t="inlineStr">
        <is>
          <t>combat.melee.target_hit</t>
        </is>
      </c>
      <c r="K109" s="44" t="inlineStr">
        <is>
          <t>authored</t>
        </is>
      </c>
      <c r="L109" s="57" t="inlineStr">
        <is>
          <t>P0</t>
        </is>
      </c>
      <c r="M109" s="57" t="inlineStr">
        <is>
          <t>v002</t>
        </is>
      </c>
      <c r="N109" s="57" t="inlineStr">
        <is>
          <t>44100Hz / mono / PCM24 master / Vorbis q6 / 0.36s</t>
        </is>
      </c>
      <c r="O109" s="57" t="inlineStr">
        <is>
          <t>src/assets/audio/sfx/melee_target_hit_v002.ogg</t>
        </is>
      </c>
      <c r="P109" s="57" t="inlineStr">
        <is>
          <t>art_source/audio/sfx/AUD-SFX-MELEE-TARGET-HIT/source/melee_target_hit_v002.wav</t>
        </is>
      </c>
      <c r="Q109" s="57" t="inlineStr">
        <is>
          <t>melee_target_hit</t>
        </is>
      </c>
      <c r="R109" s="44">
        <f>LOWER(TRIM(C109)&amp;"|"&amp;TRIM(D109)&amp;"|"&amp;TRIM(E109)&amp;"|"&amp;TRIM(F109)&amp;"|"&amp;TRIM(H109)&amp;"|"&amp;TRIM(I109))</f>
        <v/>
      </c>
      <c r="S109" s="44">
        <f>IF(COUNTIF($R$6:$R$183,R109)&gt;1,"重复","唯一")</f>
        <v/>
      </c>
      <c r="T109" s="57" t="inlineStr">
        <is>
          <t>577037bc12aa90ac1d107ba7993ba1cab6ce20490293c64b38dd3245c1b80462</t>
        </is>
      </c>
      <c r="U109" s="57" t="inlineStr">
        <is>
          <t>Codex sound design</t>
        </is>
      </c>
      <c r="V109" s="58" t="n">
        <v>46314</v>
      </c>
      <c r="W109" s="44" t="inlineStr">
        <is>
          <t>https://freesound.org/people/magnuswaker/sounds/522091/ | magnuswaker; https://kenney.nl/assets/impact-sounds | Kenney | CC0; CC0-1.0</t>
        </is>
      </c>
      <c r="X109" s="56" t="inlineStr">
        <is>
          <t>art_source/audio/sfx/AUD-SFX-MELEE-TARGET-HIT/source/melee_target_hit_v002.wav</t>
        </is>
      </c>
      <c r="Y109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110" ht="92.5" customHeight="1" s="33">
      <c r="A110" s="57" t="inlineStr">
        <is>
          <t>AUD-SFX-MELEE-TARGET-HIT-VAR02</t>
        </is>
      </c>
      <c r="B110" s="44" t="inlineStr">
        <is>
          <t>melee_target_hit 变体2</t>
        </is>
      </c>
      <c r="C110" s="44" t="inlineStr">
        <is>
          <t>音效</t>
        </is>
      </c>
      <c r="D110" s="57" t="inlineStr">
        <is>
          <t>sfx</t>
        </is>
      </c>
      <c r="E110" s="57" t="inlineStr">
        <is>
          <t>melee_target_hit</t>
        </is>
      </c>
      <c r="F110" s="57" t="inlineStr">
        <is>
          <t>root</t>
        </is>
      </c>
      <c r="G110" s="44" t="inlineStr">
        <is>
          <t>AUD-SFX-MELEE-TARGET-HIT</t>
        </is>
      </c>
      <c r="H110" s="44" t="inlineStr">
        <is>
          <t>不适用</t>
        </is>
      </c>
      <c r="I110" s="57" t="inlineStr">
        <is>
          <t>variant_02</t>
        </is>
      </c>
      <c r="J110" s="44" t="inlineStr">
        <is>
          <t>combat.melee.target_hit</t>
        </is>
      </c>
      <c r="K110" s="44" t="inlineStr">
        <is>
          <t>authored</t>
        </is>
      </c>
      <c r="L110" s="57" t="inlineStr">
        <is>
          <t>P0</t>
        </is>
      </c>
      <c r="M110" s="57" t="inlineStr">
        <is>
          <t>v002</t>
        </is>
      </c>
      <c r="N110" s="57" t="inlineStr">
        <is>
          <t>44100Hz / mono / PCM24 master / Vorbis q6 / 0.36s</t>
        </is>
      </c>
      <c r="O110" s="57" t="inlineStr">
        <is>
          <t>src/assets/audio/sfx/melee_target_hit_alt02_v002.ogg</t>
        </is>
      </c>
      <c r="P110" s="57" t="inlineStr">
        <is>
          <t>art_source/audio/sfx/AUD-SFX-MELEE-TARGET-HIT-VAR02/source/melee_target_hit_alt02_v002.wav</t>
        </is>
      </c>
      <c r="Q110" s="57" t="inlineStr">
        <is>
          <t>melee_target_hit</t>
        </is>
      </c>
      <c r="R110" s="44">
        <f>LOWER(TRIM(C110)&amp;"|"&amp;TRIM(D110)&amp;"|"&amp;TRIM(E110)&amp;"|"&amp;TRIM(F110)&amp;"|"&amp;TRIM(H110)&amp;"|"&amp;TRIM(I110))</f>
        <v/>
      </c>
      <c r="S110" s="44">
        <f>IF(COUNTIF($R$6:$R$183,R110)&gt;1,"重复","唯一")</f>
        <v/>
      </c>
      <c r="T110" s="57" t="inlineStr">
        <is>
          <t>3a0ffc92aa36ea0f58b798692c13fe9e7462053baae81a07320a8cb6f2ef1a06</t>
        </is>
      </c>
      <c r="U110" s="57" t="inlineStr">
        <is>
          <t>Codex sound design</t>
        </is>
      </c>
      <c r="V110" s="58" t="n">
        <v>46314</v>
      </c>
      <c r="W110" s="44" t="inlineStr">
        <is>
          <t>https://freesound.org/people/magnuswaker/sounds/522091/ | magnuswaker; https://kenney.nl/assets/impact-sounds | Kenney | CC0; CC0-1.0</t>
        </is>
      </c>
      <c r="X110" s="56" t="inlineStr">
        <is>
          <t>art_source/audio/sfx/AUD-SFX-MELEE-TARGET-HIT-VAR02/source/melee_target_hit_alt02_v002.wav</t>
        </is>
      </c>
      <c r="Y110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111" ht="92.5" customHeight="1" s="33">
      <c r="A111" s="57" t="inlineStr">
        <is>
          <t>AUD-SFX-MELEE-TARGET-HIT-VAR03</t>
        </is>
      </c>
      <c r="B111" s="44" t="inlineStr">
        <is>
          <t>melee_target_hit 变体3</t>
        </is>
      </c>
      <c r="C111" s="44" t="inlineStr">
        <is>
          <t>音效</t>
        </is>
      </c>
      <c r="D111" s="57" t="inlineStr">
        <is>
          <t>sfx</t>
        </is>
      </c>
      <c r="E111" s="57" t="inlineStr">
        <is>
          <t>melee_target_hit</t>
        </is>
      </c>
      <c r="F111" s="57" t="inlineStr">
        <is>
          <t>root</t>
        </is>
      </c>
      <c r="G111" s="44" t="inlineStr">
        <is>
          <t>AUD-SFX-MELEE-TARGET-HIT</t>
        </is>
      </c>
      <c r="H111" s="44" t="inlineStr">
        <is>
          <t>不适用</t>
        </is>
      </c>
      <c r="I111" s="57" t="inlineStr">
        <is>
          <t>variant_03</t>
        </is>
      </c>
      <c r="J111" s="44" t="inlineStr">
        <is>
          <t>combat.melee.target_hit</t>
        </is>
      </c>
      <c r="K111" s="44" t="inlineStr">
        <is>
          <t>authored</t>
        </is>
      </c>
      <c r="L111" s="57" t="inlineStr">
        <is>
          <t>P0</t>
        </is>
      </c>
      <c r="M111" s="57" t="inlineStr">
        <is>
          <t>v002</t>
        </is>
      </c>
      <c r="N111" s="57" t="inlineStr">
        <is>
          <t>44100Hz / mono / PCM24 master / Vorbis q6 / 0.36s</t>
        </is>
      </c>
      <c r="O111" s="57" t="inlineStr">
        <is>
          <t>src/assets/audio/sfx/melee_target_hit_alt03_v002.ogg</t>
        </is>
      </c>
      <c r="P111" s="57" t="inlineStr">
        <is>
          <t>art_source/audio/sfx/AUD-SFX-MELEE-TARGET-HIT-VAR03/source/melee_target_hit_alt03_v002.wav</t>
        </is>
      </c>
      <c r="Q111" s="57" t="inlineStr">
        <is>
          <t>melee_target_hit</t>
        </is>
      </c>
      <c r="R111" s="44">
        <f>LOWER(TRIM(C111)&amp;"|"&amp;TRIM(D111)&amp;"|"&amp;TRIM(E111)&amp;"|"&amp;TRIM(F111)&amp;"|"&amp;TRIM(H111)&amp;"|"&amp;TRIM(I111))</f>
        <v/>
      </c>
      <c r="S111" s="44">
        <f>IF(COUNTIF($R$6:$R$183,R111)&gt;1,"重复","唯一")</f>
        <v/>
      </c>
      <c r="T111" s="57" t="inlineStr">
        <is>
          <t>0261a122914918dee466ccaa462637c8bd85b744b7fffd7be401c776f1d082ca</t>
        </is>
      </c>
      <c r="U111" s="57" t="inlineStr">
        <is>
          <t>Codex sound design</t>
        </is>
      </c>
      <c r="V111" s="58" t="n">
        <v>46314</v>
      </c>
      <c r="W111" s="44" t="inlineStr">
        <is>
          <t>https://freesound.org/people/satanicupsman/sounds/144015/ | satanicupsman; https://kenney.nl/assets/impact-sounds | Kenney | CC0; CC0-1.0</t>
        </is>
      </c>
      <c r="X111" s="56" t="inlineStr">
        <is>
          <t>art_source/audio/sfx/AUD-SFX-MELEE-TARGET-HIT-VAR03/source/melee_target_hit_alt03_v002.wav</t>
        </is>
      </c>
      <c r="Y111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112" ht="92.5" customHeight="1" s="33">
      <c r="A112" s="57" t="inlineStr">
        <is>
          <t>AUD-SFX-MELEE-HEAVY-IMPACT</t>
        </is>
      </c>
      <c r="B112" s="44" t="inlineStr">
        <is>
          <t>melee_heavy_impact</t>
        </is>
      </c>
      <c r="C112" s="44" t="inlineStr">
        <is>
          <t>音效</t>
        </is>
      </c>
      <c r="D112" s="57" t="inlineStr">
        <is>
          <t>sfx</t>
        </is>
      </c>
      <c r="E112" s="57" t="inlineStr">
        <is>
          <t>melee_heavy_impact</t>
        </is>
      </c>
      <c r="F112" s="57" t="inlineStr">
        <is>
          <t>root</t>
        </is>
      </c>
      <c r="G112" s="44" t="n"/>
      <c r="H112" s="44" t="inlineStr">
        <is>
          <t>不适用</t>
        </is>
      </c>
      <c r="I112" s="57" t="inlineStr">
        <is>
          <t>default</t>
        </is>
      </c>
      <c r="J112" s="44" t="inlineStr">
        <is>
          <t>combat.melee.heavy_impact</t>
        </is>
      </c>
      <c r="K112" s="44" t="inlineStr">
        <is>
          <t>authored</t>
        </is>
      </c>
      <c r="L112" s="57" t="inlineStr">
        <is>
          <t>P2</t>
        </is>
      </c>
      <c r="M112" s="57" t="inlineStr">
        <is>
          <t>v002</t>
        </is>
      </c>
      <c r="N112" s="57" t="inlineStr">
        <is>
          <t>44100Hz / mono / PCM24 master / Vorbis q6 / 0.65s</t>
        </is>
      </c>
      <c r="O112" s="57" t="inlineStr">
        <is>
          <t>src/assets/audio/sfx/melee_heavy_impact_v002.ogg</t>
        </is>
      </c>
      <c r="P112" s="57" t="inlineStr">
        <is>
          <t>art_source/audio/sfx/AUD-SFX-MELEE-HEAVY-IMPACT/source/melee_heavy_impact_v002.wav</t>
        </is>
      </c>
      <c r="Q112" s="57" t="inlineStr">
        <is>
          <t>melee_heavy_impact</t>
        </is>
      </c>
      <c r="R112" s="44">
        <f>LOWER(TRIM(C112)&amp;"|"&amp;TRIM(D112)&amp;"|"&amp;TRIM(E112)&amp;"|"&amp;TRIM(F112)&amp;"|"&amp;TRIM(H112)&amp;"|"&amp;TRIM(I112))</f>
        <v/>
      </c>
      <c r="S112" s="44">
        <f>IF(COUNTIF($R$6:$R$183,R112)&gt;1,"重复","唯一")</f>
        <v/>
      </c>
      <c r="T112" s="57" t="inlineStr">
        <is>
          <t>ffa7694850cd6bdc7f34942be5f1650efe64951d4e3c1288a931dc9d9d7ba575</t>
        </is>
      </c>
      <c r="U112" s="57" t="inlineStr">
        <is>
          <t>Codex sound design</t>
        </is>
      </c>
      <c r="V112" s="58" t="n">
        <v>46314</v>
      </c>
      <c r="W112" s="44" t="inlineStr">
        <is>
          <t>https://kenney.nl/assets/impact-sounds | Kenney; https://kenney.nl/assets/rpg-audio | Kenney | CC0-1.0</t>
        </is>
      </c>
      <c r="X112" s="56" t="inlineStr">
        <is>
          <t>art_source/audio/sfx/AUD-SFX-MELEE-HEAVY-IMPACT/source/melee_heavy_impact_v002.wav</t>
        </is>
      </c>
      <c r="Y112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113" ht="92.5" customHeight="1" s="33">
      <c r="A113" s="57" t="inlineStr">
        <is>
          <t>AUD-SFX-MELEE-HEAVY-IMPACT-VAR02</t>
        </is>
      </c>
      <c r="B113" s="44" t="inlineStr">
        <is>
          <t>melee_heavy_impact 变体2</t>
        </is>
      </c>
      <c r="C113" s="44" t="inlineStr">
        <is>
          <t>音效</t>
        </is>
      </c>
      <c r="D113" s="57" t="inlineStr">
        <is>
          <t>sfx</t>
        </is>
      </c>
      <c r="E113" s="57" t="inlineStr">
        <is>
          <t>melee_heavy_impact</t>
        </is>
      </c>
      <c r="F113" s="57" t="inlineStr">
        <is>
          <t>root</t>
        </is>
      </c>
      <c r="G113" s="44" t="inlineStr">
        <is>
          <t>AUD-SFX-MELEE-HEAVY-IMPACT</t>
        </is>
      </c>
      <c r="H113" s="44" t="inlineStr">
        <is>
          <t>不适用</t>
        </is>
      </c>
      <c r="I113" s="57" t="inlineStr">
        <is>
          <t>variant_02</t>
        </is>
      </c>
      <c r="J113" s="44" t="inlineStr">
        <is>
          <t>combat.melee.heavy_impact</t>
        </is>
      </c>
      <c r="K113" s="44" t="inlineStr">
        <is>
          <t>authored</t>
        </is>
      </c>
      <c r="L113" s="57" t="inlineStr">
        <is>
          <t>P2</t>
        </is>
      </c>
      <c r="M113" s="57" t="inlineStr">
        <is>
          <t>v002</t>
        </is>
      </c>
      <c r="N113" s="57" t="inlineStr">
        <is>
          <t>44100Hz / mono / PCM24 master / Vorbis q6 / 0.65s</t>
        </is>
      </c>
      <c r="O113" s="57" t="inlineStr">
        <is>
          <t>src/assets/audio/sfx/melee_heavy_impact_alt02_v002.ogg</t>
        </is>
      </c>
      <c r="P113" s="57" t="inlineStr">
        <is>
          <t>art_source/audio/sfx/AUD-SFX-MELEE-HEAVY-IMPACT-VAR02/source/melee_heavy_impact_alt02_v002.wav</t>
        </is>
      </c>
      <c r="Q113" s="57" t="inlineStr">
        <is>
          <t>melee_heavy_impact</t>
        </is>
      </c>
      <c r="R113" s="44">
        <f>LOWER(TRIM(C113)&amp;"|"&amp;TRIM(D113)&amp;"|"&amp;TRIM(E113)&amp;"|"&amp;TRIM(F113)&amp;"|"&amp;TRIM(H113)&amp;"|"&amp;TRIM(I113))</f>
        <v/>
      </c>
      <c r="S113" s="44">
        <f>IF(COUNTIF($R$6:$R$183,R113)&gt;1,"重复","唯一")</f>
        <v/>
      </c>
      <c r="T113" s="57" t="inlineStr">
        <is>
          <t>d74bbd36e9e2a88038cf75f1d510fff42ded0a55ebf351916b60acff71385bdf</t>
        </is>
      </c>
      <c r="U113" s="57" t="inlineStr">
        <is>
          <t>Codex sound design</t>
        </is>
      </c>
      <c r="V113" s="58" t="n">
        <v>46314</v>
      </c>
      <c r="W113" s="44" t="inlineStr">
        <is>
          <t>https://kenney.nl/assets/impact-sounds | Kenney; https://kenney.nl/assets/rpg-audio | Kenney | CC0-1.0</t>
        </is>
      </c>
      <c r="X113" s="56" t="inlineStr">
        <is>
          <t>art_source/audio/sfx/AUD-SFX-MELEE-HEAVY-IMPACT-VAR02/source/melee_heavy_impact_alt02_v002.wav</t>
        </is>
      </c>
      <c r="Y113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114" ht="92.5" customHeight="1" s="33">
      <c r="A114" s="57" t="inlineStr">
        <is>
          <t>AUD-SFX-MELEE-HEAVY-IMPACT-VAR03</t>
        </is>
      </c>
      <c r="B114" s="44" t="inlineStr">
        <is>
          <t>melee_heavy_impact 变体3</t>
        </is>
      </c>
      <c r="C114" s="44" t="inlineStr">
        <is>
          <t>音效</t>
        </is>
      </c>
      <c r="D114" s="57" t="inlineStr">
        <is>
          <t>sfx</t>
        </is>
      </c>
      <c r="E114" s="57" t="inlineStr">
        <is>
          <t>melee_heavy_impact</t>
        </is>
      </c>
      <c r="F114" s="57" t="inlineStr">
        <is>
          <t>root</t>
        </is>
      </c>
      <c r="G114" s="44" t="inlineStr">
        <is>
          <t>AUD-SFX-MELEE-HEAVY-IMPACT</t>
        </is>
      </c>
      <c r="H114" s="44" t="inlineStr">
        <is>
          <t>不适用</t>
        </is>
      </c>
      <c r="I114" s="57" t="inlineStr">
        <is>
          <t>variant_03</t>
        </is>
      </c>
      <c r="J114" s="44" t="inlineStr">
        <is>
          <t>combat.melee.heavy_impact</t>
        </is>
      </c>
      <c r="K114" s="44" t="inlineStr">
        <is>
          <t>authored</t>
        </is>
      </c>
      <c r="L114" s="57" t="inlineStr">
        <is>
          <t>P2</t>
        </is>
      </c>
      <c r="M114" s="57" t="inlineStr">
        <is>
          <t>v002</t>
        </is>
      </c>
      <c r="N114" s="57" t="inlineStr">
        <is>
          <t>44100Hz / mono / PCM24 master / Vorbis q6 / 0.65s</t>
        </is>
      </c>
      <c r="O114" s="57" t="inlineStr">
        <is>
          <t>src/assets/audio/sfx/melee_heavy_impact_alt03_v002.ogg</t>
        </is>
      </c>
      <c r="P114" s="57" t="inlineStr">
        <is>
          <t>art_source/audio/sfx/AUD-SFX-MELEE-HEAVY-IMPACT-VAR03/source/melee_heavy_impact_alt03_v002.wav</t>
        </is>
      </c>
      <c r="Q114" s="57" t="inlineStr">
        <is>
          <t>melee_heavy_impact</t>
        </is>
      </c>
      <c r="R114" s="44">
        <f>LOWER(TRIM(C114)&amp;"|"&amp;TRIM(D114)&amp;"|"&amp;TRIM(E114)&amp;"|"&amp;TRIM(F114)&amp;"|"&amp;TRIM(H114)&amp;"|"&amp;TRIM(I114))</f>
        <v/>
      </c>
      <c r="S114" s="44">
        <f>IF(COUNTIF($R$6:$R$183,R114)&gt;1,"重复","唯一")</f>
        <v/>
      </c>
      <c r="T114" s="57" t="inlineStr">
        <is>
          <t>135a715bf978e323ba7bb993fbc96c2aad03d77ad216c0e937382be72b1cee0f</t>
        </is>
      </c>
      <c r="U114" s="57" t="inlineStr">
        <is>
          <t>Codex sound design</t>
        </is>
      </c>
      <c r="V114" s="58" t="n">
        <v>46314</v>
      </c>
      <c r="W114" s="44" t="inlineStr">
        <is>
          <t>https://kenney.nl/assets/impact-sounds | Kenney; https://kenney.nl/assets/rpg-audio | Kenney | CC0-1.0</t>
        </is>
      </c>
      <c r="X114" s="56" t="inlineStr">
        <is>
          <t>art_source/audio/sfx/AUD-SFX-MELEE-HEAVY-IMPACT-VAR03/source/melee_heavy_impact_alt03_v002.wav</t>
        </is>
      </c>
      <c r="Y114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115" ht="92.5" customHeight="1" s="33">
      <c r="A115" s="57" t="inlineStr">
        <is>
          <t>AUD-SFX-MELEE-CANCEL</t>
        </is>
      </c>
      <c r="B115" s="44" t="inlineStr">
        <is>
          <t>melee_cancel</t>
        </is>
      </c>
      <c r="C115" s="44" t="inlineStr">
        <is>
          <t>音效</t>
        </is>
      </c>
      <c r="D115" s="57" t="inlineStr">
        <is>
          <t>sfx</t>
        </is>
      </c>
      <c r="E115" s="57" t="inlineStr">
        <is>
          <t>melee_cancel</t>
        </is>
      </c>
      <c r="F115" s="57" t="inlineStr">
        <is>
          <t>root</t>
        </is>
      </c>
      <c r="G115" s="44" t="n"/>
      <c r="H115" s="44" t="inlineStr">
        <is>
          <t>不适用</t>
        </is>
      </c>
      <c r="I115" s="57" t="inlineStr">
        <is>
          <t>default</t>
        </is>
      </c>
      <c r="J115" s="44" t="inlineStr">
        <is>
          <t>combat.melee.cancel</t>
        </is>
      </c>
      <c r="K115" s="44" t="inlineStr">
        <is>
          <t>authored</t>
        </is>
      </c>
      <c r="L115" s="57" t="inlineStr">
        <is>
          <t>P2</t>
        </is>
      </c>
      <c r="M115" s="57" t="inlineStr">
        <is>
          <t>v002</t>
        </is>
      </c>
      <c r="N115" s="57" t="inlineStr">
        <is>
          <t>44100Hz / mono / PCM24 master / Vorbis q6 / 0.35s</t>
        </is>
      </c>
      <c r="O115" s="57" t="inlineStr">
        <is>
          <t>src/assets/audio/sfx/melee_cancel_v002.ogg</t>
        </is>
      </c>
      <c r="P115" s="57" t="inlineStr">
        <is>
          <t>art_source/audio/sfx/AUD-SFX-MELEE-CANCEL/source/melee_cancel_v002.wav</t>
        </is>
      </c>
      <c r="Q115" s="57" t="inlineStr">
        <is>
          <t>melee_cancel</t>
        </is>
      </c>
      <c r="R115" s="44">
        <f>LOWER(TRIM(C115)&amp;"|"&amp;TRIM(D115)&amp;"|"&amp;TRIM(E115)&amp;"|"&amp;TRIM(F115)&amp;"|"&amp;TRIM(H115)&amp;"|"&amp;TRIM(I115))</f>
        <v/>
      </c>
      <c r="S115" s="44">
        <f>IF(COUNTIF($R$6:$R$183,R115)&gt;1,"重复","唯一")</f>
        <v/>
      </c>
      <c r="T115" s="57" t="inlineStr">
        <is>
          <t>ed3d03eafd0fc958163d329a9e0e94126b108777d99dc3ba423af6467c3a41ce</t>
        </is>
      </c>
      <c r="U115" s="57" t="inlineStr">
        <is>
          <t>Codex sound design</t>
        </is>
      </c>
      <c r="V115" s="58" t="n">
        <v>46314</v>
      </c>
      <c r="W115" s="44" t="inlineStr">
        <is>
          <t>https://kenney.nl/assets/rpg-audio | Kenney | CC0-1.0</t>
        </is>
      </c>
      <c r="X115" s="56" t="inlineStr">
        <is>
          <t>art_source/audio/sfx/AUD-SFX-MELEE-CANCEL/source/melee_cancel_v002.wav</t>
        </is>
      </c>
      <c r="Y115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116" ht="92.5" customHeight="1" s="33">
      <c r="A116" s="57" t="inlineStr">
        <is>
          <t>AUD-SFX-ENEMY-ALERT</t>
        </is>
      </c>
      <c r="B116" s="44" t="inlineStr">
        <is>
          <t>enemy_alert</t>
        </is>
      </c>
      <c r="C116" s="44" t="inlineStr">
        <is>
          <t>音效</t>
        </is>
      </c>
      <c r="D116" s="57" t="inlineStr">
        <is>
          <t>sfx</t>
        </is>
      </c>
      <c r="E116" s="57" t="inlineStr">
        <is>
          <t>enemy_alert</t>
        </is>
      </c>
      <c r="F116" s="57" t="inlineStr">
        <is>
          <t>root</t>
        </is>
      </c>
      <c r="G116" s="44" t="n"/>
      <c r="H116" s="44" t="inlineStr">
        <is>
          <t>不适用</t>
        </is>
      </c>
      <c r="I116" s="57" t="inlineStr">
        <is>
          <t>default</t>
        </is>
      </c>
      <c r="J116" s="44" t="inlineStr">
        <is>
          <t>enemy.alert</t>
        </is>
      </c>
      <c r="K116" s="44" t="inlineStr">
        <is>
          <t>authored</t>
        </is>
      </c>
      <c r="L116" s="57" t="inlineStr">
        <is>
          <t>P1</t>
        </is>
      </c>
      <c r="M116" s="57" t="inlineStr">
        <is>
          <t>v002</t>
        </is>
      </c>
      <c r="N116" s="57" t="inlineStr">
        <is>
          <t>44100Hz / mono / PCM24 master / Vorbis q6 / 0.85s</t>
        </is>
      </c>
      <c r="O116" s="57" t="inlineStr">
        <is>
          <t>src/assets/audio/sfx/enemy_alert_v002.ogg</t>
        </is>
      </c>
      <c r="P116" s="57" t="inlineStr">
        <is>
          <t>art_source/audio/sfx/AUD-SFX-ENEMY-ALERT/source/enemy_alert_v002.wav</t>
        </is>
      </c>
      <c r="Q116" s="57" t="inlineStr">
        <is>
          <t>enemy_alert</t>
        </is>
      </c>
      <c r="R116" s="44">
        <f>LOWER(TRIM(C116)&amp;"|"&amp;TRIM(D116)&amp;"|"&amp;TRIM(E116)&amp;"|"&amp;TRIM(F116)&amp;"|"&amp;TRIM(H116)&amp;"|"&amp;TRIM(I116))</f>
        <v/>
      </c>
      <c r="S116" s="44">
        <f>IF(COUNTIF($R$6:$R$183,R116)&gt;1,"重复","唯一")</f>
        <v/>
      </c>
      <c r="T116" s="57" t="inlineStr">
        <is>
          <t>d82249392834623ee8bf71c7528adddf65375b96b5e33d1ecb748e6677711c55</t>
        </is>
      </c>
      <c r="U116" s="57" t="inlineStr">
        <is>
          <t>Codex sound design</t>
        </is>
      </c>
      <c r="V116" s="58" t="n">
        <v>46314</v>
      </c>
      <c r="W116" s="44" t="inlineStr">
        <is>
          <t>https://opengameart.org/content/16-monster-growls | StarNinjas | CC0-1.0</t>
        </is>
      </c>
      <c r="X116" s="56" t="inlineStr">
        <is>
          <t>art_source/audio/sfx/AUD-SFX-ENEMY-ALERT/source/enemy_alert_v002.wav</t>
        </is>
      </c>
      <c r="Y116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117" ht="92.5" customHeight="1" s="33">
      <c r="A117" s="57" t="inlineStr">
        <is>
          <t>AUD-SFX-ENEMY-SEARCH</t>
        </is>
      </c>
      <c r="B117" s="44" t="inlineStr">
        <is>
          <t>enemy_search</t>
        </is>
      </c>
      <c r="C117" s="44" t="inlineStr">
        <is>
          <t>音效</t>
        </is>
      </c>
      <c r="D117" s="57" t="inlineStr">
        <is>
          <t>sfx</t>
        </is>
      </c>
      <c r="E117" s="57" t="inlineStr">
        <is>
          <t>enemy_search</t>
        </is>
      </c>
      <c r="F117" s="57" t="inlineStr">
        <is>
          <t>root</t>
        </is>
      </c>
      <c r="G117" s="44" t="n"/>
      <c r="H117" s="44" t="inlineStr">
        <is>
          <t>不适用</t>
        </is>
      </c>
      <c r="I117" s="57" t="inlineStr">
        <is>
          <t>default</t>
        </is>
      </c>
      <c r="J117" s="44" t="inlineStr">
        <is>
          <t>enemy.search</t>
        </is>
      </c>
      <c r="K117" s="44" t="inlineStr">
        <is>
          <t>authored</t>
        </is>
      </c>
      <c r="L117" s="57" t="inlineStr">
        <is>
          <t>P1</t>
        </is>
      </c>
      <c r="M117" s="57" t="inlineStr">
        <is>
          <t>v002</t>
        </is>
      </c>
      <c r="N117" s="57" t="inlineStr">
        <is>
          <t>44100Hz / mono / PCM24 master / Vorbis q6 / 0.85s</t>
        </is>
      </c>
      <c r="O117" s="57" t="inlineStr">
        <is>
          <t>src/assets/audio/sfx/enemy_search_v002.ogg</t>
        </is>
      </c>
      <c r="P117" s="57" t="inlineStr">
        <is>
          <t>art_source/audio/sfx/AUD-SFX-ENEMY-SEARCH/source/enemy_search_v002.wav</t>
        </is>
      </c>
      <c r="Q117" s="57" t="inlineStr">
        <is>
          <t>enemy_search</t>
        </is>
      </c>
      <c r="R117" s="44">
        <f>LOWER(TRIM(C117)&amp;"|"&amp;TRIM(D117)&amp;"|"&amp;TRIM(E117)&amp;"|"&amp;TRIM(F117)&amp;"|"&amp;TRIM(H117)&amp;"|"&amp;TRIM(I117))</f>
        <v/>
      </c>
      <c r="S117" s="44">
        <f>IF(COUNTIF($R$6:$R$183,R117)&gt;1,"重复","唯一")</f>
        <v/>
      </c>
      <c r="T117" s="57" t="inlineStr">
        <is>
          <t>2f2b14b4eb4cfb97cb72a853a87fa1888242c876b21bbcabf87fd8faa0926b54</t>
        </is>
      </c>
      <c r="U117" s="57" t="inlineStr">
        <is>
          <t>Codex sound design</t>
        </is>
      </c>
      <c r="V117" s="58" t="n">
        <v>46314</v>
      </c>
      <c r="W117" s="44" t="inlineStr">
        <is>
          <t>https://opengameart.org/content/16-monster-growls | StarNinjas | CC0-1.0</t>
        </is>
      </c>
      <c r="X117" s="56" t="inlineStr">
        <is>
          <t>art_source/audio/sfx/AUD-SFX-ENEMY-SEARCH/source/enemy_search_v002.wav</t>
        </is>
      </c>
      <c r="Y117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118" ht="92.5" customHeight="1" s="33">
      <c r="A118" s="57" t="inlineStr">
        <is>
          <t>AUD-SFX-ENEMY-TELEGRAPH</t>
        </is>
      </c>
      <c r="B118" s="44" t="inlineStr">
        <is>
          <t>enemy_telegraph</t>
        </is>
      </c>
      <c r="C118" s="44" t="inlineStr">
        <is>
          <t>音效</t>
        </is>
      </c>
      <c r="D118" s="57" t="inlineStr">
        <is>
          <t>sfx</t>
        </is>
      </c>
      <c r="E118" s="57" t="inlineStr">
        <is>
          <t>enemy_telegraph</t>
        </is>
      </c>
      <c r="F118" s="57" t="inlineStr">
        <is>
          <t>root</t>
        </is>
      </c>
      <c r="G118" s="44" t="n"/>
      <c r="H118" s="44" t="inlineStr">
        <is>
          <t>不适用</t>
        </is>
      </c>
      <c r="I118" s="57" t="inlineStr">
        <is>
          <t>default</t>
        </is>
      </c>
      <c r="J118" s="44" t="inlineStr">
        <is>
          <t>enemy.telegraph</t>
        </is>
      </c>
      <c r="K118" s="44" t="inlineStr">
        <is>
          <t>authored</t>
        </is>
      </c>
      <c r="L118" s="57" t="inlineStr">
        <is>
          <t>P1</t>
        </is>
      </c>
      <c r="M118" s="57" t="inlineStr">
        <is>
          <t>v002</t>
        </is>
      </c>
      <c r="N118" s="57" t="inlineStr">
        <is>
          <t>44100Hz / mono / PCM24 master / Vorbis q6 / 0.85s</t>
        </is>
      </c>
      <c r="O118" s="57" t="inlineStr">
        <is>
          <t>src/assets/audio/sfx/enemy_telegraph_v002.ogg</t>
        </is>
      </c>
      <c r="P118" s="57" t="inlineStr">
        <is>
          <t>art_source/audio/sfx/AUD-SFX-ENEMY-TELEGRAPH/source/enemy_telegraph_v002.wav</t>
        </is>
      </c>
      <c r="Q118" s="57" t="inlineStr">
        <is>
          <t>enemy_telegraph</t>
        </is>
      </c>
      <c r="R118" s="44">
        <f>LOWER(TRIM(C118)&amp;"|"&amp;TRIM(D118)&amp;"|"&amp;TRIM(E118)&amp;"|"&amp;TRIM(F118)&amp;"|"&amp;TRIM(H118)&amp;"|"&amp;TRIM(I118))</f>
        <v/>
      </c>
      <c r="S118" s="44">
        <f>IF(COUNTIF($R$6:$R$183,R118)&gt;1,"重复","唯一")</f>
        <v/>
      </c>
      <c r="T118" s="57" t="inlineStr">
        <is>
          <t>6e7b9c13af1578caff66e91a19b45b2c4252a9dd50d8a6d4e22698a8edbdc92d</t>
        </is>
      </c>
      <c r="U118" s="57" t="inlineStr">
        <is>
          <t>Codex sound design</t>
        </is>
      </c>
      <c r="V118" s="58" t="n">
        <v>46314</v>
      </c>
      <c r="W118" s="44" t="inlineStr">
        <is>
          <t>https://opengameart.org/content/16-monster-growls | StarNinjas | CC0-1.0</t>
        </is>
      </c>
      <c r="X118" s="56" t="inlineStr">
        <is>
          <t>art_source/audio/sfx/AUD-SFX-ENEMY-TELEGRAPH/source/enemy_telegraph_v002.wav</t>
        </is>
      </c>
      <c r="Y118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119" ht="92.5" customHeight="1" s="33">
      <c r="A119" s="57" t="inlineStr">
        <is>
          <t>AUD-SFX-ENEMY-TELEGRAPH-VAR02</t>
        </is>
      </c>
      <c r="B119" s="44" t="inlineStr">
        <is>
          <t>enemy_telegraph 变体2</t>
        </is>
      </c>
      <c r="C119" s="44" t="inlineStr">
        <is>
          <t>音效</t>
        </is>
      </c>
      <c r="D119" s="57" t="inlineStr">
        <is>
          <t>sfx</t>
        </is>
      </c>
      <c r="E119" s="57" t="inlineStr">
        <is>
          <t>enemy_telegraph</t>
        </is>
      </c>
      <c r="F119" s="57" t="inlineStr">
        <is>
          <t>root</t>
        </is>
      </c>
      <c r="G119" s="44" t="inlineStr">
        <is>
          <t>AUD-SFX-ENEMY-TELEGRAPH</t>
        </is>
      </c>
      <c r="H119" s="44" t="inlineStr">
        <is>
          <t>不适用</t>
        </is>
      </c>
      <c r="I119" s="57" t="inlineStr">
        <is>
          <t>variant_02</t>
        </is>
      </c>
      <c r="J119" s="44" t="inlineStr">
        <is>
          <t>enemy.telegraph</t>
        </is>
      </c>
      <c r="K119" s="44" t="inlineStr">
        <is>
          <t>authored</t>
        </is>
      </c>
      <c r="L119" s="57" t="inlineStr">
        <is>
          <t>P1</t>
        </is>
      </c>
      <c r="M119" s="57" t="inlineStr">
        <is>
          <t>v002</t>
        </is>
      </c>
      <c r="N119" s="57" t="inlineStr">
        <is>
          <t>44100Hz / mono / PCM24 master / Vorbis q6 / 0.85s</t>
        </is>
      </c>
      <c r="O119" s="57" t="inlineStr">
        <is>
          <t>src/assets/audio/sfx/enemy_telegraph_alt02_v002.ogg</t>
        </is>
      </c>
      <c r="P119" s="57" t="inlineStr">
        <is>
          <t>art_source/audio/sfx/AUD-SFX-ENEMY-TELEGRAPH-VAR02/source/enemy_telegraph_alt02_v002.wav</t>
        </is>
      </c>
      <c r="Q119" s="57" t="inlineStr">
        <is>
          <t>enemy_telegraph</t>
        </is>
      </c>
      <c r="R119" s="44">
        <f>LOWER(TRIM(C119)&amp;"|"&amp;TRIM(D119)&amp;"|"&amp;TRIM(E119)&amp;"|"&amp;TRIM(F119)&amp;"|"&amp;TRIM(H119)&amp;"|"&amp;TRIM(I119))</f>
        <v/>
      </c>
      <c r="S119" s="44">
        <f>IF(COUNTIF($R$6:$R$183,R119)&gt;1,"重复","唯一")</f>
        <v/>
      </c>
      <c r="T119" s="57" t="inlineStr">
        <is>
          <t>58a70cb1a0b8d79305a1078bed9a82d8b94aaa23d59a3d0865755c4c9b66e8fd</t>
        </is>
      </c>
      <c r="U119" s="57" t="inlineStr">
        <is>
          <t>Codex sound design</t>
        </is>
      </c>
      <c r="V119" s="58" t="n">
        <v>46314</v>
      </c>
      <c r="W119" s="44" t="inlineStr">
        <is>
          <t>https://opengameart.org/content/16-monster-growls | StarNinjas | CC0-1.0</t>
        </is>
      </c>
      <c r="X119" s="56" t="inlineStr">
        <is>
          <t>art_source/audio/sfx/AUD-SFX-ENEMY-TELEGRAPH-VAR02/source/enemy_telegraph_alt02_v002.wav</t>
        </is>
      </c>
      <c r="Y119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120" ht="92.5" customHeight="1" s="33">
      <c r="A120" s="57" t="inlineStr">
        <is>
          <t>AUD-SFX-ENEMY-TELEGRAPH-VAR03</t>
        </is>
      </c>
      <c r="B120" s="44" t="inlineStr">
        <is>
          <t>enemy_telegraph 变体3</t>
        </is>
      </c>
      <c r="C120" s="44" t="inlineStr">
        <is>
          <t>音效</t>
        </is>
      </c>
      <c r="D120" s="57" t="inlineStr">
        <is>
          <t>sfx</t>
        </is>
      </c>
      <c r="E120" s="57" t="inlineStr">
        <is>
          <t>enemy_telegraph</t>
        </is>
      </c>
      <c r="F120" s="57" t="inlineStr">
        <is>
          <t>root</t>
        </is>
      </c>
      <c r="G120" s="44" t="inlineStr">
        <is>
          <t>AUD-SFX-ENEMY-TELEGRAPH</t>
        </is>
      </c>
      <c r="H120" s="44" t="inlineStr">
        <is>
          <t>不适用</t>
        </is>
      </c>
      <c r="I120" s="57" t="inlineStr">
        <is>
          <t>variant_03</t>
        </is>
      </c>
      <c r="J120" s="44" t="inlineStr">
        <is>
          <t>enemy.telegraph</t>
        </is>
      </c>
      <c r="K120" s="44" t="inlineStr">
        <is>
          <t>authored</t>
        </is>
      </c>
      <c r="L120" s="57" t="inlineStr">
        <is>
          <t>P1</t>
        </is>
      </c>
      <c r="M120" s="57" t="inlineStr">
        <is>
          <t>v002</t>
        </is>
      </c>
      <c r="N120" s="57" t="inlineStr">
        <is>
          <t>44100Hz / mono / PCM24 master / Vorbis q6 / 0.85s</t>
        </is>
      </c>
      <c r="O120" s="57" t="inlineStr">
        <is>
          <t>src/assets/audio/sfx/enemy_telegraph_alt03_v002.ogg</t>
        </is>
      </c>
      <c r="P120" s="57" t="inlineStr">
        <is>
          <t>art_source/audio/sfx/AUD-SFX-ENEMY-TELEGRAPH-VAR03/source/enemy_telegraph_alt03_v002.wav</t>
        </is>
      </c>
      <c r="Q120" s="57" t="inlineStr">
        <is>
          <t>enemy_telegraph</t>
        </is>
      </c>
      <c r="R120" s="44">
        <f>LOWER(TRIM(C120)&amp;"|"&amp;TRIM(D120)&amp;"|"&amp;TRIM(E120)&amp;"|"&amp;TRIM(F120)&amp;"|"&amp;TRIM(H120)&amp;"|"&amp;TRIM(I120))</f>
        <v/>
      </c>
      <c r="S120" s="44">
        <f>IF(COUNTIF($R$6:$R$183,R120)&gt;1,"重复","唯一")</f>
        <v/>
      </c>
      <c r="T120" s="57" t="inlineStr">
        <is>
          <t>13a84b1ff85952a39933693773ce61f1b8bdc9d63d4b1b0368a7aa4ce7a79298</t>
        </is>
      </c>
      <c r="U120" s="57" t="inlineStr">
        <is>
          <t>Codex sound design</t>
        </is>
      </c>
      <c r="V120" s="58" t="n">
        <v>46314</v>
      </c>
      <c r="W120" s="44" t="inlineStr">
        <is>
          <t>https://opengameart.org/content/16-monster-growls | StarNinjas | CC0-1.0</t>
        </is>
      </c>
      <c r="X120" s="56" t="inlineStr">
        <is>
          <t>art_source/audio/sfx/AUD-SFX-ENEMY-TELEGRAPH-VAR03/source/enemy_telegraph_alt03_v002.wav</t>
        </is>
      </c>
      <c r="Y120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121" ht="92.5" customHeight="1" s="33">
      <c r="A121" s="57" t="inlineStr">
        <is>
          <t>AUD-SFX-ENEMY-ATTACK</t>
        </is>
      </c>
      <c r="B121" s="44" t="inlineStr">
        <is>
          <t>enemy_attack</t>
        </is>
      </c>
      <c r="C121" s="44" t="inlineStr">
        <is>
          <t>音效</t>
        </is>
      </c>
      <c r="D121" s="57" t="inlineStr">
        <is>
          <t>sfx</t>
        </is>
      </c>
      <c r="E121" s="57" t="inlineStr">
        <is>
          <t>enemy_attack</t>
        </is>
      </c>
      <c r="F121" s="57" t="inlineStr">
        <is>
          <t>root</t>
        </is>
      </c>
      <c r="G121" s="44" t="n"/>
      <c r="H121" s="44" t="inlineStr">
        <is>
          <t>不适用</t>
        </is>
      </c>
      <c r="I121" s="57" t="inlineStr">
        <is>
          <t>default</t>
        </is>
      </c>
      <c r="J121" s="44" t="inlineStr">
        <is>
          <t>enemy.attack</t>
        </is>
      </c>
      <c r="K121" s="44" t="inlineStr">
        <is>
          <t>authored</t>
        </is>
      </c>
      <c r="L121" s="57" t="inlineStr">
        <is>
          <t>P1</t>
        </is>
      </c>
      <c r="M121" s="57" t="inlineStr">
        <is>
          <t>v002</t>
        </is>
      </c>
      <c r="N121" s="57" t="inlineStr">
        <is>
          <t>44100Hz / mono / PCM24 master / Vorbis q6 / 0.65s</t>
        </is>
      </c>
      <c r="O121" s="57" t="inlineStr">
        <is>
          <t>src/assets/audio/sfx/enemy_attack_v002.ogg</t>
        </is>
      </c>
      <c r="P121" s="57" t="inlineStr">
        <is>
          <t>art_source/audio/sfx/AUD-SFX-ENEMY-ATTACK/source/enemy_attack_v002.wav</t>
        </is>
      </c>
      <c r="Q121" s="57" t="inlineStr">
        <is>
          <t>enemy_attack</t>
        </is>
      </c>
      <c r="R121" s="44">
        <f>LOWER(TRIM(C121)&amp;"|"&amp;TRIM(D121)&amp;"|"&amp;TRIM(E121)&amp;"|"&amp;TRIM(F121)&amp;"|"&amp;TRIM(H121)&amp;"|"&amp;TRIM(I121))</f>
        <v/>
      </c>
      <c r="S121" s="44">
        <f>IF(COUNTIF($R$6:$R$183,R121)&gt;1,"重复","唯一")</f>
        <v/>
      </c>
      <c r="T121" s="57" t="inlineStr">
        <is>
          <t>199e672872c48d5773943692bd4e5a42b57fefe81002a95abc6f1dd48d592180</t>
        </is>
      </c>
      <c r="U121" s="57" t="inlineStr">
        <is>
          <t>Codex sound design</t>
        </is>
      </c>
      <c r="V121" s="58" t="n">
        <v>46314</v>
      </c>
      <c r="W121" s="44" t="inlineStr">
        <is>
          <t>https://kenney.nl/assets/rpg-audio | Kenney; https://opengameart.org/content/16-monster-growls | StarNinjas | CC0-1.0</t>
        </is>
      </c>
      <c r="X121" s="56" t="inlineStr">
        <is>
          <t>art_source/audio/sfx/AUD-SFX-ENEMY-ATTACK/source/enemy_attack_v002.wav</t>
        </is>
      </c>
      <c r="Y121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122" ht="92.5" customHeight="1" s="33">
      <c r="A122" s="57" t="inlineStr">
        <is>
          <t>AUD-SFX-ENEMY-ATTACK-VAR02</t>
        </is>
      </c>
      <c r="B122" s="44" t="inlineStr">
        <is>
          <t>enemy_attack 变体2</t>
        </is>
      </c>
      <c r="C122" s="44" t="inlineStr">
        <is>
          <t>音效</t>
        </is>
      </c>
      <c r="D122" s="57" t="inlineStr">
        <is>
          <t>sfx</t>
        </is>
      </c>
      <c r="E122" s="57" t="inlineStr">
        <is>
          <t>enemy_attack</t>
        </is>
      </c>
      <c r="F122" s="57" t="inlineStr">
        <is>
          <t>root</t>
        </is>
      </c>
      <c r="G122" s="44" t="inlineStr">
        <is>
          <t>AUD-SFX-ENEMY-ATTACK</t>
        </is>
      </c>
      <c r="H122" s="44" t="inlineStr">
        <is>
          <t>不适用</t>
        </is>
      </c>
      <c r="I122" s="57" t="inlineStr">
        <is>
          <t>variant_02</t>
        </is>
      </c>
      <c r="J122" s="44" t="inlineStr">
        <is>
          <t>enemy.attack</t>
        </is>
      </c>
      <c r="K122" s="44" t="inlineStr">
        <is>
          <t>authored</t>
        </is>
      </c>
      <c r="L122" s="57" t="inlineStr">
        <is>
          <t>P1</t>
        </is>
      </c>
      <c r="M122" s="57" t="inlineStr">
        <is>
          <t>v002</t>
        </is>
      </c>
      <c r="N122" s="57" t="inlineStr">
        <is>
          <t>44100Hz / mono / PCM24 master / Vorbis q6 / 0.65s</t>
        </is>
      </c>
      <c r="O122" s="57" t="inlineStr">
        <is>
          <t>src/assets/audio/sfx/enemy_attack_alt02_v002.ogg</t>
        </is>
      </c>
      <c r="P122" s="57" t="inlineStr">
        <is>
          <t>art_source/audio/sfx/AUD-SFX-ENEMY-ATTACK-VAR02/source/enemy_attack_alt02_v002.wav</t>
        </is>
      </c>
      <c r="Q122" s="57" t="inlineStr">
        <is>
          <t>enemy_attack</t>
        </is>
      </c>
      <c r="R122" s="44">
        <f>LOWER(TRIM(C122)&amp;"|"&amp;TRIM(D122)&amp;"|"&amp;TRIM(E122)&amp;"|"&amp;TRIM(F122)&amp;"|"&amp;TRIM(H122)&amp;"|"&amp;TRIM(I122))</f>
        <v/>
      </c>
      <c r="S122" s="44">
        <f>IF(COUNTIF($R$6:$R$183,R122)&gt;1,"重复","唯一")</f>
        <v/>
      </c>
      <c r="T122" s="57" t="inlineStr">
        <is>
          <t>2b3d25ba62527a3f401ae73f0f68e0e768ea0f075cfec4ebd2d51b210902445a</t>
        </is>
      </c>
      <c r="U122" s="57" t="inlineStr">
        <is>
          <t>Codex sound design</t>
        </is>
      </c>
      <c r="V122" s="58" t="n">
        <v>46314</v>
      </c>
      <c r="W122" s="44" t="inlineStr">
        <is>
          <t>https://kenney.nl/assets/rpg-audio | Kenney; https://opengameart.org/content/16-monster-growls | StarNinjas | CC0-1.0</t>
        </is>
      </c>
      <c r="X122" s="56" t="inlineStr">
        <is>
          <t>art_source/audio/sfx/AUD-SFX-ENEMY-ATTACK-VAR02/source/enemy_attack_alt02_v002.wav</t>
        </is>
      </c>
      <c r="Y122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123" ht="92.5" customHeight="1" s="33">
      <c r="A123" s="57" t="inlineStr">
        <is>
          <t>AUD-SFX-ENEMY-ATTACK-VAR03</t>
        </is>
      </c>
      <c r="B123" s="44" t="inlineStr">
        <is>
          <t>enemy_attack 变体3</t>
        </is>
      </c>
      <c r="C123" s="44" t="inlineStr">
        <is>
          <t>音效</t>
        </is>
      </c>
      <c r="D123" s="57" t="inlineStr">
        <is>
          <t>sfx</t>
        </is>
      </c>
      <c r="E123" s="57" t="inlineStr">
        <is>
          <t>enemy_attack</t>
        </is>
      </c>
      <c r="F123" s="57" t="inlineStr">
        <is>
          <t>root</t>
        </is>
      </c>
      <c r="G123" s="44" t="inlineStr">
        <is>
          <t>AUD-SFX-ENEMY-ATTACK</t>
        </is>
      </c>
      <c r="H123" s="44" t="inlineStr">
        <is>
          <t>不适用</t>
        </is>
      </c>
      <c r="I123" s="57" t="inlineStr">
        <is>
          <t>variant_03</t>
        </is>
      </c>
      <c r="J123" s="44" t="inlineStr">
        <is>
          <t>enemy.attack</t>
        </is>
      </c>
      <c r="K123" s="44" t="inlineStr">
        <is>
          <t>authored</t>
        </is>
      </c>
      <c r="L123" s="57" t="inlineStr">
        <is>
          <t>P1</t>
        </is>
      </c>
      <c r="M123" s="57" t="inlineStr">
        <is>
          <t>v002</t>
        </is>
      </c>
      <c r="N123" s="57" t="inlineStr">
        <is>
          <t>44100Hz / mono / PCM24 master / Vorbis q6 / 0.65s</t>
        </is>
      </c>
      <c r="O123" s="57" t="inlineStr">
        <is>
          <t>src/assets/audio/sfx/enemy_attack_alt03_v002.ogg</t>
        </is>
      </c>
      <c r="P123" s="57" t="inlineStr">
        <is>
          <t>art_source/audio/sfx/AUD-SFX-ENEMY-ATTACK-VAR03/source/enemy_attack_alt03_v002.wav</t>
        </is>
      </c>
      <c r="Q123" s="57" t="inlineStr">
        <is>
          <t>enemy_attack</t>
        </is>
      </c>
      <c r="R123" s="44">
        <f>LOWER(TRIM(C123)&amp;"|"&amp;TRIM(D123)&amp;"|"&amp;TRIM(E123)&amp;"|"&amp;TRIM(F123)&amp;"|"&amp;TRIM(H123)&amp;"|"&amp;TRIM(I123))</f>
        <v/>
      </c>
      <c r="S123" s="44">
        <f>IF(COUNTIF($R$6:$R$183,R123)&gt;1,"重复","唯一")</f>
        <v/>
      </c>
      <c r="T123" s="57" t="inlineStr">
        <is>
          <t>1400c6038a24b69d28704c301c96fa364f12ba6c1e6b53e064f731859ba0aea6</t>
        </is>
      </c>
      <c r="U123" s="57" t="inlineStr">
        <is>
          <t>Codex sound design</t>
        </is>
      </c>
      <c r="V123" s="58" t="n">
        <v>46314</v>
      </c>
      <c r="W123" s="44" t="inlineStr">
        <is>
          <t>https://kenney.nl/assets/rpg-audio | Kenney; https://opengameart.org/content/16-monster-growls | StarNinjas | CC0-1.0</t>
        </is>
      </c>
      <c r="X123" s="56" t="inlineStr">
        <is>
          <t>art_source/audio/sfx/AUD-SFX-ENEMY-ATTACK-VAR03/source/enemy_attack_alt03_v002.wav</t>
        </is>
      </c>
      <c r="Y123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124" ht="92.5" customHeight="1" s="33">
      <c r="A124" s="57" t="inlineStr">
        <is>
          <t>AUD-SFX-ENEMY-SUMMON</t>
        </is>
      </c>
      <c r="B124" s="44" t="inlineStr">
        <is>
          <t>enemy_summon</t>
        </is>
      </c>
      <c r="C124" s="44" t="inlineStr">
        <is>
          <t>音效</t>
        </is>
      </c>
      <c r="D124" s="57" t="inlineStr">
        <is>
          <t>sfx</t>
        </is>
      </c>
      <c r="E124" s="57" t="inlineStr">
        <is>
          <t>enemy_summon</t>
        </is>
      </c>
      <c r="F124" s="57" t="inlineStr">
        <is>
          <t>root</t>
        </is>
      </c>
      <c r="G124" s="44" t="n"/>
      <c r="H124" s="44" t="inlineStr">
        <is>
          <t>不适用</t>
        </is>
      </c>
      <c r="I124" s="57" t="inlineStr">
        <is>
          <t>default</t>
        </is>
      </c>
      <c r="J124" s="44" t="inlineStr">
        <is>
          <t>enemy.summon</t>
        </is>
      </c>
      <c r="K124" s="44" t="inlineStr">
        <is>
          <t>authored</t>
        </is>
      </c>
      <c r="L124" s="57" t="inlineStr">
        <is>
          <t>P1</t>
        </is>
      </c>
      <c r="M124" s="57" t="inlineStr">
        <is>
          <t>v002</t>
        </is>
      </c>
      <c r="N124" s="57" t="inlineStr">
        <is>
          <t>44100Hz / mono / PCM24 master / Vorbis q6 / 1.25s</t>
        </is>
      </c>
      <c r="O124" s="57" t="inlineStr">
        <is>
          <t>src/assets/audio/sfx/enemy_summon_v002.ogg</t>
        </is>
      </c>
      <c r="P124" s="57" t="inlineStr">
        <is>
          <t>art_source/audio/sfx/AUD-SFX-ENEMY-SUMMON/source/enemy_summon_v002.wav</t>
        </is>
      </c>
      <c r="Q124" s="57" t="inlineStr">
        <is>
          <t>enemy_summon</t>
        </is>
      </c>
      <c r="R124" s="44">
        <f>LOWER(TRIM(C124)&amp;"|"&amp;TRIM(D124)&amp;"|"&amp;TRIM(E124)&amp;"|"&amp;TRIM(F124)&amp;"|"&amp;TRIM(H124)&amp;"|"&amp;TRIM(I124))</f>
        <v/>
      </c>
      <c r="S124" s="44">
        <f>IF(COUNTIF($R$6:$R$183,R124)&gt;1,"重复","唯一")</f>
        <v/>
      </c>
      <c r="T124" s="57" t="inlineStr">
        <is>
          <t>868d8df30f7aed8a21cef710a4806825f71acf9141e0c42c2f9d31a7cd32c78b</t>
        </is>
      </c>
      <c r="U124" s="57" t="inlineStr">
        <is>
          <t>Codex sound design</t>
        </is>
      </c>
      <c r="V124" s="58" t="n">
        <v>46314</v>
      </c>
      <c r="W124" s="44" t="inlineStr">
        <is>
          <t>https://opengameart.org/content/16-monster-growls | StarNinjas; https://opengameart.org/content/tree-falling-yo-frankie | Blender Foundation | CC0; CC0-1.0</t>
        </is>
      </c>
      <c r="X124" s="56" t="inlineStr">
        <is>
          <t>art_source/audio/sfx/AUD-SFX-ENEMY-SUMMON/source/enemy_summon_v002.wav</t>
        </is>
      </c>
      <c r="Y124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125" ht="92.5" customHeight="1" s="33">
      <c r="A125" s="57" t="inlineStr">
        <is>
          <t>AUD-SFX-ENEMY-HEAL</t>
        </is>
      </c>
      <c r="B125" s="44" t="inlineStr">
        <is>
          <t>enemy_heal</t>
        </is>
      </c>
      <c r="C125" s="44" t="inlineStr">
        <is>
          <t>音效</t>
        </is>
      </c>
      <c r="D125" s="57" t="inlineStr">
        <is>
          <t>sfx</t>
        </is>
      </c>
      <c r="E125" s="57" t="inlineStr">
        <is>
          <t>enemy_heal</t>
        </is>
      </c>
      <c r="F125" s="57" t="inlineStr">
        <is>
          <t>root</t>
        </is>
      </c>
      <c r="G125" s="44" t="n"/>
      <c r="H125" s="44" t="inlineStr">
        <is>
          <t>不适用</t>
        </is>
      </c>
      <c r="I125" s="57" t="inlineStr">
        <is>
          <t>default</t>
        </is>
      </c>
      <c r="J125" s="44" t="inlineStr">
        <is>
          <t>enemy.heal</t>
        </is>
      </c>
      <c r="K125" s="44" t="inlineStr">
        <is>
          <t>authored</t>
        </is>
      </c>
      <c r="L125" s="57" t="inlineStr">
        <is>
          <t>P1</t>
        </is>
      </c>
      <c r="M125" s="57" t="inlineStr">
        <is>
          <t>v002</t>
        </is>
      </c>
      <c r="N125" s="57" t="inlineStr">
        <is>
          <t>44100Hz / mono / PCM24 master / Vorbis q6 / 0.95s</t>
        </is>
      </c>
      <c r="O125" s="57" t="inlineStr">
        <is>
          <t>src/assets/audio/sfx/enemy_heal_v002.ogg</t>
        </is>
      </c>
      <c r="P125" s="57" t="inlineStr">
        <is>
          <t>art_source/audio/sfx/AUD-SFX-ENEMY-HEAL/source/enemy_heal_v002.wav</t>
        </is>
      </c>
      <c r="Q125" s="57" t="inlineStr">
        <is>
          <t>enemy_heal</t>
        </is>
      </c>
      <c r="R125" s="44">
        <f>LOWER(TRIM(C125)&amp;"|"&amp;TRIM(D125)&amp;"|"&amp;TRIM(E125)&amp;"|"&amp;TRIM(F125)&amp;"|"&amp;TRIM(H125)&amp;"|"&amp;TRIM(I125))</f>
        <v/>
      </c>
      <c r="S125" s="44">
        <f>IF(COUNTIF($R$6:$R$183,R125)&gt;1,"重复","唯一")</f>
        <v/>
      </c>
      <c r="T125" s="57" t="inlineStr">
        <is>
          <t>768ac81b39c5ee91877d662b66156ebfae2ecbcb1974b86fc0ffda8cda7d7446</t>
        </is>
      </c>
      <c r="U125" s="57" t="inlineStr">
        <is>
          <t>Codex sound design</t>
        </is>
      </c>
      <c r="V125" s="58" t="n">
        <v>46314</v>
      </c>
      <c r="W125" s="44" t="inlineStr">
        <is>
          <t>https://kenney.nl/assets/rpg-audio | Kenney; https://opengameart.org/content/16-monster-growls | StarNinjas | CC0-1.0</t>
        </is>
      </c>
      <c r="X125" s="56" t="inlineStr">
        <is>
          <t>art_source/audio/sfx/AUD-SFX-ENEMY-HEAL/source/enemy_heal_v002.wav</t>
        </is>
      </c>
      <c r="Y125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126" ht="92.5" customHeight="1" s="33">
      <c r="A126" s="57" t="inlineStr">
        <is>
          <t>AUD-SFX-ENEMY-AVOID-LIGHT</t>
        </is>
      </c>
      <c r="B126" s="44" t="inlineStr">
        <is>
          <t>enemy_avoid_light</t>
        </is>
      </c>
      <c r="C126" s="44" t="inlineStr">
        <is>
          <t>音效</t>
        </is>
      </c>
      <c r="D126" s="57" t="inlineStr">
        <is>
          <t>sfx</t>
        </is>
      </c>
      <c r="E126" s="57" t="inlineStr">
        <is>
          <t>enemy_avoid_light</t>
        </is>
      </c>
      <c r="F126" s="57" t="inlineStr">
        <is>
          <t>root</t>
        </is>
      </c>
      <c r="G126" s="44" t="n"/>
      <c r="H126" s="44" t="inlineStr">
        <is>
          <t>不适用</t>
        </is>
      </c>
      <c r="I126" s="57" t="inlineStr">
        <is>
          <t>default</t>
        </is>
      </c>
      <c r="J126" s="44" t="inlineStr">
        <is>
          <t>enemy.avoid_light</t>
        </is>
      </c>
      <c r="K126" s="44" t="inlineStr">
        <is>
          <t>authored</t>
        </is>
      </c>
      <c r="L126" s="57" t="inlineStr">
        <is>
          <t>P1</t>
        </is>
      </c>
      <c r="M126" s="57" t="inlineStr">
        <is>
          <t>v002</t>
        </is>
      </c>
      <c r="N126" s="57" t="inlineStr">
        <is>
          <t>44100Hz / mono / PCM24 master / Vorbis q6 / 0.6s</t>
        </is>
      </c>
      <c r="O126" s="57" t="inlineStr">
        <is>
          <t>src/assets/audio/sfx/enemy_avoid_light_v002.ogg</t>
        </is>
      </c>
      <c r="P126" s="57" t="inlineStr">
        <is>
          <t>art_source/audio/sfx/AUD-SFX-ENEMY-AVOID-LIGHT/source/enemy_avoid_light_v002.wav</t>
        </is>
      </c>
      <c r="Q126" s="57" t="inlineStr">
        <is>
          <t>enemy_avoid_light</t>
        </is>
      </c>
      <c r="R126" s="44">
        <f>LOWER(TRIM(C126)&amp;"|"&amp;TRIM(D126)&amp;"|"&amp;TRIM(E126)&amp;"|"&amp;TRIM(F126)&amp;"|"&amp;TRIM(H126)&amp;"|"&amp;TRIM(I126))</f>
        <v/>
      </c>
      <c r="S126" s="44">
        <f>IF(COUNTIF($R$6:$R$183,R126)&gt;1,"重复","唯一")</f>
        <v/>
      </c>
      <c r="T126" s="57" t="inlineStr">
        <is>
          <t>97611a0724f342438f30a5e80bfa1527edc64d58efac99d7d321b0328635f0ab</t>
        </is>
      </c>
      <c r="U126" s="57" t="inlineStr">
        <is>
          <t>Codex sound design</t>
        </is>
      </c>
      <c r="V126" s="58" t="n">
        <v>46314</v>
      </c>
      <c r="W126" s="44" t="inlineStr">
        <is>
          <t>https://opengameart.org/content/16-monster-growls | StarNinjas | CC0-1.0</t>
        </is>
      </c>
      <c r="X126" s="56" t="inlineStr">
        <is>
          <t>art_source/audio/sfx/AUD-SFX-ENEMY-AVOID-LIGHT/source/enemy_avoid_light_v002.wav</t>
        </is>
      </c>
      <c r="Y126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127" ht="92.5" customHeight="1" s="33">
      <c r="A127" s="57" t="inlineStr">
        <is>
          <t>AUD-SFX-ENEMY-CHARGE</t>
        </is>
      </c>
      <c r="B127" s="44" t="inlineStr">
        <is>
          <t>enemy_charge</t>
        </is>
      </c>
      <c r="C127" s="44" t="inlineStr">
        <is>
          <t>音效</t>
        </is>
      </c>
      <c r="D127" s="57" t="inlineStr">
        <is>
          <t>sfx</t>
        </is>
      </c>
      <c r="E127" s="57" t="inlineStr">
        <is>
          <t>enemy_charge</t>
        </is>
      </c>
      <c r="F127" s="57" t="inlineStr">
        <is>
          <t>root</t>
        </is>
      </c>
      <c r="G127" s="44" t="n"/>
      <c r="H127" s="44" t="inlineStr">
        <is>
          <t>不适用</t>
        </is>
      </c>
      <c r="I127" s="57" t="inlineStr">
        <is>
          <t>default</t>
        </is>
      </c>
      <c r="J127" s="44" t="inlineStr">
        <is>
          <t>enemy.ranged_charge</t>
        </is>
      </c>
      <c r="K127" s="44" t="inlineStr">
        <is>
          <t>authored</t>
        </is>
      </c>
      <c r="L127" s="57" t="inlineStr">
        <is>
          <t>P2</t>
        </is>
      </c>
      <c r="M127" s="57" t="inlineStr">
        <is>
          <t>v002</t>
        </is>
      </c>
      <c r="N127" s="57" t="inlineStr">
        <is>
          <t>44100Hz / mono / PCM24 master / Vorbis q6 / 1.0s</t>
        </is>
      </c>
      <c r="O127" s="57" t="inlineStr">
        <is>
          <t>src/assets/audio/sfx/enemy_charge_v002.ogg</t>
        </is>
      </c>
      <c r="P127" s="57" t="inlineStr">
        <is>
          <t>art_source/audio/sfx/AUD-SFX-ENEMY-CHARGE/source/enemy_charge_v002.wav</t>
        </is>
      </c>
      <c r="Q127" s="57" t="inlineStr">
        <is>
          <t>enemy_charge</t>
        </is>
      </c>
      <c r="R127" s="44">
        <f>LOWER(TRIM(C127)&amp;"|"&amp;TRIM(D127)&amp;"|"&amp;TRIM(E127)&amp;"|"&amp;TRIM(F127)&amp;"|"&amp;TRIM(H127)&amp;"|"&amp;TRIM(I127))</f>
        <v/>
      </c>
      <c r="S127" s="44">
        <f>IF(COUNTIF($R$6:$R$183,R127)&gt;1,"重复","唯一")</f>
        <v/>
      </c>
      <c r="T127" s="57" t="inlineStr">
        <is>
          <t>64daf919649b5664335a8acc3c3324322a21a194632e69d69280d00aefbd735f</t>
        </is>
      </c>
      <c r="U127" s="57" t="inlineStr">
        <is>
          <t>Codex sound design</t>
        </is>
      </c>
      <c r="V127" s="58" t="n">
        <v>46314</v>
      </c>
      <c r="W127" s="44" t="inlineStr">
        <is>
          <t>https://kenney.nl/assets/rpg-audio | Kenney; https://opengameart.org/content/16-monster-growls | StarNinjas | CC0-1.0</t>
        </is>
      </c>
      <c r="X127" s="56" t="inlineStr">
        <is>
          <t>art_source/audio/sfx/AUD-SFX-ENEMY-CHARGE/source/enemy_charge_v002.wav</t>
        </is>
      </c>
      <c r="Y127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128" ht="92.5" customHeight="1" s="33">
      <c r="A128" s="57" t="inlineStr">
        <is>
          <t>AUD-SFX-ENEMY-SHIELD</t>
        </is>
      </c>
      <c r="B128" s="44" t="inlineStr">
        <is>
          <t>enemy_shield</t>
        </is>
      </c>
      <c r="C128" s="44" t="inlineStr">
        <is>
          <t>音效</t>
        </is>
      </c>
      <c r="D128" s="57" t="inlineStr">
        <is>
          <t>sfx</t>
        </is>
      </c>
      <c r="E128" s="57" t="inlineStr">
        <is>
          <t>enemy_shield</t>
        </is>
      </c>
      <c r="F128" s="57" t="inlineStr">
        <is>
          <t>root</t>
        </is>
      </c>
      <c r="G128" s="44" t="n"/>
      <c r="H128" s="44" t="inlineStr">
        <is>
          <t>不适用</t>
        </is>
      </c>
      <c r="I128" s="57" t="inlineStr">
        <is>
          <t>default</t>
        </is>
      </c>
      <c r="J128" s="44" t="inlineStr">
        <is>
          <t>enemy.shield_raise</t>
        </is>
      </c>
      <c r="K128" s="44" t="inlineStr">
        <is>
          <t>authored</t>
        </is>
      </c>
      <c r="L128" s="57" t="inlineStr">
        <is>
          <t>P2</t>
        </is>
      </c>
      <c r="M128" s="57" t="inlineStr">
        <is>
          <t>v002</t>
        </is>
      </c>
      <c r="N128" s="57" t="inlineStr">
        <is>
          <t>44100Hz / mono / PCM24 master / Vorbis q6 / 0.75s</t>
        </is>
      </c>
      <c r="O128" s="57" t="inlineStr">
        <is>
          <t>src/assets/audio/sfx/enemy_shield_v002.ogg</t>
        </is>
      </c>
      <c r="P128" s="57" t="inlineStr">
        <is>
          <t>art_source/audio/sfx/AUD-SFX-ENEMY-SHIELD/source/enemy_shield_v002.wav</t>
        </is>
      </c>
      <c r="Q128" s="57" t="inlineStr">
        <is>
          <t>enemy_shield</t>
        </is>
      </c>
      <c r="R128" s="44">
        <f>LOWER(TRIM(C128)&amp;"|"&amp;TRIM(D128)&amp;"|"&amp;TRIM(E128)&amp;"|"&amp;TRIM(F128)&amp;"|"&amp;TRIM(H128)&amp;"|"&amp;TRIM(I128))</f>
        <v/>
      </c>
      <c r="S128" s="44">
        <f>IF(COUNTIF($R$6:$R$183,R128)&gt;1,"重复","唯一")</f>
        <v/>
      </c>
      <c r="T128" s="57" t="inlineStr">
        <is>
          <t>3483d5652bafa962a586a7f2ad1d018943e22f5b0bada7a13bd367ce11104c89</t>
        </is>
      </c>
      <c r="U128" s="57" t="inlineStr">
        <is>
          <t>Codex sound design</t>
        </is>
      </c>
      <c r="V128" s="58" t="n">
        <v>46314</v>
      </c>
      <c r="W128" s="44" t="inlineStr">
        <is>
          <t>https://kenney.nl/assets/impact-sounds | Kenney; https://kenney.nl/assets/rpg-audio | Kenney | CC0-1.0</t>
        </is>
      </c>
      <c r="X128" s="56" t="inlineStr">
        <is>
          <t>art_source/audio/sfx/AUD-SFX-ENEMY-SHIELD/source/enemy_shield_v002.wav</t>
        </is>
      </c>
      <c r="Y128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129" ht="92.5" customHeight="1" s="33">
      <c r="A129" s="57" t="inlineStr">
        <is>
          <t>AUD-SFX-ENEMY-EXPLOSION</t>
        </is>
      </c>
      <c r="B129" s="44" t="inlineStr">
        <is>
          <t>enemy_explosion</t>
        </is>
      </c>
      <c r="C129" s="44" t="inlineStr">
        <is>
          <t>音效</t>
        </is>
      </c>
      <c r="D129" s="57" t="inlineStr">
        <is>
          <t>sfx</t>
        </is>
      </c>
      <c r="E129" s="57" t="inlineStr">
        <is>
          <t>enemy_explosion</t>
        </is>
      </c>
      <c r="F129" s="57" t="inlineStr">
        <is>
          <t>root</t>
        </is>
      </c>
      <c r="G129" s="44" t="n"/>
      <c r="H129" s="44" t="inlineStr">
        <is>
          <t>不适用</t>
        </is>
      </c>
      <c r="I129" s="57" t="inlineStr">
        <is>
          <t>default</t>
        </is>
      </c>
      <c r="J129" s="44" t="inlineStr">
        <is>
          <t>enemy.explosion</t>
        </is>
      </c>
      <c r="K129" s="44" t="inlineStr">
        <is>
          <t>authored</t>
        </is>
      </c>
      <c r="L129" s="57" t="inlineStr">
        <is>
          <t>P2</t>
        </is>
      </c>
      <c r="M129" s="57" t="inlineStr">
        <is>
          <t>v002</t>
        </is>
      </c>
      <c r="N129" s="57" t="inlineStr">
        <is>
          <t>44100Hz / mono / PCM24 master / Vorbis q6 / 1.5s</t>
        </is>
      </c>
      <c r="O129" s="57" t="inlineStr">
        <is>
          <t>src/assets/audio/sfx/enemy_explosion_v002.ogg</t>
        </is>
      </c>
      <c r="P129" s="57" t="inlineStr">
        <is>
          <t>art_source/audio/sfx/AUD-SFX-ENEMY-EXPLOSION/source/enemy_explosion_v002.wav</t>
        </is>
      </c>
      <c r="Q129" s="57" t="inlineStr">
        <is>
          <t>enemy_explosion</t>
        </is>
      </c>
      <c r="R129" s="44">
        <f>LOWER(TRIM(C129)&amp;"|"&amp;TRIM(D129)&amp;"|"&amp;TRIM(E129)&amp;"|"&amp;TRIM(F129)&amp;"|"&amp;TRIM(H129)&amp;"|"&amp;TRIM(I129))</f>
        <v/>
      </c>
      <c r="S129" s="44">
        <f>IF(COUNTIF($R$6:$R$183,R129)&gt;1,"重复","唯一")</f>
        <v/>
      </c>
      <c r="T129" s="57" t="inlineStr">
        <is>
          <t>a70486bdd3adc5f2cb8a8fe3e4b21ee5705231563ffe7ecd901febee628e3a4b</t>
        </is>
      </c>
      <c r="U129" s="57" t="inlineStr">
        <is>
          <t>Codex sound design</t>
        </is>
      </c>
      <c r="V129" s="58" t="n">
        <v>46314</v>
      </c>
      <c r="W129" s="44" t="inlineStr">
        <is>
          <t>https://opengameart.org/content/2-high-quality-explosions | Michel Baradari; https://opengameart.org/content/tree-falling-yo-frankie | Blender Foundation | CC-BY 3.0; CC0</t>
        </is>
      </c>
      <c r="X129" s="56" t="inlineStr">
        <is>
          <t>art_source/audio/sfx/AUD-SFX-ENEMY-EXPLOSION/source/enemy_explosion_v002.wav</t>
        </is>
      </c>
      <c r="Y129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130" ht="92.5" customHeight="1" s="33">
      <c r="A130" s="57" t="inlineStr">
        <is>
          <t>AUD-SFX-ENEMY-EXPLOSION-VAR02</t>
        </is>
      </c>
      <c r="B130" s="44" t="inlineStr">
        <is>
          <t>enemy_explosion 变体2</t>
        </is>
      </c>
      <c r="C130" s="44" t="inlineStr">
        <is>
          <t>音效</t>
        </is>
      </c>
      <c r="D130" s="57" t="inlineStr">
        <is>
          <t>sfx</t>
        </is>
      </c>
      <c r="E130" s="57" t="inlineStr">
        <is>
          <t>enemy_explosion</t>
        </is>
      </c>
      <c r="F130" s="57" t="inlineStr">
        <is>
          <t>root</t>
        </is>
      </c>
      <c r="G130" s="44" t="inlineStr">
        <is>
          <t>AUD-SFX-ENEMY-EXPLOSION</t>
        </is>
      </c>
      <c r="H130" s="44" t="inlineStr">
        <is>
          <t>不适用</t>
        </is>
      </c>
      <c r="I130" s="57" t="inlineStr">
        <is>
          <t>variant_02</t>
        </is>
      </c>
      <c r="J130" s="44" t="inlineStr">
        <is>
          <t>enemy.explosion</t>
        </is>
      </c>
      <c r="K130" s="44" t="inlineStr">
        <is>
          <t>authored</t>
        </is>
      </c>
      <c r="L130" s="57" t="inlineStr">
        <is>
          <t>P2</t>
        </is>
      </c>
      <c r="M130" s="57" t="inlineStr">
        <is>
          <t>v002</t>
        </is>
      </c>
      <c r="N130" s="57" t="inlineStr">
        <is>
          <t>44100Hz / mono / PCM24 master / Vorbis q6 / 1.5s</t>
        </is>
      </c>
      <c r="O130" s="57" t="inlineStr">
        <is>
          <t>src/assets/audio/sfx/enemy_explosion_alt02_v002.ogg</t>
        </is>
      </c>
      <c r="P130" s="57" t="inlineStr">
        <is>
          <t>art_source/audio/sfx/AUD-SFX-ENEMY-EXPLOSION-VAR02/source/enemy_explosion_alt02_v002.wav</t>
        </is>
      </c>
      <c r="Q130" s="57" t="inlineStr">
        <is>
          <t>enemy_explosion</t>
        </is>
      </c>
      <c r="R130" s="44">
        <f>LOWER(TRIM(C130)&amp;"|"&amp;TRIM(D130)&amp;"|"&amp;TRIM(E130)&amp;"|"&amp;TRIM(F130)&amp;"|"&amp;TRIM(H130)&amp;"|"&amp;TRIM(I130))</f>
        <v/>
      </c>
      <c r="S130" s="44">
        <f>IF(COUNTIF($R$6:$R$183,R130)&gt;1,"重复","唯一")</f>
        <v/>
      </c>
      <c r="T130" s="57" t="inlineStr">
        <is>
          <t>3ce447045b34c97be0c58d277432fb3d4ab24c07cb6b019b935a84542e1cb0d5</t>
        </is>
      </c>
      <c r="U130" s="57" t="inlineStr">
        <is>
          <t>Codex sound design</t>
        </is>
      </c>
      <c r="V130" s="58" t="n">
        <v>46314</v>
      </c>
      <c r="W130" s="44" t="inlineStr">
        <is>
          <t>https://opengameart.org/content/2-high-quality-explosions | Michel Baradari; https://opengameart.org/content/tree-falling-yo-frankie | Blender Foundation | CC-BY 3.0; CC0</t>
        </is>
      </c>
      <c r="X130" s="56" t="inlineStr">
        <is>
          <t>art_source/audio/sfx/AUD-SFX-ENEMY-EXPLOSION-VAR02/source/enemy_explosion_alt02_v002.wav</t>
        </is>
      </c>
      <c r="Y130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131" ht="92.5" customHeight="1" s="33">
      <c r="A131" s="57" t="inlineStr">
        <is>
          <t>AUD-SFX-ENEMY-EXPLOSION-VAR03</t>
        </is>
      </c>
      <c r="B131" s="44" t="inlineStr">
        <is>
          <t>enemy_explosion 变体3</t>
        </is>
      </c>
      <c r="C131" s="44" t="inlineStr">
        <is>
          <t>音效</t>
        </is>
      </c>
      <c r="D131" s="57" t="inlineStr">
        <is>
          <t>sfx</t>
        </is>
      </c>
      <c r="E131" s="57" t="inlineStr">
        <is>
          <t>enemy_explosion</t>
        </is>
      </c>
      <c r="F131" s="57" t="inlineStr">
        <is>
          <t>root</t>
        </is>
      </c>
      <c r="G131" s="44" t="inlineStr">
        <is>
          <t>AUD-SFX-ENEMY-EXPLOSION</t>
        </is>
      </c>
      <c r="H131" s="44" t="inlineStr">
        <is>
          <t>不适用</t>
        </is>
      </c>
      <c r="I131" s="57" t="inlineStr">
        <is>
          <t>variant_03</t>
        </is>
      </c>
      <c r="J131" s="44" t="inlineStr">
        <is>
          <t>enemy.explosion</t>
        </is>
      </c>
      <c r="K131" s="44" t="inlineStr">
        <is>
          <t>authored</t>
        </is>
      </c>
      <c r="L131" s="57" t="inlineStr">
        <is>
          <t>P2</t>
        </is>
      </c>
      <c r="M131" s="57" t="inlineStr">
        <is>
          <t>v002</t>
        </is>
      </c>
      <c r="N131" s="57" t="inlineStr">
        <is>
          <t>44100Hz / mono / PCM24 master / Vorbis q6 / 1.5s</t>
        </is>
      </c>
      <c r="O131" s="57" t="inlineStr">
        <is>
          <t>src/assets/audio/sfx/enemy_explosion_alt03_v002.ogg</t>
        </is>
      </c>
      <c r="P131" s="57" t="inlineStr">
        <is>
          <t>art_source/audio/sfx/AUD-SFX-ENEMY-EXPLOSION-VAR03/source/enemy_explosion_alt03_v002.wav</t>
        </is>
      </c>
      <c r="Q131" s="57" t="inlineStr">
        <is>
          <t>enemy_explosion</t>
        </is>
      </c>
      <c r="R131" s="44">
        <f>LOWER(TRIM(C131)&amp;"|"&amp;TRIM(D131)&amp;"|"&amp;TRIM(E131)&amp;"|"&amp;TRIM(F131)&amp;"|"&amp;TRIM(H131)&amp;"|"&amp;TRIM(I131))</f>
        <v/>
      </c>
      <c r="S131" s="44">
        <f>IF(COUNTIF($R$6:$R$183,R131)&gt;1,"重复","唯一")</f>
        <v/>
      </c>
      <c r="T131" s="57" t="inlineStr">
        <is>
          <t>caf21a932241bf201869c597cec792888a39a0e3bd2be02ab52b18d9aa53e236</t>
        </is>
      </c>
      <c r="U131" s="57" t="inlineStr">
        <is>
          <t>Codex sound design</t>
        </is>
      </c>
      <c r="V131" s="58" t="n">
        <v>46314</v>
      </c>
      <c r="W131" s="44" t="inlineStr">
        <is>
          <t>https://opengameart.org/content/2-high-quality-explosions | Michel Baradari; https://opengameart.org/content/tree-falling-yo-frankie | Blender Foundation | CC-BY 3.0; CC0</t>
        </is>
      </c>
      <c r="X131" s="56" t="inlineStr">
        <is>
          <t>art_source/audio/sfx/AUD-SFX-ENEMY-EXPLOSION-VAR03/source/enemy_explosion_alt03_v002.wav</t>
        </is>
      </c>
      <c r="Y131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132" ht="92.5" customHeight="1" s="33">
      <c r="A132" s="57" t="inlineStr">
        <is>
          <t>AUD-SFX-DOOR-CLOSE</t>
        </is>
      </c>
      <c r="B132" s="44" t="inlineStr">
        <is>
          <t>door_close</t>
        </is>
      </c>
      <c r="C132" s="44" t="inlineStr">
        <is>
          <t>音效</t>
        </is>
      </c>
      <c r="D132" s="57" t="inlineStr">
        <is>
          <t>sfx</t>
        </is>
      </c>
      <c r="E132" s="57" t="inlineStr">
        <is>
          <t>door_close</t>
        </is>
      </c>
      <c r="F132" s="57" t="inlineStr">
        <is>
          <t>root</t>
        </is>
      </c>
      <c r="G132" s="44" t="n"/>
      <c r="H132" s="44" t="inlineStr">
        <is>
          <t>不适用</t>
        </is>
      </c>
      <c r="I132" s="57" t="inlineStr">
        <is>
          <t>default</t>
        </is>
      </c>
      <c r="J132" s="44" t="inlineStr">
        <is>
          <t>world.door.close</t>
        </is>
      </c>
      <c r="K132" s="44" t="inlineStr">
        <is>
          <t>authored</t>
        </is>
      </c>
      <c r="L132" s="57" t="inlineStr">
        <is>
          <t>P2</t>
        </is>
      </c>
      <c r="M132" s="57" t="inlineStr">
        <is>
          <t>v002</t>
        </is>
      </c>
      <c r="N132" s="57" t="inlineStr">
        <is>
          <t>44100Hz / mono / PCM24 master / Vorbis q6 / 1.1s</t>
        </is>
      </c>
      <c r="O132" s="57" t="inlineStr">
        <is>
          <t>src/assets/audio/sfx/door_close_v002.ogg</t>
        </is>
      </c>
      <c r="P132" s="57" t="inlineStr">
        <is>
          <t>art_source/audio/sfx/AUD-SFX-DOOR-CLOSE/source/door_close_v002.wav</t>
        </is>
      </c>
      <c r="Q132" s="57" t="inlineStr">
        <is>
          <t>door_close</t>
        </is>
      </c>
      <c r="R132" s="44">
        <f>LOWER(TRIM(C132)&amp;"|"&amp;TRIM(D132)&amp;"|"&amp;TRIM(E132)&amp;"|"&amp;TRIM(F132)&amp;"|"&amp;TRIM(H132)&amp;"|"&amp;TRIM(I132))</f>
        <v/>
      </c>
      <c r="S132" s="44">
        <f>IF(COUNTIF($R$6:$R$183,R132)&gt;1,"重复","唯一")</f>
        <v/>
      </c>
      <c r="T132" s="57" t="inlineStr">
        <is>
          <t>b2654cff6e223d4fd3a201ba6178779dfb9eb4fb1b9c04be15a316eb0f679160</t>
        </is>
      </c>
      <c r="U132" s="57" t="inlineStr">
        <is>
          <t>Codex sound design</t>
        </is>
      </c>
      <c r="V132" s="58" t="n">
        <v>46314</v>
      </c>
      <c r="W132" s="44" t="inlineStr">
        <is>
          <t>https://kenney.nl/assets/impact-sounds | Kenney; https://kenney.nl/assets/rpg-audio | Kenney | CC0-1.0</t>
        </is>
      </c>
      <c r="X132" s="56" t="inlineStr">
        <is>
          <t>art_source/audio/sfx/AUD-SFX-DOOR-CLOSE/source/door_close_v002.wav</t>
        </is>
      </c>
      <c r="Y132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133" ht="92.5" customHeight="1" s="33">
      <c r="A133" s="57" t="inlineStr">
        <is>
          <t>AUD-SFX-CONTAINER-SEARCH</t>
        </is>
      </c>
      <c r="B133" s="44" t="inlineStr">
        <is>
          <t>container_search</t>
        </is>
      </c>
      <c r="C133" s="44" t="inlineStr">
        <is>
          <t>音效</t>
        </is>
      </c>
      <c r="D133" s="57" t="inlineStr">
        <is>
          <t>sfx</t>
        </is>
      </c>
      <c r="E133" s="57" t="inlineStr">
        <is>
          <t>container_search</t>
        </is>
      </c>
      <c r="F133" s="57" t="inlineStr">
        <is>
          <t>root</t>
        </is>
      </c>
      <c r="G133" s="44" t="n"/>
      <c r="H133" s="44" t="inlineStr">
        <is>
          <t>不适用</t>
        </is>
      </c>
      <c r="I133" s="57" t="inlineStr">
        <is>
          <t>default</t>
        </is>
      </c>
      <c r="J133" s="44" t="inlineStr">
        <is>
          <t>world.container.search_start</t>
        </is>
      </c>
      <c r="K133" s="44" t="inlineStr">
        <is>
          <t>authored</t>
        </is>
      </c>
      <c r="L133" s="57" t="inlineStr">
        <is>
          <t>P2</t>
        </is>
      </c>
      <c r="M133" s="57" t="inlineStr">
        <is>
          <t>v002</t>
        </is>
      </c>
      <c r="N133" s="57" t="inlineStr">
        <is>
          <t>44100Hz / mono / PCM24 master / Vorbis q6 / 0.65s</t>
        </is>
      </c>
      <c r="O133" s="57" t="inlineStr">
        <is>
          <t>src/assets/audio/sfx/container_search_v002.ogg</t>
        </is>
      </c>
      <c r="P133" s="57" t="inlineStr">
        <is>
          <t>art_source/audio/sfx/AUD-SFX-CONTAINER-SEARCH/source/container_search_v002.wav</t>
        </is>
      </c>
      <c r="Q133" s="57" t="inlineStr">
        <is>
          <t>container_search</t>
        </is>
      </c>
      <c r="R133" s="44">
        <f>LOWER(TRIM(C133)&amp;"|"&amp;TRIM(D133)&amp;"|"&amp;TRIM(E133)&amp;"|"&amp;TRIM(F133)&amp;"|"&amp;TRIM(H133)&amp;"|"&amp;TRIM(I133))</f>
        <v/>
      </c>
      <c r="S133" s="44">
        <f>IF(COUNTIF($R$6:$R$183,R133)&gt;1,"重复","唯一")</f>
        <v/>
      </c>
      <c r="T133" s="57" t="inlineStr">
        <is>
          <t>1391e6948c76683facf09c4445533af4487b6633fa7547d6c81b85031d26eec7</t>
        </is>
      </c>
      <c r="U133" s="57" t="inlineStr">
        <is>
          <t>Codex sound design</t>
        </is>
      </c>
      <c r="V133" s="58" t="n">
        <v>46314</v>
      </c>
      <c r="W133" s="44" t="inlineStr">
        <is>
          <t>https://kenney.nl/assets/rpg-audio | Kenney | CC0-1.0</t>
        </is>
      </c>
      <c r="X133" s="56" t="inlineStr">
        <is>
          <t>art_source/audio/sfx/AUD-SFX-CONTAINER-SEARCH/source/container_search_v002.wav</t>
        </is>
      </c>
      <c r="Y133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134" ht="92.5" customHeight="1" s="33">
      <c r="A134" s="57" t="inlineStr">
        <is>
          <t>AUD-SFX-CONTAINER-CANCEL</t>
        </is>
      </c>
      <c r="B134" s="44" t="inlineStr">
        <is>
          <t>container_cancel</t>
        </is>
      </c>
      <c r="C134" s="44" t="inlineStr">
        <is>
          <t>音效</t>
        </is>
      </c>
      <c r="D134" s="57" t="inlineStr">
        <is>
          <t>sfx</t>
        </is>
      </c>
      <c r="E134" s="57" t="inlineStr">
        <is>
          <t>container_cancel</t>
        </is>
      </c>
      <c r="F134" s="57" t="inlineStr">
        <is>
          <t>root</t>
        </is>
      </c>
      <c r="G134" s="44" t="n"/>
      <c r="H134" s="44" t="inlineStr">
        <is>
          <t>不适用</t>
        </is>
      </c>
      <c r="I134" s="57" t="inlineStr">
        <is>
          <t>default</t>
        </is>
      </c>
      <c r="J134" s="44" t="inlineStr">
        <is>
          <t>world.container.search_cancel</t>
        </is>
      </c>
      <c r="K134" s="44" t="inlineStr">
        <is>
          <t>authored</t>
        </is>
      </c>
      <c r="L134" s="57" t="inlineStr">
        <is>
          <t>P2</t>
        </is>
      </c>
      <c r="M134" s="57" t="inlineStr">
        <is>
          <t>v002</t>
        </is>
      </c>
      <c r="N134" s="57" t="inlineStr">
        <is>
          <t>44100Hz / mono / PCM24 master / Vorbis q6 / 0.32s</t>
        </is>
      </c>
      <c r="O134" s="57" t="inlineStr">
        <is>
          <t>src/assets/audio/sfx/container_cancel_v002.ogg</t>
        </is>
      </c>
      <c r="P134" s="57" t="inlineStr">
        <is>
          <t>art_source/audio/sfx/AUD-SFX-CONTAINER-CANCEL/source/container_cancel_v002.wav</t>
        </is>
      </c>
      <c r="Q134" s="57" t="inlineStr">
        <is>
          <t>container_cancel</t>
        </is>
      </c>
      <c r="R134" s="44">
        <f>LOWER(TRIM(C134)&amp;"|"&amp;TRIM(D134)&amp;"|"&amp;TRIM(E134)&amp;"|"&amp;TRIM(F134)&amp;"|"&amp;TRIM(H134)&amp;"|"&amp;TRIM(I134))</f>
        <v/>
      </c>
      <c r="S134" s="44">
        <f>IF(COUNTIF($R$6:$R$183,R134)&gt;1,"重复","唯一")</f>
        <v/>
      </c>
      <c r="T134" s="57" t="inlineStr">
        <is>
          <t>9ac4bf602c676d80bb3a39af427d418b49f8ad1c017c6fd3f0e58938903d9da7</t>
        </is>
      </c>
      <c r="U134" s="57" t="inlineStr">
        <is>
          <t>Codex sound design</t>
        </is>
      </c>
      <c r="V134" s="58" t="n">
        <v>46314</v>
      </c>
      <c r="W134" s="44" t="inlineStr">
        <is>
          <t>https://kenney.nl/assets/rpg-audio | Kenney | CC0-1.0</t>
        </is>
      </c>
      <c r="X134" s="56" t="inlineStr">
        <is>
          <t>art_source/audio/sfx/AUD-SFX-CONTAINER-CANCEL/source/container_cancel_v002.wav</t>
        </is>
      </c>
      <c r="Y134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135" ht="92.5" customHeight="1" s="33">
      <c r="A135" s="57" t="inlineStr">
        <is>
          <t>AUD-SFX-LIGHT-ON</t>
        </is>
      </c>
      <c r="B135" s="44" t="inlineStr">
        <is>
          <t>light_on</t>
        </is>
      </c>
      <c r="C135" s="44" t="inlineStr">
        <is>
          <t>音效</t>
        </is>
      </c>
      <c r="D135" s="57" t="inlineStr">
        <is>
          <t>sfx</t>
        </is>
      </c>
      <c r="E135" s="57" t="inlineStr">
        <is>
          <t>light_on</t>
        </is>
      </c>
      <c r="F135" s="57" t="inlineStr">
        <is>
          <t>root</t>
        </is>
      </c>
      <c r="G135" s="44" t="n"/>
      <c r="H135" s="44" t="inlineStr">
        <is>
          <t>不适用</t>
        </is>
      </c>
      <c r="I135" s="57" t="inlineStr">
        <is>
          <t>default</t>
        </is>
      </c>
      <c r="J135" s="44" t="inlineStr">
        <is>
          <t>world.light.switch_on</t>
        </is>
      </c>
      <c r="K135" s="44" t="inlineStr">
        <is>
          <t>原型已接入</t>
        </is>
      </c>
      <c r="L135" s="57" t="inlineStr">
        <is>
          <t>P2</t>
        </is>
      </c>
      <c r="M135" s="57" t="inlineStr">
        <is>
          <t>v002</t>
        </is>
      </c>
      <c r="N135" s="57" t="inlineStr">
        <is>
          <t>44100Hz / mono / PCM24 master / Vorbis q6 / 0.22s</t>
        </is>
      </c>
      <c r="O135" s="57" t="inlineStr">
        <is>
          <t>src/assets/audio/sfx/light_on_v002.ogg</t>
        </is>
      </c>
      <c r="P135" s="57" t="inlineStr">
        <is>
          <t>art_source/audio/sfx/AUD-SFX-LIGHT-ON/source/light_on_v002.wav</t>
        </is>
      </c>
      <c r="Q135" s="57" t="inlineStr">
        <is>
          <t>light_on</t>
        </is>
      </c>
      <c r="R135" s="44">
        <f>LOWER(TRIM(C135)&amp;"|"&amp;TRIM(D135)&amp;"|"&amp;TRIM(E135)&amp;"|"&amp;TRIM(F135)&amp;"|"&amp;TRIM(H135)&amp;"|"&amp;TRIM(I135))</f>
        <v/>
      </c>
      <c r="S135" s="44">
        <f>IF(COUNTIF($R$6:$R$183,R135)&gt;1,"重复","唯一")</f>
        <v/>
      </c>
      <c r="T135" s="57" t="inlineStr">
        <is>
          <t>78a8c142d16744448311676aef3b4f3382951be4494c5821f2e1da88f8b8ee8b</t>
        </is>
      </c>
      <c r="U135" s="57" t="inlineStr">
        <is>
          <t>Codex sound design</t>
        </is>
      </c>
      <c r="V135" s="58" t="n">
        <v>46314</v>
      </c>
      <c r="W135" s="44" t="inlineStr">
        <is>
          <t>https://kenney.nl/assets/rpg-audio | Kenney | CC0-1.0</t>
        </is>
      </c>
      <c r="X135" s="56" t="inlineStr">
        <is>
          <t>art_source/audio/sfx/AUD-SFX-LIGHT-ON/source/light_on_v002.wav</t>
        </is>
      </c>
      <c r="Y135" s="44" t="inlineStr">
        <is>
          <t>WorldAudioEnvironment3D / RoomLightSwitch3D 正式场景触发已接入；验收 verify_world_environment_audio_flow；人工听感/Android待验</t>
        </is>
      </c>
    </row>
    <row r="136" ht="92.5" customHeight="1" s="33">
      <c r="A136" s="57" t="inlineStr">
        <is>
          <t>AUD-SFX-LIGHT-OFF</t>
        </is>
      </c>
      <c r="B136" s="44" t="inlineStr">
        <is>
          <t>light_off</t>
        </is>
      </c>
      <c r="C136" s="44" t="inlineStr">
        <is>
          <t>音效</t>
        </is>
      </c>
      <c r="D136" s="57" t="inlineStr">
        <is>
          <t>sfx</t>
        </is>
      </c>
      <c r="E136" s="57" t="inlineStr">
        <is>
          <t>light_off</t>
        </is>
      </c>
      <c r="F136" s="57" t="inlineStr">
        <is>
          <t>root</t>
        </is>
      </c>
      <c r="G136" s="44" t="n"/>
      <c r="H136" s="44" t="inlineStr">
        <is>
          <t>不适用</t>
        </is>
      </c>
      <c r="I136" s="57" t="inlineStr">
        <is>
          <t>default</t>
        </is>
      </c>
      <c r="J136" s="44" t="inlineStr">
        <is>
          <t>world.light.switch_off</t>
        </is>
      </c>
      <c r="K136" s="44" t="inlineStr">
        <is>
          <t>原型已接入</t>
        </is>
      </c>
      <c r="L136" s="57" t="inlineStr">
        <is>
          <t>P2</t>
        </is>
      </c>
      <c r="M136" s="57" t="inlineStr">
        <is>
          <t>v002</t>
        </is>
      </c>
      <c r="N136" s="57" t="inlineStr">
        <is>
          <t>44100Hz / mono / PCM24 master / Vorbis q6 / 0.24s</t>
        </is>
      </c>
      <c r="O136" s="57" t="inlineStr">
        <is>
          <t>src/assets/audio/sfx/light_off_v002.ogg</t>
        </is>
      </c>
      <c r="P136" s="57" t="inlineStr">
        <is>
          <t>art_source/audio/sfx/AUD-SFX-LIGHT-OFF/source/light_off_v002.wav</t>
        </is>
      </c>
      <c r="Q136" s="57" t="inlineStr">
        <is>
          <t>light_off</t>
        </is>
      </c>
      <c r="R136" s="44">
        <f>LOWER(TRIM(C136)&amp;"|"&amp;TRIM(D136)&amp;"|"&amp;TRIM(E136)&amp;"|"&amp;TRIM(F136)&amp;"|"&amp;TRIM(H136)&amp;"|"&amp;TRIM(I136))</f>
        <v/>
      </c>
      <c r="S136" s="44">
        <f>IF(COUNTIF($R$6:$R$183,R136)&gt;1,"重复","唯一")</f>
        <v/>
      </c>
      <c r="T136" s="57" t="inlineStr">
        <is>
          <t>74c23b4f5deeb601514da8900a4fe75d1f4496bcaf6594ea14d1394b8a67d594</t>
        </is>
      </c>
      <c r="U136" s="57" t="inlineStr">
        <is>
          <t>Codex sound design</t>
        </is>
      </c>
      <c r="V136" s="58" t="n">
        <v>46314</v>
      </c>
      <c r="W136" s="44" t="inlineStr">
        <is>
          <t>https://kenney.nl/assets/rpg-audio | Kenney | CC0-1.0</t>
        </is>
      </c>
      <c r="X136" s="56" t="inlineStr">
        <is>
          <t>art_source/audio/sfx/AUD-SFX-LIGHT-OFF/source/light_off_v002.wav</t>
        </is>
      </c>
      <c r="Y136" s="44" t="inlineStr">
        <is>
          <t>WorldAudioEnvironment3D / RoomLightSwitch3D 正式场景触发已接入；验收 verify_world_environment_audio_flow；人工听感/Android待验</t>
        </is>
      </c>
    </row>
    <row r="137" ht="92.5" customHeight="1" s="33">
      <c r="A137" s="57" t="inlineStr">
        <is>
          <t>AUD-SFX-FACILITY-ACTIVATE</t>
        </is>
      </c>
      <c r="B137" s="44" t="inlineStr">
        <is>
          <t>facility_activate</t>
        </is>
      </c>
      <c r="C137" s="44" t="inlineStr">
        <is>
          <t>音效</t>
        </is>
      </c>
      <c r="D137" s="57" t="inlineStr">
        <is>
          <t>sfx</t>
        </is>
      </c>
      <c r="E137" s="57" t="inlineStr">
        <is>
          <t>facility_activate</t>
        </is>
      </c>
      <c r="F137" s="57" t="inlineStr">
        <is>
          <t>root</t>
        </is>
      </c>
      <c r="G137" s="44" t="n"/>
      <c r="H137" s="44" t="inlineStr">
        <is>
          <t>不适用</t>
        </is>
      </c>
      <c r="I137" s="57" t="inlineStr">
        <is>
          <t>default</t>
        </is>
      </c>
      <c r="J137" s="44" t="inlineStr">
        <is>
          <t>world.facility.activate</t>
        </is>
      </c>
      <c r="K137" s="44" t="inlineStr">
        <is>
          <t>authored</t>
        </is>
      </c>
      <c r="L137" s="57" t="inlineStr">
        <is>
          <t>P2</t>
        </is>
      </c>
      <c r="M137" s="57" t="inlineStr">
        <is>
          <t>v002</t>
        </is>
      </c>
      <c r="N137" s="57" t="inlineStr">
        <is>
          <t>44100Hz / mono / PCM24 master / Vorbis q6 / 1.7s</t>
        </is>
      </c>
      <c r="O137" s="57" t="inlineStr">
        <is>
          <t>src/assets/audio/sfx/facility_activate_v002.ogg</t>
        </is>
      </c>
      <c r="P137" s="57" t="inlineStr">
        <is>
          <t>art_source/audio/sfx/AUD-SFX-FACILITY-ACTIVATE/source/facility_activate_v002.wav</t>
        </is>
      </c>
      <c r="Q137" s="57" t="inlineStr">
        <is>
          <t>facility_activate</t>
        </is>
      </c>
      <c r="R137" s="44">
        <f>LOWER(TRIM(C137)&amp;"|"&amp;TRIM(D137)&amp;"|"&amp;TRIM(E137)&amp;"|"&amp;TRIM(F137)&amp;"|"&amp;TRIM(H137)&amp;"|"&amp;TRIM(I137))</f>
        <v/>
      </c>
      <c r="S137" s="44">
        <f>IF(COUNTIF($R$6:$R$183,R137)&gt;1,"重复","唯一")</f>
        <v/>
      </c>
      <c r="T137" s="57" t="inlineStr">
        <is>
          <t>ec4c8ee9cb12febd1c02923167c91ac152bb8a0e46254121b138133e9655d531</t>
        </is>
      </c>
      <c r="U137" s="57" t="inlineStr">
        <is>
          <t>Codex sound design</t>
        </is>
      </c>
      <c r="V137" s="58" t="n">
        <v>46314</v>
      </c>
      <c r="W137" s="44" t="inlineStr">
        <is>
          <t>https://kenney.nl/assets/rpg-audio | Kenney; https://opengameart.org/content/broken-fan-loop | dklon | CC-BY-3.0; CC0-1.0</t>
        </is>
      </c>
      <c r="X137" s="56" t="inlineStr">
        <is>
          <t>art_source/audio/sfx/AUD-SFX-FACILITY-ACTIVATE/source/facility_activate_v002.wav</t>
        </is>
      </c>
      <c r="Y137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138" ht="92.5" customHeight="1" s="33">
      <c r="A138" s="57" t="inlineStr">
        <is>
          <t>AUD-SFX-FACILITY-CONFIRM</t>
        </is>
      </c>
      <c r="B138" s="44" t="inlineStr">
        <is>
          <t>facility_confirm</t>
        </is>
      </c>
      <c r="C138" s="44" t="inlineStr">
        <is>
          <t>音效</t>
        </is>
      </c>
      <c r="D138" s="57" t="inlineStr">
        <is>
          <t>sfx</t>
        </is>
      </c>
      <c r="E138" s="57" t="inlineStr">
        <is>
          <t>facility_confirm</t>
        </is>
      </c>
      <c r="F138" s="57" t="inlineStr">
        <is>
          <t>root</t>
        </is>
      </c>
      <c r="G138" s="44" t="n"/>
      <c r="H138" s="44" t="inlineStr">
        <is>
          <t>不适用</t>
        </is>
      </c>
      <c r="I138" s="57" t="inlineStr">
        <is>
          <t>default</t>
        </is>
      </c>
      <c r="J138" s="44" t="inlineStr">
        <is>
          <t>world.facility.confirm</t>
        </is>
      </c>
      <c r="K138" s="44" t="inlineStr">
        <is>
          <t>authored</t>
        </is>
      </c>
      <c r="L138" s="57" t="inlineStr">
        <is>
          <t>P2</t>
        </is>
      </c>
      <c r="M138" s="57" t="inlineStr">
        <is>
          <t>v001</t>
        </is>
      </c>
      <c r="N138" s="57" t="inlineStr">
        <is>
          <t>44100Hz / mono / PCM24 master / Vorbis q6 / 0.39s</t>
        </is>
      </c>
      <c r="O138" s="57" t="inlineStr">
        <is>
          <t>src/assets/audio/sfx/facility_confirm_v001.ogg</t>
        </is>
      </c>
      <c r="P138" s="57" t="inlineStr">
        <is>
          <t>docs/v0.1/design/音效系统与资产设计.md; src/core/AudioManager.gd</t>
        </is>
      </c>
      <c r="Q138" s="57" t="inlineStr">
        <is>
          <t>facility_confirm</t>
        </is>
      </c>
      <c r="R138" s="44">
        <f>LOWER(TRIM(C138)&amp;"|"&amp;TRIM(D138)&amp;"|"&amp;TRIM(E138)&amp;"|"&amp;TRIM(F138)&amp;"|"&amp;TRIM(H138)&amp;"|"&amp;TRIM(I138))</f>
        <v/>
      </c>
      <c r="S138" s="44">
        <f>IF(COUNTIF($R$6:$R$183,R138)&gt;1,"重复","唯一")</f>
        <v/>
      </c>
      <c r="T138" s="57" t="inlineStr">
        <is>
          <t>4af6ac13678a2016d89cb9e70fae431447d3c8b65aca5099b6dfcbe95b201bb9</t>
        </is>
      </c>
      <c r="U138" s="57" t="inlineStr">
        <is>
          <t>Codex sound design</t>
        </is>
      </c>
      <c r="V138" s="58" t="n">
        <v>46308</v>
      </c>
      <c r="W138" s="44" t="inlineStr">
        <is>
          <t>原创离线分层DSP；无第三方采样；制作脚本与seed可追溯</t>
        </is>
      </c>
      <c r="X138" s="56" t="inlineStr">
        <is>
          <t>art_source/audio/sfx/AUD-SFX-FACILITY-CONFIRM/source/facility_confirm_v001.wav</t>
        </is>
      </c>
      <c r="Y138" s="44" t="inlineStr">
        <is>
          <t>SFXSET-FACILITY-CONFIRM；技术导入后待人工听感/Android验收；新增素材，领域触发待接入</t>
        </is>
      </c>
    </row>
    <row r="139" ht="92.5" customHeight="1" s="33">
      <c r="A139" s="57" t="inlineStr">
        <is>
          <t>AUD-SFX-FACILITY-DENIED</t>
        </is>
      </c>
      <c r="B139" s="44" t="inlineStr">
        <is>
          <t>facility_denied</t>
        </is>
      </c>
      <c r="C139" s="44" t="inlineStr">
        <is>
          <t>音效</t>
        </is>
      </c>
      <c r="D139" s="57" t="inlineStr">
        <is>
          <t>sfx</t>
        </is>
      </c>
      <c r="E139" s="57" t="inlineStr">
        <is>
          <t>facility_denied</t>
        </is>
      </c>
      <c r="F139" s="57" t="inlineStr">
        <is>
          <t>root</t>
        </is>
      </c>
      <c r="G139" s="44" t="n"/>
      <c r="H139" s="44" t="inlineStr">
        <is>
          <t>不适用</t>
        </is>
      </c>
      <c r="I139" s="57" t="inlineStr">
        <is>
          <t>default</t>
        </is>
      </c>
      <c r="J139" s="44" t="inlineStr">
        <is>
          <t>world.facility.denied</t>
        </is>
      </c>
      <c r="K139" s="44" t="inlineStr">
        <is>
          <t>authored</t>
        </is>
      </c>
      <c r="L139" s="57" t="inlineStr">
        <is>
          <t>P2</t>
        </is>
      </c>
      <c r="M139" s="57" t="inlineStr">
        <is>
          <t>v001</t>
        </is>
      </c>
      <c r="N139" s="57" t="inlineStr">
        <is>
          <t>44100Hz / mono / PCM24 master / Vorbis q6 / 0.34s</t>
        </is>
      </c>
      <c r="O139" s="57" t="inlineStr">
        <is>
          <t>src/assets/audio/sfx/facility_denied_v001.ogg</t>
        </is>
      </c>
      <c r="P139" s="57" t="inlineStr">
        <is>
          <t>docs/v0.1/design/音效系统与资产设计.md; src/core/AudioManager.gd</t>
        </is>
      </c>
      <c r="Q139" s="57" t="inlineStr">
        <is>
          <t>facility_denied</t>
        </is>
      </c>
      <c r="R139" s="44">
        <f>LOWER(TRIM(C139)&amp;"|"&amp;TRIM(D139)&amp;"|"&amp;TRIM(E139)&amp;"|"&amp;TRIM(F139)&amp;"|"&amp;TRIM(H139)&amp;"|"&amp;TRIM(I139))</f>
        <v/>
      </c>
      <c r="S139" s="44">
        <f>IF(COUNTIF($R$6:$R$183,R139)&gt;1,"重复","唯一")</f>
        <v/>
      </c>
      <c r="T139" s="57" t="inlineStr">
        <is>
          <t>7d3431c8d8891b6bfdbae310f769ba68235b3bbc7dccab86c2fe8dc3a6977b71</t>
        </is>
      </c>
      <c r="U139" s="57" t="inlineStr">
        <is>
          <t>Codex sound design</t>
        </is>
      </c>
      <c r="V139" s="58" t="n">
        <v>46308</v>
      </c>
      <c r="W139" s="44" t="inlineStr">
        <is>
          <t>原创离线分层DSP；无第三方采样；制作脚本与seed可追溯</t>
        </is>
      </c>
      <c r="X139" s="56" t="inlineStr">
        <is>
          <t>art_source/audio/sfx/AUD-SFX-FACILITY-DENIED/source/facility_denied_v001.wav</t>
        </is>
      </c>
      <c r="Y139" s="44" t="inlineStr">
        <is>
          <t>SFXSET-FACILITY-DENIED；技术导入后待人工听感/Android验收；新增素材，领域触发待接入</t>
        </is>
      </c>
    </row>
    <row r="140" ht="92.5" customHeight="1" s="33">
      <c r="A140" s="57" t="inlineStr">
        <is>
          <t>AUD-SFX-RADIO-ON</t>
        </is>
      </c>
      <c r="B140" s="44" t="inlineStr">
        <is>
          <t>radio_on</t>
        </is>
      </c>
      <c r="C140" s="44" t="inlineStr">
        <is>
          <t>音效</t>
        </is>
      </c>
      <c r="D140" s="57" t="inlineStr">
        <is>
          <t>sfx</t>
        </is>
      </c>
      <c r="E140" s="57" t="inlineStr">
        <is>
          <t>radio_on</t>
        </is>
      </c>
      <c r="F140" s="57" t="inlineStr">
        <is>
          <t>root</t>
        </is>
      </c>
      <c r="G140" s="44" t="n"/>
      <c r="H140" s="44" t="inlineStr">
        <is>
          <t>不适用</t>
        </is>
      </c>
      <c r="I140" s="57" t="inlineStr">
        <is>
          <t>default</t>
        </is>
      </c>
      <c r="J140" s="44" t="inlineStr">
        <is>
          <t>world.radio.on</t>
        </is>
      </c>
      <c r="K140" s="44" t="inlineStr">
        <is>
          <t>authored</t>
        </is>
      </c>
      <c r="L140" s="57" t="inlineStr">
        <is>
          <t>P2</t>
        </is>
      </c>
      <c r="M140" s="57" t="inlineStr">
        <is>
          <t>v002</t>
        </is>
      </c>
      <c r="N140" s="57" t="inlineStr">
        <is>
          <t>44100Hz / mono / PCM24 master / Vorbis q6 / 0.22s</t>
        </is>
      </c>
      <c r="O140" s="57" t="inlineStr">
        <is>
          <t>src/assets/audio/sfx/radio_on_v002.ogg</t>
        </is>
      </c>
      <c r="P140" s="57" t="inlineStr">
        <is>
          <t>art_source/audio/sfx/AUD-SFX-RADIO-ON/source/radio_on_v002.wav</t>
        </is>
      </c>
      <c r="Q140" s="57" t="inlineStr">
        <is>
          <t>radio_on</t>
        </is>
      </c>
      <c r="R140" s="44">
        <f>LOWER(TRIM(C140)&amp;"|"&amp;TRIM(D140)&amp;"|"&amp;TRIM(E140)&amp;"|"&amp;TRIM(F140)&amp;"|"&amp;TRIM(H140)&amp;"|"&amp;TRIM(I140))</f>
        <v/>
      </c>
      <c r="S140" s="44">
        <f>IF(COUNTIF($R$6:$R$183,R140)&gt;1,"重复","唯一")</f>
        <v/>
      </c>
      <c r="T140" s="57" t="inlineStr">
        <is>
          <t>11891598b570fb916e8910dcff4f779365a6048c4289d374b98916606d399776</t>
        </is>
      </c>
      <c r="U140" s="57" t="inlineStr">
        <is>
          <t>Codex sound design</t>
        </is>
      </c>
      <c r="V140" s="58" t="n">
        <v>46314</v>
      </c>
      <c r="W140" s="44" t="inlineStr">
        <is>
          <t>https://kenney.nl/assets/rpg-audio | Kenney | CC0-1.0</t>
        </is>
      </c>
      <c r="X140" s="56" t="inlineStr">
        <is>
          <t>art_source/audio/sfx/AUD-SFX-RADIO-ON/source/radio_on_v002.wav</t>
        </is>
      </c>
      <c r="Y140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141" ht="92.5" customHeight="1" s="33">
      <c r="A141" s="57" t="inlineStr">
        <is>
          <t>AUD-SFX-RADIO-OFF</t>
        </is>
      </c>
      <c r="B141" s="44" t="inlineStr">
        <is>
          <t>radio_off</t>
        </is>
      </c>
      <c r="C141" s="44" t="inlineStr">
        <is>
          <t>音效</t>
        </is>
      </c>
      <c r="D141" s="57" t="inlineStr">
        <is>
          <t>sfx</t>
        </is>
      </c>
      <c r="E141" s="57" t="inlineStr">
        <is>
          <t>radio_off</t>
        </is>
      </c>
      <c r="F141" s="57" t="inlineStr">
        <is>
          <t>root</t>
        </is>
      </c>
      <c r="G141" s="44" t="n"/>
      <c r="H141" s="44" t="inlineStr">
        <is>
          <t>不适用</t>
        </is>
      </c>
      <c r="I141" s="57" t="inlineStr">
        <is>
          <t>default</t>
        </is>
      </c>
      <c r="J141" s="44" t="inlineStr">
        <is>
          <t>world.radio.off</t>
        </is>
      </c>
      <c r="K141" s="44" t="inlineStr">
        <is>
          <t>authored</t>
        </is>
      </c>
      <c r="L141" s="57" t="inlineStr">
        <is>
          <t>P2</t>
        </is>
      </c>
      <c r="M141" s="57" t="inlineStr">
        <is>
          <t>v002</t>
        </is>
      </c>
      <c r="N141" s="57" t="inlineStr">
        <is>
          <t>44100Hz / mono / PCM24 master / Vorbis q6 / 0.24s</t>
        </is>
      </c>
      <c r="O141" s="57" t="inlineStr">
        <is>
          <t>src/assets/audio/sfx/radio_off_v002.ogg</t>
        </is>
      </c>
      <c r="P141" s="57" t="inlineStr">
        <is>
          <t>art_source/audio/sfx/AUD-SFX-RADIO-OFF/source/radio_off_v002.wav</t>
        </is>
      </c>
      <c r="Q141" s="57" t="inlineStr">
        <is>
          <t>radio_off</t>
        </is>
      </c>
      <c r="R141" s="44">
        <f>LOWER(TRIM(C141)&amp;"|"&amp;TRIM(D141)&amp;"|"&amp;TRIM(E141)&amp;"|"&amp;TRIM(F141)&amp;"|"&amp;TRIM(H141)&amp;"|"&amp;TRIM(I141))</f>
        <v/>
      </c>
      <c r="S141" s="44">
        <f>IF(COUNTIF($R$6:$R$183,R141)&gt;1,"重复","唯一")</f>
        <v/>
      </c>
      <c r="T141" s="57" t="inlineStr">
        <is>
          <t>acaeb55e87e86a72378f23e6b2a3b5b1cc6f6c690c7a507d6de6bb0235c419ab</t>
        </is>
      </c>
      <c r="U141" s="57" t="inlineStr">
        <is>
          <t>Codex sound design</t>
        </is>
      </c>
      <c r="V141" s="58" t="n">
        <v>46314</v>
      </c>
      <c r="W141" s="44" t="inlineStr">
        <is>
          <t>https://kenney.nl/assets/rpg-audio | Kenney | CC0-1.0</t>
        </is>
      </c>
      <c r="X141" s="56" t="inlineStr">
        <is>
          <t>art_source/audio/sfx/AUD-SFX-RADIO-OFF/source/radio_off_v002.wav</t>
        </is>
      </c>
      <c r="Y141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142" ht="92.5" customHeight="1" s="33">
      <c r="A142" s="57" t="inlineStr">
        <is>
          <t>AUD-SFX-FATE-APPLIED</t>
        </is>
      </c>
      <c r="B142" s="44" t="inlineStr">
        <is>
          <t>fate_applied</t>
        </is>
      </c>
      <c r="C142" s="44" t="inlineStr">
        <is>
          <t>音效</t>
        </is>
      </c>
      <c r="D142" s="57" t="inlineStr">
        <is>
          <t>sfx</t>
        </is>
      </c>
      <c r="E142" s="57" t="inlineStr">
        <is>
          <t>fate_applied</t>
        </is>
      </c>
      <c r="F142" s="57" t="inlineStr">
        <is>
          <t>root</t>
        </is>
      </c>
      <c r="G142" s="44" t="n"/>
      <c r="H142" s="44" t="inlineStr">
        <is>
          <t>不适用</t>
        </is>
      </c>
      <c r="I142" s="57" t="inlineStr">
        <is>
          <t>default</t>
        </is>
      </c>
      <c r="J142" s="44" t="inlineStr">
        <is>
          <t>run.fate.applied</t>
        </is>
      </c>
      <c r="K142" s="44" t="inlineStr">
        <is>
          <t>authored</t>
        </is>
      </c>
      <c r="L142" s="57" t="inlineStr">
        <is>
          <t>P2</t>
        </is>
      </c>
      <c r="M142" s="57" t="inlineStr">
        <is>
          <t>v001</t>
        </is>
      </c>
      <c r="N142" s="57" t="inlineStr">
        <is>
          <t>44100Hz / mono / PCM24 master / Vorbis q6 / 0.44s</t>
        </is>
      </c>
      <c r="O142" s="57" t="inlineStr">
        <is>
          <t>src/assets/audio/sfx/fate_applied_v001.ogg</t>
        </is>
      </c>
      <c r="P142" s="57" t="inlineStr">
        <is>
          <t>docs/v0.1/design/音效系统与资产设计.md; src/core/AudioManager.gd</t>
        </is>
      </c>
      <c r="Q142" s="57" t="inlineStr">
        <is>
          <t>fate_applied</t>
        </is>
      </c>
      <c r="R142" s="44">
        <f>LOWER(TRIM(C142)&amp;"|"&amp;TRIM(D142)&amp;"|"&amp;TRIM(E142)&amp;"|"&amp;TRIM(F142)&amp;"|"&amp;TRIM(H142)&amp;"|"&amp;TRIM(I142))</f>
        <v/>
      </c>
      <c r="S142" s="44">
        <f>IF(COUNTIF($R$6:$R$183,R142)&gt;1,"重复","唯一")</f>
        <v/>
      </c>
      <c r="T142" s="57" t="inlineStr">
        <is>
          <t>14782bf52a5f8e9530382a5ab7d4b3969d24ebd6960ed1d9cb0b1ae8110f4238</t>
        </is>
      </c>
      <c r="U142" s="57" t="inlineStr">
        <is>
          <t>Codex sound design</t>
        </is>
      </c>
      <c r="V142" s="58" t="n">
        <v>46308</v>
      </c>
      <c r="W142" s="44" t="inlineStr">
        <is>
          <t>原创离线分层DSP；无第三方采样；制作脚本与seed可追溯</t>
        </is>
      </c>
      <c r="X142" s="56" t="inlineStr">
        <is>
          <t>art_source/audio/sfx/AUD-SFX-FATE-APPLIED/source/fate_applied_v001.wav</t>
        </is>
      </c>
      <c r="Y142" s="44" t="inlineStr">
        <is>
          <t>SFXSET-FATE-APPLIED；技术导入后待人工听感/Android验收；新增素材，领域触发待接入</t>
        </is>
      </c>
    </row>
    <row r="143" ht="92.5" customHeight="1" s="33">
      <c r="A143" s="57" t="inlineStr">
        <is>
          <t>AUD-SFX-RETREAT-CONFIRMED</t>
        </is>
      </c>
      <c r="B143" s="44" t="inlineStr">
        <is>
          <t>retreat_confirmed</t>
        </is>
      </c>
      <c r="C143" s="44" t="inlineStr">
        <is>
          <t>音效</t>
        </is>
      </c>
      <c r="D143" s="57" t="inlineStr">
        <is>
          <t>sfx</t>
        </is>
      </c>
      <c r="E143" s="57" t="inlineStr">
        <is>
          <t>retreat_confirmed</t>
        </is>
      </c>
      <c r="F143" s="57" t="inlineStr">
        <is>
          <t>root</t>
        </is>
      </c>
      <c r="G143" s="44" t="n"/>
      <c r="H143" s="44" t="inlineStr">
        <is>
          <t>不适用</t>
        </is>
      </c>
      <c r="I143" s="57" t="inlineStr">
        <is>
          <t>default</t>
        </is>
      </c>
      <c r="J143" s="44" t="inlineStr">
        <is>
          <t>run.retreat.confirmed</t>
        </is>
      </c>
      <c r="K143" s="44" t="inlineStr">
        <is>
          <t>authored</t>
        </is>
      </c>
      <c r="L143" s="57" t="inlineStr">
        <is>
          <t>P2</t>
        </is>
      </c>
      <c r="M143" s="57" t="inlineStr">
        <is>
          <t>v001</t>
        </is>
      </c>
      <c r="N143" s="57" t="inlineStr">
        <is>
          <t>44100Hz / mono / PCM24 master / Vorbis q6 / 0.62s</t>
        </is>
      </c>
      <c r="O143" s="57" t="inlineStr">
        <is>
          <t>src/assets/audio/sfx/retreat_confirmed_v001.ogg</t>
        </is>
      </c>
      <c r="P143" s="57" t="inlineStr">
        <is>
          <t>docs/v0.1/design/音效系统与资产设计.md; src/core/AudioManager.gd</t>
        </is>
      </c>
      <c r="Q143" s="57" t="inlineStr">
        <is>
          <t>retreat_confirmed</t>
        </is>
      </c>
      <c r="R143" s="44">
        <f>LOWER(TRIM(C143)&amp;"|"&amp;TRIM(D143)&amp;"|"&amp;TRIM(E143)&amp;"|"&amp;TRIM(F143)&amp;"|"&amp;TRIM(H143)&amp;"|"&amp;TRIM(I143))</f>
        <v/>
      </c>
      <c r="S143" s="44">
        <f>IF(COUNTIF($R$6:$R$183,R143)&gt;1,"重复","唯一")</f>
        <v/>
      </c>
      <c r="T143" s="57" t="inlineStr">
        <is>
          <t>93393dea7de80d30e2fc23cc582e8560617cc53fe6eabde7b5d80ef5cdb9a9f4</t>
        </is>
      </c>
      <c r="U143" s="57" t="inlineStr">
        <is>
          <t>Codex sound design</t>
        </is>
      </c>
      <c r="V143" s="58" t="n">
        <v>46308</v>
      </c>
      <c r="W143" s="44" t="inlineStr">
        <is>
          <t>原创离线分层DSP；无第三方采样；制作脚本与seed可追溯</t>
        </is>
      </c>
      <c r="X143" s="56" t="inlineStr">
        <is>
          <t>art_source/audio/sfx/AUD-SFX-RETREAT-CONFIRMED/source/retreat_confirmed_v001.wav</t>
        </is>
      </c>
      <c r="Y143" s="44" t="inlineStr">
        <is>
          <t>SFXSET-RETREAT-CONFIRMED；技术导入后待人工听感/Android验收；新增素材，领域触发待接入</t>
        </is>
      </c>
    </row>
    <row r="144" ht="92.5" customHeight="1" s="33">
      <c r="A144" s="57" t="inlineStr">
        <is>
          <t>AUD-SFX-SETTLEMENT-FAILED</t>
        </is>
      </c>
      <c r="B144" s="44" t="inlineStr">
        <is>
          <t>settlement_failed</t>
        </is>
      </c>
      <c r="C144" s="44" t="inlineStr">
        <is>
          <t>音效</t>
        </is>
      </c>
      <c r="D144" s="57" t="inlineStr">
        <is>
          <t>sfx</t>
        </is>
      </c>
      <c r="E144" s="57" t="inlineStr">
        <is>
          <t>settlement_failed</t>
        </is>
      </c>
      <c r="F144" s="57" t="inlineStr">
        <is>
          <t>root</t>
        </is>
      </c>
      <c r="G144" s="44" t="n"/>
      <c r="H144" s="44" t="inlineStr">
        <is>
          <t>不适用</t>
        </is>
      </c>
      <c r="I144" s="57" t="inlineStr">
        <is>
          <t>default</t>
        </is>
      </c>
      <c r="J144" s="44" t="inlineStr">
        <is>
          <t>run.settlement.failed</t>
        </is>
      </c>
      <c r="K144" s="44" t="inlineStr">
        <is>
          <t>authored</t>
        </is>
      </c>
      <c r="L144" s="57" t="inlineStr">
        <is>
          <t>P0</t>
        </is>
      </c>
      <c r="M144" s="57" t="inlineStr">
        <is>
          <t>v001</t>
        </is>
      </c>
      <c r="N144" s="57" t="inlineStr">
        <is>
          <t>44100Hz / mono / PCM24 master / Vorbis q6 / 0.81s</t>
        </is>
      </c>
      <c r="O144" s="57" t="inlineStr">
        <is>
          <t>src/assets/audio/sfx/settlement_failed_v001.ogg</t>
        </is>
      </c>
      <c r="P144" s="57" t="inlineStr">
        <is>
          <t>docs/v0.1/design/音效系统与资产设计.md; src/core/AudioManager.gd</t>
        </is>
      </c>
      <c r="Q144" s="57" t="inlineStr">
        <is>
          <t>settlement_failed</t>
        </is>
      </c>
      <c r="R144" s="44">
        <f>LOWER(TRIM(C144)&amp;"|"&amp;TRIM(D144)&amp;"|"&amp;TRIM(E144)&amp;"|"&amp;TRIM(F144)&amp;"|"&amp;TRIM(H144)&amp;"|"&amp;TRIM(I144))</f>
        <v/>
      </c>
      <c r="S144" s="44">
        <f>IF(COUNTIF($R$6:$R$183,R144)&gt;1,"重复","唯一")</f>
        <v/>
      </c>
      <c r="T144" s="57" t="inlineStr">
        <is>
          <t>a9bf75e6fc8db27342df7bbd98a8ac0b9fd5eb63592742f30a7bd7410f78bfc0</t>
        </is>
      </c>
      <c r="U144" s="57" t="inlineStr">
        <is>
          <t>Codex sound design</t>
        </is>
      </c>
      <c r="V144" s="58" t="n">
        <v>46308</v>
      </c>
      <c r="W144" s="44" t="inlineStr">
        <is>
          <t>原创离线分层DSP；无第三方采样；制作脚本与seed可追溯</t>
        </is>
      </c>
      <c r="X144" s="56" t="inlineStr">
        <is>
          <t>art_source/audio/sfx/AUD-SFX-SETTLEMENT-FAILED/source/settlement_failed_v001.wav</t>
        </is>
      </c>
      <c r="Y144" s="44" t="inlineStr">
        <is>
          <t>SFXSET-SETTLEMENT-FAILED；技术导入后待人工听感/Android验收；新增素材，领域触发待接入</t>
        </is>
      </c>
    </row>
    <row r="145" ht="92.5" customHeight="1" s="33">
      <c r="A145" s="57" t="inlineStr">
        <is>
          <t>AUD-SFX-LOADING-FAILED</t>
        </is>
      </c>
      <c r="B145" s="44" t="inlineStr">
        <is>
          <t>loading_failed</t>
        </is>
      </c>
      <c r="C145" s="44" t="inlineStr">
        <is>
          <t>音效</t>
        </is>
      </c>
      <c r="D145" s="57" t="inlineStr">
        <is>
          <t>sfx</t>
        </is>
      </c>
      <c r="E145" s="57" t="inlineStr">
        <is>
          <t>loading_failed</t>
        </is>
      </c>
      <c r="F145" s="57" t="inlineStr">
        <is>
          <t>root</t>
        </is>
      </c>
      <c r="G145" s="44" t="n"/>
      <c r="H145" s="44" t="inlineStr">
        <is>
          <t>不适用</t>
        </is>
      </c>
      <c r="I145" s="57" t="inlineStr">
        <is>
          <t>default</t>
        </is>
      </c>
      <c r="J145" s="44" t="inlineStr">
        <is>
          <t>run.loading.failed; ui.loading.failed</t>
        </is>
      </c>
      <c r="K145" s="44" t="inlineStr">
        <is>
          <t>authored</t>
        </is>
      </c>
      <c r="L145" s="57" t="inlineStr">
        <is>
          <t>P0</t>
        </is>
      </c>
      <c r="M145" s="57" t="inlineStr">
        <is>
          <t>v001</t>
        </is>
      </c>
      <c r="N145" s="57" t="inlineStr">
        <is>
          <t>44100Hz / mono / PCM24 master / Vorbis q6 / 0.68s</t>
        </is>
      </c>
      <c r="O145" s="57" t="inlineStr">
        <is>
          <t>src/assets/audio/sfx/loading_failed_v001.ogg</t>
        </is>
      </c>
      <c r="P145" s="57" t="inlineStr">
        <is>
          <t>docs/v0.1/design/音效系统与资产设计.md; src/core/AudioManager.gd</t>
        </is>
      </c>
      <c r="Q145" s="57" t="inlineStr">
        <is>
          <t>loading_failed</t>
        </is>
      </c>
      <c r="R145" s="44">
        <f>LOWER(TRIM(C145)&amp;"|"&amp;TRIM(D145)&amp;"|"&amp;TRIM(E145)&amp;"|"&amp;TRIM(F145)&amp;"|"&amp;TRIM(H145)&amp;"|"&amp;TRIM(I145))</f>
        <v/>
      </c>
      <c r="S145" s="44">
        <f>IF(COUNTIF($R$6:$R$183,R145)&gt;1,"重复","唯一")</f>
        <v/>
      </c>
      <c r="T145" s="57" t="inlineStr">
        <is>
          <t>5277aca52c7c5812b7c2e0d770bca0b00aae2aff77e063f886f60d822434b98f</t>
        </is>
      </c>
      <c r="U145" s="57" t="inlineStr">
        <is>
          <t>Codex sound design</t>
        </is>
      </c>
      <c r="V145" s="58" t="n">
        <v>46308</v>
      </c>
      <c r="W145" s="44" t="inlineStr">
        <is>
          <t>原创离线分层DSP；无第三方采样；制作脚本与seed可追溯</t>
        </is>
      </c>
      <c r="X145" s="56" t="inlineStr">
        <is>
          <t>art_source/audio/sfx/AUD-SFX-LOADING-FAILED/source/loading_failed_v001.wav</t>
        </is>
      </c>
      <c r="Y145" s="44" t="inlineStr">
        <is>
          <t>SFXSET-LOADING-FAILED；技术导入后待人工听感/Android验收；新增素材，领域触发待接入</t>
        </is>
      </c>
    </row>
    <row r="146" ht="92.5" customHeight="1" s="33">
      <c r="A146" s="57" t="inlineStr">
        <is>
          <t>AUD-SFX-GENERATION-FALLBACK</t>
        </is>
      </c>
      <c r="B146" s="44" t="inlineStr">
        <is>
          <t>generation_fallback</t>
        </is>
      </c>
      <c r="C146" s="44" t="inlineStr">
        <is>
          <t>音效</t>
        </is>
      </c>
      <c r="D146" s="57" t="inlineStr">
        <is>
          <t>sfx</t>
        </is>
      </c>
      <c r="E146" s="57" t="inlineStr">
        <is>
          <t>generation_fallback</t>
        </is>
      </c>
      <c r="F146" s="57" t="inlineStr">
        <is>
          <t>root</t>
        </is>
      </c>
      <c r="G146" s="44" t="n"/>
      <c r="H146" s="44" t="inlineStr">
        <is>
          <t>不适用</t>
        </is>
      </c>
      <c r="I146" s="57" t="inlineStr">
        <is>
          <t>default</t>
        </is>
      </c>
      <c r="J146" s="44" t="inlineStr">
        <is>
          <t>run.generation.fallback</t>
        </is>
      </c>
      <c r="K146" s="44" t="inlineStr">
        <is>
          <t>authored</t>
        </is>
      </c>
      <c r="L146" s="57" t="inlineStr">
        <is>
          <t>P2</t>
        </is>
      </c>
      <c r="M146" s="57" t="inlineStr">
        <is>
          <t>v001</t>
        </is>
      </c>
      <c r="N146" s="57" t="inlineStr">
        <is>
          <t>44100Hz / mono / PCM24 master / Vorbis q6 / 0.36s</t>
        </is>
      </c>
      <c r="O146" s="57" t="inlineStr">
        <is>
          <t>src/assets/audio/sfx/generation_fallback_v001.ogg</t>
        </is>
      </c>
      <c r="P146" s="57" t="inlineStr">
        <is>
          <t>docs/v0.1/design/音效系统与资产设计.md; src/core/AudioManager.gd</t>
        </is>
      </c>
      <c r="Q146" s="57" t="inlineStr">
        <is>
          <t>generation_fallback</t>
        </is>
      </c>
      <c r="R146" s="44">
        <f>LOWER(TRIM(C146)&amp;"|"&amp;TRIM(D146)&amp;"|"&amp;TRIM(E146)&amp;"|"&amp;TRIM(F146)&amp;"|"&amp;TRIM(H146)&amp;"|"&amp;TRIM(I146))</f>
        <v/>
      </c>
      <c r="S146" s="44">
        <f>IF(COUNTIF($R$6:$R$183,R146)&gt;1,"重复","唯一")</f>
        <v/>
      </c>
      <c r="T146" s="57" t="inlineStr">
        <is>
          <t>5e692fa5d588bc5d5b9f85b7a4d56ff5876ae3f1069d5cf59037d5418bc20dc9</t>
        </is>
      </c>
      <c r="U146" s="57" t="inlineStr">
        <is>
          <t>Codex sound design</t>
        </is>
      </c>
      <c r="V146" s="58" t="n">
        <v>46308</v>
      </c>
      <c r="W146" s="44" t="inlineStr">
        <is>
          <t>原创离线分层DSP；无第三方采样；制作脚本与seed可追溯</t>
        </is>
      </c>
      <c r="X146" s="56" t="inlineStr">
        <is>
          <t>art_source/audio/sfx/AUD-SFX-GENERATION-FALLBACK/source/generation_fallback_v001.wav</t>
        </is>
      </c>
      <c r="Y146" s="44" t="inlineStr">
        <is>
          <t>SFXSET-GENERATION-FALLBACK；技术导入后待人工听感/Android验收；新增素材，领域触发待接入</t>
        </is>
      </c>
    </row>
    <row r="147" ht="92.5" customHeight="1" s="33">
      <c r="A147" s="57" t="inlineStr">
        <is>
          <t>AUD-SFX-RETURN-FAILED</t>
        </is>
      </c>
      <c r="B147" s="44" t="inlineStr">
        <is>
          <t>return_failed</t>
        </is>
      </c>
      <c r="C147" s="44" t="inlineStr">
        <is>
          <t>音效</t>
        </is>
      </c>
      <c r="D147" s="57" t="inlineStr">
        <is>
          <t>sfx</t>
        </is>
      </c>
      <c r="E147" s="57" t="inlineStr">
        <is>
          <t>return_failed</t>
        </is>
      </c>
      <c r="F147" s="57" t="inlineStr">
        <is>
          <t>root</t>
        </is>
      </c>
      <c r="G147" s="44" t="n"/>
      <c r="H147" s="44" t="inlineStr">
        <is>
          <t>不适用</t>
        </is>
      </c>
      <c r="I147" s="57" t="inlineStr">
        <is>
          <t>default</t>
        </is>
      </c>
      <c r="J147" s="44" t="inlineStr">
        <is>
          <t>run.return.failed</t>
        </is>
      </c>
      <c r="K147" s="44" t="inlineStr">
        <is>
          <t>authored</t>
        </is>
      </c>
      <c r="L147" s="57" t="inlineStr">
        <is>
          <t>P0</t>
        </is>
      </c>
      <c r="M147" s="57" t="inlineStr">
        <is>
          <t>v001</t>
        </is>
      </c>
      <c r="N147" s="57" t="inlineStr">
        <is>
          <t>44100Hz / mono / PCM24 master / Vorbis q6 / 0.73s</t>
        </is>
      </c>
      <c r="O147" s="57" t="inlineStr">
        <is>
          <t>src/assets/audio/sfx/return_failed_v001.ogg</t>
        </is>
      </c>
      <c r="P147" s="57" t="inlineStr">
        <is>
          <t>docs/v0.1/design/音效系统与资产设计.md; src/core/AudioManager.gd</t>
        </is>
      </c>
      <c r="Q147" s="57" t="inlineStr">
        <is>
          <t>return_failed</t>
        </is>
      </c>
      <c r="R147" s="44">
        <f>LOWER(TRIM(C147)&amp;"|"&amp;TRIM(D147)&amp;"|"&amp;TRIM(E147)&amp;"|"&amp;TRIM(F147)&amp;"|"&amp;TRIM(H147)&amp;"|"&amp;TRIM(I147))</f>
        <v/>
      </c>
      <c r="S147" s="44">
        <f>IF(COUNTIF($R$6:$R$183,R147)&gt;1,"重复","唯一")</f>
        <v/>
      </c>
      <c r="T147" s="57" t="inlineStr">
        <is>
          <t>247308f3b454ab729c86ca2126570a4245ca99c16e955c65fcbac6df5f620947</t>
        </is>
      </c>
      <c r="U147" s="57" t="inlineStr">
        <is>
          <t>Codex sound design</t>
        </is>
      </c>
      <c r="V147" s="58" t="n">
        <v>46308</v>
      </c>
      <c r="W147" s="44" t="inlineStr">
        <is>
          <t>原创离线分层DSP；无第三方采样；制作脚本与seed可追溯</t>
        </is>
      </c>
      <c r="X147" s="56" t="inlineStr">
        <is>
          <t>art_source/audio/sfx/AUD-SFX-RETURN-FAILED/source/return_failed_v001.wav</t>
        </is>
      </c>
      <c r="Y147" s="44" t="inlineStr">
        <is>
          <t>SFXSET-RETURN-FAILED；技术导入后待人工听感/Android验收；新增素材，领域触发待接入</t>
        </is>
      </c>
    </row>
    <row r="148" ht="92.5" customHeight="1" s="33">
      <c r="A148" s="57" t="inlineStr">
        <is>
          <t>AUD-SFX-UI-BACK</t>
        </is>
      </c>
      <c r="B148" s="44" t="inlineStr">
        <is>
          <t>ui_back</t>
        </is>
      </c>
      <c r="C148" s="44" t="inlineStr">
        <is>
          <t>音效</t>
        </is>
      </c>
      <c r="D148" s="57" t="inlineStr">
        <is>
          <t>ui</t>
        </is>
      </c>
      <c r="E148" s="57" t="inlineStr">
        <is>
          <t>ui_back</t>
        </is>
      </c>
      <c r="F148" s="57" t="inlineStr">
        <is>
          <t>root</t>
        </is>
      </c>
      <c r="G148" s="44" t="n"/>
      <c r="H148" s="44" t="inlineStr">
        <is>
          <t>不适用</t>
        </is>
      </c>
      <c r="I148" s="57" t="inlineStr">
        <is>
          <t>default</t>
        </is>
      </c>
      <c r="J148" s="44" t="inlineStr">
        <is>
          <t>ui.action.back</t>
        </is>
      </c>
      <c r="K148" s="44" t="inlineStr">
        <is>
          <t>authored</t>
        </is>
      </c>
      <c r="L148" s="57" t="inlineStr">
        <is>
          <t>P2</t>
        </is>
      </c>
      <c r="M148" s="57" t="inlineStr">
        <is>
          <t>v001</t>
        </is>
      </c>
      <c r="N148" s="57" t="inlineStr">
        <is>
          <t>44100Hz / mono / PCM24 master / Vorbis q6 / 0.17s</t>
        </is>
      </c>
      <c r="O148" s="57" t="inlineStr">
        <is>
          <t>src/assets/audio/sfx/ui_back_v001.ogg</t>
        </is>
      </c>
      <c r="P148" s="57" t="inlineStr">
        <is>
          <t>docs/v0.1/design/音效系统与资产设计.md; src/core/AudioManager.gd</t>
        </is>
      </c>
      <c r="Q148" s="57" t="inlineStr">
        <is>
          <t>ui_back</t>
        </is>
      </c>
      <c r="R148" s="44">
        <f>LOWER(TRIM(C148)&amp;"|"&amp;TRIM(D148)&amp;"|"&amp;TRIM(E148)&amp;"|"&amp;TRIM(F148)&amp;"|"&amp;TRIM(H148)&amp;"|"&amp;TRIM(I148))</f>
        <v/>
      </c>
      <c r="S148" s="44">
        <f>IF(COUNTIF($R$6:$R$183,R148)&gt;1,"重复","唯一")</f>
        <v/>
      </c>
      <c r="T148" s="57" t="inlineStr">
        <is>
          <t>454caf944a12541748572983b77d4442964fc8bb3d570e50eef52eec0f7f7e40</t>
        </is>
      </c>
      <c r="U148" s="57" t="inlineStr">
        <is>
          <t>Codex sound design</t>
        </is>
      </c>
      <c r="V148" s="58" t="n">
        <v>46308</v>
      </c>
      <c r="W148" s="44" t="inlineStr">
        <is>
          <t>原创离线分层DSP；无第三方采样；制作脚本与seed可追溯</t>
        </is>
      </c>
      <c r="X148" s="56" t="inlineStr">
        <is>
          <t>art_source/audio/sfx/AUD-SFX-UI-BACK/source/ui_back_v001.wav</t>
        </is>
      </c>
      <c r="Y148" s="44" t="inlineStr">
        <is>
          <t>SFXSET-UI-BACK；技术导入后待人工听感/Android验收；新增素材，领域触发待接入</t>
        </is>
      </c>
    </row>
    <row r="149" ht="92.5" customHeight="1" s="33">
      <c r="A149" s="57" t="inlineStr">
        <is>
          <t>AUD-SFX-UI-LOADING-STEP</t>
        </is>
      </c>
      <c r="B149" s="44" t="inlineStr">
        <is>
          <t>ui_loading_step</t>
        </is>
      </c>
      <c r="C149" s="44" t="inlineStr">
        <is>
          <t>音效</t>
        </is>
      </c>
      <c r="D149" s="57" t="inlineStr">
        <is>
          <t>ui</t>
        </is>
      </c>
      <c r="E149" s="57" t="inlineStr">
        <is>
          <t>ui_loading_step</t>
        </is>
      </c>
      <c r="F149" s="57" t="inlineStr">
        <is>
          <t>root</t>
        </is>
      </c>
      <c r="G149" s="44" t="n"/>
      <c r="H149" s="44" t="inlineStr">
        <is>
          <t>不适用</t>
        </is>
      </c>
      <c r="I149" s="57" t="inlineStr">
        <is>
          <t>default</t>
        </is>
      </c>
      <c r="J149" s="44" t="inlineStr">
        <is>
          <t>ui.loading.step</t>
        </is>
      </c>
      <c r="K149" s="44" t="inlineStr">
        <is>
          <t>authored</t>
        </is>
      </c>
      <c r="L149" s="57" t="inlineStr">
        <is>
          <t>P2</t>
        </is>
      </c>
      <c r="M149" s="57" t="inlineStr">
        <is>
          <t>v001</t>
        </is>
      </c>
      <c r="N149" s="57" t="inlineStr">
        <is>
          <t>44100Hz / mono / PCM24 master / Vorbis q6 / 0.1s</t>
        </is>
      </c>
      <c r="O149" s="57" t="inlineStr">
        <is>
          <t>src/assets/audio/sfx/ui_loading_step_v001.ogg</t>
        </is>
      </c>
      <c r="P149" s="57" t="inlineStr">
        <is>
          <t>docs/v0.1/design/音效系统与资产设计.md; src/core/AudioManager.gd</t>
        </is>
      </c>
      <c r="Q149" s="57" t="inlineStr">
        <is>
          <t>ui_loading_step</t>
        </is>
      </c>
      <c r="R149" s="44">
        <f>LOWER(TRIM(C149)&amp;"|"&amp;TRIM(D149)&amp;"|"&amp;TRIM(E149)&amp;"|"&amp;TRIM(F149)&amp;"|"&amp;TRIM(H149)&amp;"|"&amp;TRIM(I149))</f>
        <v/>
      </c>
      <c r="S149" s="44">
        <f>IF(COUNTIF($R$6:$R$183,R149)&gt;1,"重复","唯一")</f>
        <v/>
      </c>
      <c r="T149" s="57" t="inlineStr">
        <is>
          <t>f351545c8ac4ff54a2162c70b179cbf70b07be0335c44ea2470dec74935447bf</t>
        </is>
      </c>
      <c r="U149" s="57" t="inlineStr">
        <is>
          <t>Codex sound design</t>
        </is>
      </c>
      <c r="V149" s="58" t="n">
        <v>46308</v>
      </c>
      <c r="W149" s="44" t="inlineStr">
        <is>
          <t>原创离线分层DSP；无第三方采样；制作脚本与seed可追溯</t>
        </is>
      </c>
      <c r="X149" s="56" t="inlineStr">
        <is>
          <t>art_source/audio/sfx/AUD-SFX-UI-LOADING-STEP/source/ui_loading_step_v001.wav</t>
        </is>
      </c>
      <c r="Y149" s="44" t="inlineStr">
        <is>
          <t>SFXSET-UI-LOADING-STEP；技术导入后待人工听感/Android验收；新增素材，领域触发待接入</t>
        </is>
      </c>
    </row>
    <row r="150" ht="92.5" customHeight="1" s="33">
      <c r="A150" s="57" t="inlineStr">
        <is>
          <t>AUD-SFX-NARRATIVE-STINGER</t>
        </is>
      </c>
      <c r="B150" s="44" t="inlineStr">
        <is>
          <t>narrative_stinger</t>
        </is>
      </c>
      <c r="C150" s="44" t="inlineStr">
        <is>
          <t>音效</t>
        </is>
      </c>
      <c r="D150" s="57" t="inlineStr">
        <is>
          <t>sfx</t>
        </is>
      </c>
      <c r="E150" s="57" t="inlineStr">
        <is>
          <t>narrative_stinger</t>
        </is>
      </c>
      <c r="F150" s="57" t="inlineStr">
        <is>
          <t>root</t>
        </is>
      </c>
      <c r="G150" s="44" t="n"/>
      <c r="H150" s="44" t="inlineStr">
        <is>
          <t>不适用</t>
        </is>
      </c>
      <c r="I150" s="57" t="inlineStr">
        <is>
          <t>default</t>
        </is>
      </c>
      <c r="J150" s="44" t="inlineStr">
        <is>
          <t>narrative.stinger</t>
        </is>
      </c>
      <c r="K150" s="44" t="inlineStr">
        <is>
          <t>authored</t>
        </is>
      </c>
      <c r="L150" s="57" t="inlineStr">
        <is>
          <t>P1</t>
        </is>
      </c>
      <c r="M150" s="57" t="inlineStr">
        <is>
          <t>v001</t>
        </is>
      </c>
      <c r="N150" s="57" t="inlineStr">
        <is>
          <t>44100Hz / mono / PCM24 master / Vorbis q6 / 1.2s</t>
        </is>
      </c>
      <c r="O150" s="57" t="inlineStr">
        <is>
          <t>src/assets/audio/sfx/narrative_stinger_v001.ogg</t>
        </is>
      </c>
      <c r="P150" s="57" t="inlineStr">
        <is>
          <t>docs/v0.1/design/音效系统与资产设计.md; src/core/AudioManager.gd</t>
        </is>
      </c>
      <c r="Q150" s="57" t="inlineStr">
        <is>
          <t>narrative_stinger</t>
        </is>
      </c>
      <c r="R150" s="44">
        <f>LOWER(TRIM(C150)&amp;"|"&amp;TRIM(D150)&amp;"|"&amp;TRIM(E150)&amp;"|"&amp;TRIM(F150)&amp;"|"&amp;TRIM(H150)&amp;"|"&amp;TRIM(I150))</f>
        <v/>
      </c>
      <c r="S150" s="44">
        <f>IF(COUNTIF($R$6:$R$183,R150)&gt;1,"重复","唯一")</f>
        <v/>
      </c>
      <c r="T150" s="57" t="inlineStr">
        <is>
          <t>c1cf6dedd98dfbb5ccc360f8d7d9c88c5191f7d24163aed65b5892c1f6d0c04a</t>
        </is>
      </c>
      <c r="U150" s="57" t="inlineStr">
        <is>
          <t>Codex sound design</t>
        </is>
      </c>
      <c r="V150" s="58" t="n">
        <v>46308</v>
      </c>
      <c r="W150" s="44" t="inlineStr">
        <is>
          <t>原创离线分层DSP；无第三方采样；制作脚本与seed可追溯</t>
        </is>
      </c>
      <c r="X150" s="56" t="inlineStr">
        <is>
          <t>art_source/audio/sfx/AUD-SFX-NARRATIVE-STINGER/source/narrative_stinger_v001.wav</t>
        </is>
      </c>
      <c r="Y150" s="44" t="inlineStr">
        <is>
          <t>SFXSET-NARRATIVE-STINGER；技术导入后待人工听感/Android验收；新增素材，领域触发待接入</t>
        </is>
      </c>
    </row>
    <row r="151" ht="92.5" customHeight="1" s="33">
      <c r="A151" s="57" t="inlineStr">
        <is>
          <t>AUD-SFX-AMB-BASE-FACILITY</t>
        </is>
      </c>
      <c r="B151" s="44" t="inlineStr">
        <is>
          <t>amb_base_facility</t>
        </is>
      </c>
      <c r="C151" s="44" t="inlineStr">
        <is>
          <t>音效</t>
        </is>
      </c>
      <c r="D151" s="57" t="inlineStr">
        <is>
          <t>ambience</t>
        </is>
      </c>
      <c r="E151" s="57" t="inlineStr">
        <is>
          <t>amb_base_facility</t>
        </is>
      </c>
      <c r="F151" s="57" t="inlineStr">
        <is>
          <t>root</t>
        </is>
      </c>
      <c r="G151" s="44" t="n"/>
      <c r="H151" s="44" t="inlineStr">
        <is>
          <t>不适用</t>
        </is>
      </c>
      <c r="I151" s="57" t="inlineStr">
        <is>
          <t>default</t>
        </is>
      </c>
      <c r="J151" s="44" t="inlineStr">
        <is>
          <t>amb.base_facility</t>
        </is>
      </c>
      <c r="K151" s="44" t="inlineStr">
        <is>
          <t>authored</t>
        </is>
      </c>
      <c r="L151" s="57" t="inlineStr">
        <is>
          <t>P2</t>
        </is>
      </c>
      <c r="M151" s="57" t="inlineStr">
        <is>
          <t>v002</t>
        </is>
      </c>
      <c r="N151" s="57" t="inlineStr">
        <is>
          <t>44100Hz / mono / PCM24 master / Vorbis q6 / 10s</t>
        </is>
      </c>
      <c r="O151" s="57" t="inlineStr">
        <is>
          <t>src/assets/audio/sfx/amb_base_facility_v002.ogg</t>
        </is>
      </c>
      <c r="P151" s="57" t="inlineStr">
        <is>
          <t>art_source/audio/sfx/AUD-SFX-AMB-BASE-FACILITY/source/amb_base_facility_v002.wav</t>
        </is>
      </c>
      <c r="Q151" s="57" t="inlineStr">
        <is>
          <t>amb_base_facility</t>
        </is>
      </c>
      <c r="R151" s="44">
        <f>LOWER(TRIM(C151)&amp;"|"&amp;TRIM(D151)&amp;"|"&amp;TRIM(E151)&amp;"|"&amp;TRIM(F151)&amp;"|"&amp;TRIM(H151)&amp;"|"&amp;TRIM(I151))</f>
        <v/>
      </c>
      <c r="S151" s="44">
        <f>IF(COUNTIF($R$6:$R$183,R151)&gt;1,"重复","唯一")</f>
        <v/>
      </c>
      <c r="T151" s="57" t="inlineStr">
        <is>
          <t>f79870c8f7ad1a1d2e4196facf0203e0a207774cbd97458566d06ddca9c5ee31</t>
        </is>
      </c>
      <c r="U151" s="57" t="inlineStr">
        <is>
          <t>Codex sound design</t>
        </is>
      </c>
      <c r="V151" s="58" t="n">
        <v>46314</v>
      </c>
      <c r="W151" s="44" t="inlineStr">
        <is>
          <t>https://opengameart.org/content/broken-fan-loop | dklon; https://opengameart.org/content/ventilation-version2 | MidFag | CC-BY-3.0</t>
        </is>
      </c>
      <c r="X151" s="56" t="inlineStr">
        <is>
          <t>art_source/audio/sfx/AUD-SFX-AMB-BASE-FACILITY/source/amb_base_facility_v002.wav</t>
        </is>
      </c>
      <c r="Y151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152" ht="92.5" customHeight="1" s="33">
      <c r="A152" s="57" t="inlineStr">
        <is>
          <t>AUD-SFX-AMB-WORKSHOP</t>
        </is>
      </c>
      <c r="B152" s="44" t="inlineStr">
        <is>
          <t>amb_workshop</t>
        </is>
      </c>
      <c r="C152" s="44" t="inlineStr">
        <is>
          <t>音效</t>
        </is>
      </c>
      <c r="D152" s="57" t="inlineStr">
        <is>
          <t>ambience</t>
        </is>
      </c>
      <c r="E152" s="57" t="inlineStr">
        <is>
          <t>amb_workshop</t>
        </is>
      </c>
      <c r="F152" s="57" t="inlineStr">
        <is>
          <t>root</t>
        </is>
      </c>
      <c r="G152" s="44" t="n"/>
      <c r="H152" s="44" t="inlineStr">
        <is>
          <t>不适用</t>
        </is>
      </c>
      <c r="I152" s="57" t="inlineStr">
        <is>
          <t>default</t>
        </is>
      </c>
      <c r="J152" s="44" t="inlineStr">
        <is>
          <t>amb.workshop</t>
        </is>
      </c>
      <c r="K152" s="44" t="inlineStr">
        <is>
          <t>authored</t>
        </is>
      </c>
      <c r="L152" s="57" t="inlineStr">
        <is>
          <t>P2</t>
        </is>
      </c>
      <c r="M152" s="57" t="inlineStr">
        <is>
          <t>v002</t>
        </is>
      </c>
      <c r="N152" s="57" t="inlineStr">
        <is>
          <t>44100Hz / mono / PCM24 master / Vorbis q6 / 10s</t>
        </is>
      </c>
      <c r="O152" s="57" t="inlineStr">
        <is>
          <t>src/assets/audio/sfx/amb_workshop_v002.ogg</t>
        </is>
      </c>
      <c r="P152" s="57" t="inlineStr">
        <is>
          <t>art_source/audio/sfx/AUD-SFX-AMB-WORKSHOP/source/amb_workshop_v002.wav</t>
        </is>
      </c>
      <c r="Q152" s="57" t="inlineStr">
        <is>
          <t>amb_workshop</t>
        </is>
      </c>
      <c r="R152" s="44">
        <f>LOWER(TRIM(C152)&amp;"|"&amp;TRIM(D152)&amp;"|"&amp;TRIM(E152)&amp;"|"&amp;TRIM(F152)&amp;"|"&amp;TRIM(H152)&amp;"|"&amp;TRIM(I152))</f>
        <v/>
      </c>
      <c r="S152" s="44">
        <f>IF(COUNTIF($R$6:$R$183,R152)&gt;1,"重复","唯一")</f>
        <v/>
      </c>
      <c r="T152" s="57" t="inlineStr">
        <is>
          <t>51e86168e5b148165c6c6ad008951636885f2933bc631c118f0f0210ba330b7a</t>
        </is>
      </c>
      <c r="U152" s="57" t="inlineStr">
        <is>
          <t>Codex sound design</t>
        </is>
      </c>
      <c r="V152" s="58" t="n">
        <v>46314</v>
      </c>
      <c r="W152" s="44" t="inlineStr">
        <is>
          <t>https://opengameart.org/content/broken-fan-loop | dklon; https://opengameart.org/content/ventilation-version2 | MidFag | CC-BY-3.0</t>
        </is>
      </c>
      <c r="X152" s="56" t="inlineStr">
        <is>
          <t>art_source/audio/sfx/AUD-SFX-AMB-WORKSHOP/source/amb_workshop_v002.wav</t>
        </is>
      </c>
      <c r="Y152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153" ht="92.5" customHeight="1" s="33">
      <c r="A153" s="57" t="inlineStr">
        <is>
          <t>AUD-SFX-AMB-RECOVERY</t>
        </is>
      </c>
      <c r="B153" s="44" t="inlineStr">
        <is>
          <t>amb_recovery</t>
        </is>
      </c>
      <c r="C153" s="44" t="inlineStr">
        <is>
          <t>音效</t>
        </is>
      </c>
      <c r="D153" s="57" t="inlineStr">
        <is>
          <t>ambience</t>
        </is>
      </c>
      <c r="E153" s="57" t="inlineStr">
        <is>
          <t>amb_recovery</t>
        </is>
      </c>
      <c r="F153" s="57" t="inlineStr">
        <is>
          <t>root</t>
        </is>
      </c>
      <c r="G153" s="44" t="n"/>
      <c r="H153" s="44" t="inlineStr">
        <is>
          <t>不适用</t>
        </is>
      </c>
      <c r="I153" s="57" t="inlineStr">
        <is>
          <t>default</t>
        </is>
      </c>
      <c r="J153" s="44" t="inlineStr">
        <is>
          <t>amb.recovery</t>
        </is>
      </c>
      <c r="K153" s="44" t="inlineStr">
        <is>
          <t>authored</t>
        </is>
      </c>
      <c r="L153" s="57" t="inlineStr">
        <is>
          <t>P2</t>
        </is>
      </c>
      <c r="M153" s="57" t="inlineStr">
        <is>
          <t>v002</t>
        </is>
      </c>
      <c r="N153" s="57" t="inlineStr">
        <is>
          <t>44100Hz / mono / PCM24 master / Vorbis q6 / 10s</t>
        </is>
      </c>
      <c r="O153" s="57" t="inlineStr">
        <is>
          <t>src/assets/audio/sfx/amb_recovery_v002.ogg</t>
        </is>
      </c>
      <c r="P153" s="57" t="inlineStr">
        <is>
          <t>art_source/audio/sfx/AUD-SFX-AMB-RECOVERY/source/amb_recovery_v002.wav</t>
        </is>
      </c>
      <c r="Q153" s="57" t="inlineStr">
        <is>
          <t>amb_recovery</t>
        </is>
      </c>
      <c r="R153" s="44">
        <f>LOWER(TRIM(C153)&amp;"|"&amp;TRIM(D153)&amp;"|"&amp;TRIM(E153)&amp;"|"&amp;TRIM(F153)&amp;"|"&amp;TRIM(H153)&amp;"|"&amp;TRIM(I153))</f>
        <v/>
      </c>
      <c r="S153" s="44">
        <f>IF(COUNTIF($R$6:$R$183,R153)&gt;1,"重复","唯一")</f>
        <v/>
      </c>
      <c r="T153" s="57" t="inlineStr">
        <is>
          <t>df19718547968665637025c8e0e5d556f9e92eeb1ef50a70ce00dac3dae587f0</t>
        </is>
      </c>
      <c r="U153" s="57" t="inlineStr">
        <is>
          <t>Codex sound design</t>
        </is>
      </c>
      <c r="V153" s="58" t="n">
        <v>46314</v>
      </c>
      <c r="W153" s="44" t="inlineStr">
        <is>
          <t>https://opengameart.org/content/short-wind-sound | remaxim; https://opengameart.org/content/ventilation-version2 | MidFag | CC-BY-3.0; CC0-1.0</t>
        </is>
      </c>
      <c r="X153" s="56" t="inlineStr">
        <is>
          <t>art_source/audio/sfx/AUD-SFX-AMB-RECOVERY/source/amb_recovery_v002.wav</t>
        </is>
      </c>
      <c r="Y153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154" ht="92.5" customHeight="1" s="33">
      <c r="A154" s="57" t="inlineStr">
        <is>
          <t>AUD-SFX-AMB-EXPEDITION-ROOM</t>
        </is>
      </c>
      <c r="B154" s="44" t="inlineStr">
        <is>
          <t>amb_expedition_room</t>
        </is>
      </c>
      <c r="C154" s="44" t="inlineStr">
        <is>
          <t>音效</t>
        </is>
      </c>
      <c r="D154" s="57" t="inlineStr">
        <is>
          <t>ambience</t>
        </is>
      </c>
      <c r="E154" s="57" t="inlineStr">
        <is>
          <t>amb_expedition_room</t>
        </is>
      </c>
      <c r="F154" s="57" t="inlineStr">
        <is>
          <t>root</t>
        </is>
      </c>
      <c r="G154" s="44" t="n"/>
      <c r="H154" s="44" t="inlineStr">
        <is>
          <t>不适用</t>
        </is>
      </c>
      <c r="I154" s="57" t="inlineStr">
        <is>
          <t>default</t>
        </is>
      </c>
      <c r="J154" s="44" t="inlineStr">
        <is>
          <t>amb.expedition_room</t>
        </is>
      </c>
      <c r="K154" s="44" t="inlineStr">
        <is>
          <t>authored</t>
        </is>
      </c>
      <c r="L154" s="57" t="inlineStr">
        <is>
          <t>P2</t>
        </is>
      </c>
      <c r="M154" s="57" t="inlineStr">
        <is>
          <t>v002</t>
        </is>
      </c>
      <c r="N154" s="57" t="inlineStr">
        <is>
          <t>44100Hz / mono / PCM24 master / Vorbis q6 / 10s</t>
        </is>
      </c>
      <c r="O154" s="57" t="inlineStr">
        <is>
          <t>src/assets/audio/sfx/amb_expedition_room_v002.ogg</t>
        </is>
      </c>
      <c r="P154" s="57" t="inlineStr">
        <is>
          <t>art_source/audio/sfx/AUD-SFX-AMB-EXPEDITION-ROOM/source/amb_expedition_room_v002.wav</t>
        </is>
      </c>
      <c r="Q154" s="57" t="inlineStr">
        <is>
          <t>amb_expedition_room</t>
        </is>
      </c>
      <c r="R154" s="44">
        <f>LOWER(TRIM(C154)&amp;"|"&amp;TRIM(D154)&amp;"|"&amp;TRIM(E154)&amp;"|"&amp;TRIM(F154)&amp;"|"&amp;TRIM(H154)&amp;"|"&amp;TRIM(I154))</f>
        <v/>
      </c>
      <c r="S154" s="44">
        <f>IF(COUNTIF($R$6:$R$183,R154)&gt;1,"重复","唯一")</f>
        <v/>
      </c>
      <c r="T154" s="57" t="inlineStr">
        <is>
          <t>1ab5fd0e77f82be20d5565b0fa854db86c5574eded3a083ed717c7e41d8d5402</t>
        </is>
      </c>
      <c r="U154" s="57" t="inlineStr">
        <is>
          <t>Codex sound design</t>
        </is>
      </c>
      <c r="V154" s="58" t="n">
        <v>46314</v>
      </c>
      <c r="W154" s="44" t="inlineStr">
        <is>
          <t>https://opengameart.org/content/short-wind-sound | remaxim; https://opengameart.org/content/ventilation-version2 | MidFag | CC-BY-3.0; CC0-1.0</t>
        </is>
      </c>
      <c r="X154" s="56" t="inlineStr">
        <is>
          <t>art_source/audio/sfx/AUD-SFX-AMB-EXPEDITION-ROOM/source/amb_expedition_room_v002.wav</t>
        </is>
      </c>
      <c r="Y154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155" ht="92.5" customHeight="1" s="33">
      <c r="A155" s="57" t="inlineStr">
        <is>
          <t>AUD-SFX-AMB-EXPEDITION-OPEN</t>
        </is>
      </c>
      <c r="B155" s="44" t="inlineStr">
        <is>
          <t>amb_expedition_open</t>
        </is>
      </c>
      <c r="C155" s="44" t="inlineStr">
        <is>
          <t>音效</t>
        </is>
      </c>
      <c r="D155" s="57" t="inlineStr">
        <is>
          <t>ambience</t>
        </is>
      </c>
      <c r="E155" s="57" t="inlineStr">
        <is>
          <t>amb_expedition_open</t>
        </is>
      </c>
      <c r="F155" s="57" t="inlineStr">
        <is>
          <t>root</t>
        </is>
      </c>
      <c r="G155" s="44" t="n"/>
      <c r="H155" s="44" t="inlineStr">
        <is>
          <t>不适用</t>
        </is>
      </c>
      <c r="I155" s="57" t="inlineStr">
        <is>
          <t>default</t>
        </is>
      </c>
      <c r="J155" s="44" t="inlineStr">
        <is>
          <t>amb.expedition_open</t>
        </is>
      </c>
      <c r="K155" s="44" t="inlineStr">
        <is>
          <t>原型已接入</t>
        </is>
      </c>
      <c r="L155" s="57" t="inlineStr">
        <is>
          <t>P2</t>
        </is>
      </c>
      <c r="M155" s="57" t="inlineStr">
        <is>
          <t>v002</t>
        </is>
      </c>
      <c r="N155" s="57" t="inlineStr">
        <is>
          <t>44100Hz / mono / PCM24 master / Vorbis q6 / 10s</t>
        </is>
      </c>
      <c r="O155" s="57" t="inlineStr">
        <is>
          <t>src/assets/audio/sfx/amb_expedition_open_v002.ogg</t>
        </is>
      </c>
      <c r="P155" s="57" t="inlineStr">
        <is>
          <t>art_source/audio/sfx/AUD-SFX-AMB-EXPEDITION-OPEN/source/amb_expedition_open_v002.wav</t>
        </is>
      </c>
      <c r="Q155" s="57" t="inlineStr">
        <is>
          <t>amb_expedition_open</t>
        </is>
      </c>
      <c r="R155" s="44">
        <f>LOWER(TRIM(C155)&amp;"|"&amp;TRIM(D155)&amp;"|"&amp;TRIM(E155)&amp;"|"&amp;TRIM(F155)&amp;"|"&amp;TRIM(H155)&amp;"|"&amp;TRIM(I155))</f>
        <v/>
      </c>
      <c r="S155" s="44">
        <f>IF(COUNTIF($R$6:$R$183,R155)&gt;1,"重复","唯一")</f>
        <v/>
      </c>
      <c r="T155" s="57" t="inlineStr">
        <is>
          <t>657fb9986db43adff333094d3b640b4967f3792fb37fb99b620446e35237b864</t>
        </is>
      </c>
      <c r="U155" s="57" t="inlineStr">
        <is>
          <t>Codex sound design</t>
        </is>
      </c>
      <c r="V155" s="58" t="n">
        <v>46314</v>
      </c>
      <c r="W155" s="44" t="inlineStr">
        <is>
          <t>https://opengameart.org/content/short-wind-sound | remaxim | CC0-1.0</t>
        </is>
      </c>
      <c r="X155" s="56" t="inlineStr">
        <is>
          <t>art_source/audio/sfx/AUD-SFX-AMB-EXPEDITION-OPEN/source/amb_expedition_open_v002.wav</t>
        </is>
      </c>
      <c r="Y155" s="44" t="inlineStr">
        <is>
          <t>WorldAudioEnvironment3D / RoomLightSwitch3D 正式场景触发已接入；验收 verify_world_environment_audio_flow；人工听感/Android待验</t>
        </is>
      </c>
    </row>
    <row r="156" ht="92.5" customHeight="1" s="33">
      <c r="A156" s="57" t="inlineStr">
        <is>
          <t>AUD-SFX-AMB-EXTRACTION-BEACON</t>
        </is>
      </c>
      <c r="B156" s="44" t="inlineStr">
        <is>
          <t>amb_extraction_beacon</t>
        </is>
      </c>
      <c r="C156" s="44" t="inlineStr">
        <is>
          <t>音效</t>
        </is>
      </c>
      <c r="D156" s="57" t="inlineStr">
        <is>
          <t>ambience</t>
        </is>
      </c>
      <c r="E156" s="57" t="inlineStr">
        <is>
          <t>amb_extraction_beacon</t>
        </is>
      </c>
      <c r="F156" s="57" t="inlineStr">
        <is>
          <t>root</t>
        </is>
      </c>
      <c r="G156" s="44" t="n"/>
      <c r="H156" s="44" t="inlineStr">
        <is>
          <t>不适用</t>
        </is>
      </c>
      <c r="I156" s="57" t="inlineStr">
        <is>
          <t>default</t>
        </is>
      </c>
      <c r="J156" s="44" t="inlineStr">
        <is>
          <t>amb.extraction_beacon</t>
        </is>
      </c>
      <c r="K156" s="44" t="inlineStr">
        <is>
          <t>authored</t>
        </is>
      </c>
      <c r="L156" s="57" t="inlineStr">
        <is>
          <t>P2</t>
        </is>
      </c>
      <c r="M156" s="57" t="inlineStr">
        <is>
          <t>v002</t>
        </is>
      </c>
      <c r="N156" s="57" t="inlineStr">
        <is>
          <t>44100Hz / mono / PCM24 master / Vorbis q6 / 10s</t>
        </is>
      </c>
      <c r="O156" s="57" t="inlineStr">
        <is>
          <t>src/assets/audio/sfx/amb_extraction_beacon_v002.ogg</t>
        </is>
      </c>
      <c r="P156" s="57" t="inlineStr">
        <is>
          <t>art_source/audio/sfx/AUD-SFX-AMB-EXTRACTION-BEACON/source/amb_extraction_beacon_v002.wav</t>
        </is>
      </c>
      <c r="Q156" s="57" t="inlineStr">
        <is>
          <t>amb_extraction_beacon</t>
        </is>
      </c>
      <c r="R156" s="44">
        <f>LOWER(TRIM(C156)&amp;"|"&amp;TRIM(D156)&amp;"|"&amp;TRIM(E156)&amp;"|"&amp;TRIM(F156)&amp;"|"&amp;TRIM(H156)&amp;"|"&amp;TRIM(I156))</f>
        <v/>
      </c>
      <c r="S156" s="44">
        <f>IF(COUNTIF($R$6:$R$183,R156)&gt;1,"重复","唯一")</f>
        <v/>
      </c>
      <c r="T156" s="57" t="inlineStr">
        <is>
          <t>3b66d7dc1653e72c4bf3a2588135a89bec6f60a09260e496487d6e377450f71c</t>
        </is>
      </c>
      <c r="U156" s="57" t="inlineStr">
        <is>
          <t>Codex sound design</t>
        </is>
      </c>
      <c r="V156" s="58" t="n">
        <v>46314</v>
      </c>
      <c r="W156" s="44" t="inlineStr">
        <is>
          <t>https://opengameart.org/content/broken-fan-loop | dklon; https://opengameart.org/content/short-wind-sound | remaxim | CC-BY-3.0; CC0-1.0</t>
        </is>
      </c>
      <c r="X156" s="56" t="inlineStr">
        <is>
          <t>art_source/audio/sfx/AUD-SFX-AMB-EXTRACTION-BEACON/source/amb_extraction_beacon_v002.wav</t>
        </is>
      </c>
      <c r="Y156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157" ht="92.5" customHeight="1" s="33">
      <c r="A157" s="57" t="inlineStr">
        <is>
          <t>AUD-SFX-AMB-BOSS-ARENA</t>
        </is>
      </c>
      <c r="B157" s="44" t="inlineStr">
        <is>
          <t>amb_boss_arena</t>
        </is>
      </c>
      <c r="C157" s="44" t="inlineStr">
        <is>
          <t>音效</t>
        </is>
      </c>
      <c r="D157" s="57" t="inlineStr">
        <is>
          <t>ambience</t>
        </is>
      </c>
      <c r="E157" s="57" t="inlineStr">
        <is>
          <t>amb_boss_arena</t>
        </is>
      </c>
      <c r="F157" s="57" t="inlineStr">
        <is>
          <t>root</t>
        </is>
      </c>
      <c r="G157" s="44" t="n"/>
      <c r="H157" s="44" t="inlineStr">
        <is>
          <t>不适用</t>
        </is>
      </c>
      <c r="I157" s="57" t="inlineStr">
        <is>
          <t>default</t>
        </is>
      </c>
      <c r="J157" s="44" t="inlineStr">
        <is>
          <t>amb.boss_arena</t>
        </is>
      </c>
      <c r="K157" s="44" t="inlineStr">
        <is>
          <t>authored</t>
        </is>
      </c>
      <c r="L157" s="57" t="inlineStr">
        <is>
          <t>P2</t>
        </is>
      </c>
      <c r="M157" s="57" t="inlineStr">
        <is>
          <t>v002</t>
        </is>
      </c>
      <c r="N157" s="57" t="inlineStr">
        <is>
          <t>44100Hz / mono / PCM24 master / Vorbis q6 / 10s</t>
        </is>
      </c>
      <c r="O157" s="57" t="inlineStr">
        <is>
          <t>src/assets/audio/sfx/amb_boss_arena_v002.ogg</t>
        </is>
      </c>
      <c r="P157" s="57" t="inlineStr">
        <is>
          <t>art_source/audio/sfx/AUD-SFX-AMB-BOSS-ARENA/source/amb_boss_arena_v002.wav</t>
        </is>
      </c>
      <c r="Q157" s="57" t="inlineStr">
        <is>
          <t>amb_boss_arena</t>
        </is>
      </c>
      <c r="R157" s="44">
        <f>LOWER(TRIM(C157)&amp;"|"&amp;TRIM(D157)&amp;"|"&amp;TRIM(E157)&amp;"|"&amp;TRIM(F157)&amp;"|"&amp;TRIM(H157)&amp;"|"&amp;TRIM(I157))</f>
        <v/>
      </c>
      <c r="S157" s="44">
        <f>IF(COUNTIF($R$6:$R$183,R157)&gt;1,"重复","唯一")</f>
        <v/>
      </c>
      <c r="T157" s="57" t="inlineStr">
        <is>
          <t>3da5acdf658792b93fec3bd13ec516c5026ab9bfc8d5b3d1822b0e686c256a80</t>
        </is>
      </c>
      <c r="U157" s="57" t="inlineStr">
        <is>
          <t>Codex sound design</t>
        </is>
      </c>
      <c r="V157" s="58" t="n">
        <v>46314</v>
      </c>
      <c r="W157" s="44" t="inlineStr">
        <is>
          <t>https://opengameart.org/content/broken-fan-loop | dklon; https://opengameart.org/content/short-wind-sound | remaxim | CC-BY-3.0; CC0-1.0</t>
        </is>
      </c>
      <c r="X157" s="56" t="inlineStr">
        <is>
          <t>art_source/audio/sfx/AUD-SFX-AMB-BOSS-ARENA/source/amb_boss_arena_v002.wav</t>
        </is>
      </c>
      <c r="Y157" s="44" t="inlineStr">
        <is>
          <t>自然材质/录音替换；素材就绪、正式领域触发仍待接入；人工听感及Android待验；verify_audio_library_flow；docs/v0.1/development/2026-10-19_natural_world_audio.md</t>
        </is>
      </c>
    </row>
    <row r="158" ht="92.5" customHeight="1" s="33">
      <c r="A158" s="61" t="inlineStr">
        <is>
          <t>AUD-SFX-LAUNCHER-FIRE</t>
        </is>
      </c>
      <c r="B158" s="62" t="inlineStr">
        <is>
          <t>榴弹筒开火</t>
        </is>
      </c>
      <c r="C158" s="62" t="inlineStr">
        <is>
          <t>音效</t>
        </is>
      </c>
      <c r="D158" s="63" t="inlineStr">
        <is>
          <t>sfx</t>
        </is>
      </c>
      <c r="E158" s="63" t="inlineStr">
        <is>
          <t>launcher_fire</t>
        </is>
      </c>
      <c r="F158" s="63" t="inlineStr">
        <is>
          <t>root</t>
        </is>
      </c>
      <c r="G158" s="62" t="n"/>
      <c r="H158" s="62" t="inlineStr">
        <is>
          <t>不适用</t>
        </is>
      </c>
      <c r="I158" s="63" t="inlineStr">
        <is>
          <t>default</t>
        </is>
      </c>
      <c r="J158" s="62" t="inlineStr">
        <is>
          <t>枪种=榴弹筒；枪身=bp_launcher；动作=fire；事件=combat.weapon.fire.launcher</t>
        </is>
      </c>
      <c r="K158" s="62" t="inlineStr">
        <is>
          <t>原型已接入</t>
        </is>
      </c>
      <c r="L158" s="63" t="inlineStr">
        <is>
          <t>P1</t>
        </is>
      </c>
      <c r="M158" s="63" t="inlineStr">
        <is>
          <t>v001</t>
        </is>
      </c>
      <c r="N158" s="63" t="inlineStr">
        <is>
          <t>44100Hz / mono / PCM24 master / Vorbis q6 / 0.660000s</t>
        </is>
      </c>
      <c r="O158" s="63" t="inlineStr">
        <is>
          <t>src/assets/audio/sfx/launcher_fire_v001.ogg</t>
        </is>
      </c>
      <c r="P158" s="63" t="inlineStr">
        <is>
          <t>art_source/audio/sfx/AUD-SFX-LAUNCHER-FIRE/source/launcher_fire_v001.wav</t>
        </is>
      </c>
      <c r="Q158" s="63" t="inlineStr">
        <is>
          <t>launcher_fire；bp_launcher</t>
        </is>
      </c>
      <c r="R158" s="62">
        <f>LOWER(TRIM(C158)&amp;"|"&amp;TRIM(D158)&amp;"|"&amp;TRIM(E158)&amp;"|"&amp;TRIM(F158)&amp;"|"&amp;TRIM(H158)&amp;"|"&amp;TRIM(I158))</f>
        <v/>
      </c>
      <c r="S158" s="62">
        <f>IF(COUNTIF($R$6:$R$183,R158)&gt;1,"重复","唯一")</f>
        <v/>
      </c>
      <c r="T158" s="63" t="inlineStr">
        <is>
          <t>513e8941bc2de85a73e184a9487f4cd093a70ecdfcb09b18da792a0b86785c42</t>
        </is>
      </c>
      <c r="U158" s="63" t="inlineStr">
        <is>
          <t>Codex recording edit</t>
        </is>
      </c>
      <c r="V158" s="64" t="n">
        <v>46314</v>
      </c>
      <c r="W158" s="62" t="inlineStr">
        <is>
          <t>https://opengameart.org/content/gun-reload-sounds | SpringySpringo; https://opengameart.org/content/gunshot-sounds | Vincent Sevedge / Tabasco | CC-BY-3.0 (archive notice; page also offers CC0; retain stricter attribution); CC0-1.0</t>
        </is>
      </c>
      <c r="X158" s="56" t="inlineStr">
        <is>
          <t>art_source/audio/sfx/AUD-SFX-LAUNCHER-FIRE/source/launcher_fire_v001.wav</t>
        </is>
      </c>
      <c r="Y158" s="62" t="inlineStr">
        <is>
          <t>已接入 weapon_profiles；自动资源/正式路由/真实播放器验收通过；人工听感与Android待验；verify_audio_library_flow；docs/v0.1/development/2026-10-19_weapon_audio_profiles.md</t>
        </is>
      </c>
    </row>
    <row r="159" ht="92.5" customHeight="1" s="33">
      <c r="A159" s="61" t="inlineStr">
        <is>
          <t>AUD-SFX-LAUNCHER-FIRE-VAR02</t>
        </is>
      </c>
      <c r="B159" s="62" t="inlineStr">
        <is>
          <t>榴弹筒开火（变体02）</t>
        </is>
      </c>
      <c r="C159" s="62" t="inlineStr">
        <is>
          <t>音效</t>
        </is>
      </c>
      <c r="D159" s="63" t="inlineStr">
        <is>
          <t>sfx</t>
        </is>
      </c>
      <c r="E159" s="63" t="inlineStr">
        <is>
          <t>launcher_fire</t>
        </is>
      </c>
      <c r="F159" s="63" t="inlineStr">
        <is>
          <t>var02</t>
        </is>
      </c>
      <c r="G159" s="62" t="inlineStr">
        <is>
          <t>AUD-SFX-LAUNCHER-FIRE</t>
        </is>
      </c>
      <c r="H159" s="62" t="inlineStr">
        <is>
          <t>不适用</t>
        </is>
      </c>
      <c r="I159" s="63" t="inlineStr">
        <is>
          <t>default</t>
        </is>
      </c>
      <c r="J159" s="62" t="inlineStr">
        <is>
          <t>枪种=榴弹筒；枪身=bp_launcher；动作=fire；事件=combat.weapon.fire.launcher</t>
        </is>
      </c>
      <c r="K159" s="62" t="inlineStr">
        <is>
          <t>原型已接入</t>
        </is>
      </c>
      <c r="L159" s="63" t="inlineStr">
        <is>
          <t>P1</t>
        </is>
      </c>
      <c r="M159" s="63" t="inlineStr">
        <is>
          <t>v001</t>
        </is>
      </c>
      <c r="N159" s="63" t="inlineStr">
        <is>
          <t>44100Hz / mono / PCM24 master / Vorbis q6 / 0.660000s</t>
        </is>
      </c>
      <c r="O159" s="63" t="inlineStr">
        <is>
          <t>src/assets/audio/sfx/launcher_fire_alt02_v001.ogg</t>
        </is>
      </c>
      <c r="P159" s="63" t="inlineStr">
        <is>
          <t>art_source/audio/sfx/AUD-SFX-LAUNCHER-FIRE-VAR02/source/launcher_fire_alt02_v001.wav</t>
        </is>
      </c>
      <c r="Q159" s="63" t="inlineStr">
        <is>
          <t>launcher_fire；bp_launcher</t>
        </is>
      </c>
      <c r="R159" s="62">
        <f>LOWER(TRIM(C159)&amp;"|"&amp;TRIM(D159)&amp;"|"&amp;TRIM(E159)&amp;"|"&amp;TRIM(F159)&amp;"|"&amp;TRIM(H159)&amp;"|"&amp;TRIM(I159))</f>
        <v/>
      </c>
      <c r="S159" s="62">
        <f>IF(COUNTIF($R$6:$R$183,R159)&gt;1,"重复","唯一")</f>
        <v/>
      </c>
      <c r="T159" s="63" t="inlineStr">
        <is>
          <t>8c266cb47d129075be2df51c22a513c1c9020ace7828255ed3580cc7d2b69576</t>
        </is>
      </c>
      <c r="U159" s="63" t="inlineStr">
        <is>
          <t>Codex recording edit</t>
        </is>
      </c>
      <c r="V159" s="64" t="n">
        <v>46314</v>
      </c>
      <c r="W159" s="62" t="inlineStr">
        <is>
          <t>https://opengameart.org/content/gun-reload-sounds | SpringySpringo; https://opengameart.org/content/gunshot-sounds | Vincent Sevedge / Tabasco | CC-BY-3.0 (archive notice; page also offers CC0; retain stricter attribution); CC0-1.0</t>
        </is>
      </c>
      <c r="X159" s="56" t="inlineStr">
        <is>
          <t>art_source/audio/sfx/AUD-SFX-LAUNCHER-FIRE-VAR02/source/launcher_fire_alt02_v001.wav</t>
        </is>
      </c>
      <c r="Y159" s="62" t="inlineStr">
        <is>
          <t>已接入 weapon_profiles；自动资源/正式路由/真实播放器验收通过；人工听感与Android待验；verify_audio_library_flow；docs/v0.1/development/2026-10-19_weapon_audio_profiles.md</t>
        </is>
      </c>
    </row>
    <row r="160" ht="92.5" customHeight="1" s="33">
      <c r="A160" s="61" t="inlineStr">
        <is>
          <t>AUD-SFX-LAUNCHER-FIRE-VAR03</t>
        </is>
      </c>
      <c r="B160" s="62" t="inlineStr">
        <is>
          <t>榴弹筒开火（变体03）</t>
        </is>
      </c>
      <c r="C160" s="62" t="inlineStr">
        <is>
          <t>音效</t>
        </is>
      </c>
      <c r="D160" s="63" t="inlineStr">
        <is>
          <t>sfx</t>
        </is>
      </c>
      <c r="E160" s="63" t="inlineStr">
        <is>
          <t>launcher_fire</t>
        </is>
      </c>
      <c r="F160" s="63" t="inlineStr">
        <is>
          <t>var03</t>
        </is>
      </c>
      <c r="G160" s="62" t="inlineStr">
        <is>
          <t>AUD-SFX-LAUNCHER-FIRE</t>
        </is>
      </c>
      <c r="H160" s="62" t="inlineStr">
        <is>
          <t>不适用</t>
        </is>
      </c>
      <c r="I160" s="63" t="inlineStr">
        <is>
          <t>default</t>
        </is>
      </c>
      <c r="J160" s="62" t="inlineStr">
        <is>
          <t>枪种=榴弹筒；枪身=bp_launcher；动作=fire；事件=combat.weapon.fire.launcher</t>
        </is>
      </c>
      <c r="K160" s="62" t="inlineStr">
        <is>
          <t>原型已接入</t>
        </is>
      </c>
      <c r="L160" s="63" t="inlineStr">
        <is>
          <t>P1</t>
        </is>
      </c>
      <c r="M160" s="63" t="inlineStr">
        <is>
          <t>v001</t>
        </is>
      </c>
      <c r="N160" s="63" t="inlineStr">
        <is>
          <t>44100Hz / mono / PCM24 master / Vorbis q6 / 0.660000s</t>
        </is>
      </c>
      <c r="O160" s="63" t="inlineStr">
        <is>
          <t>src/assets/audio/sfx/launcher_fire_alt03_v001.ogg</t>
        </is>
      </c>
      <c r="P160" s="63" t="inlineStr">
        <is>
          <t>art_source/audio/sfx/AUD-SFX-LAUNCHER-FIRE-VAR03/source/launcher_fire_alt03_v001.wav</t>
        </is>
      </c>
      <c r="Q160" s="63" t="inlineStr">
        <is>
          <t>launcher_fire；bp_launcher</t>
        </is>
      </c>
      <c r="R160" s="62">
        <f>LOWER(TRIM(C160)&amp;"|"&amp;TRIM(D160)&amp;"|"&amp;TRIM(E160)&amp;"|"&amp;TRIM(F160)&amp;"|"&amp;TRIM(H160)&amp;"|"&amp;TRIM(I160))</f>
        <v/>
      </c>
      <c r="S160" s="62">
        <f>IF(COUNTIF($R$6:$R$183,R160)&gt;1,"重复","唯一")</f>
        <v/>
      </c>
      <c r="T160" s="63" t="inlineStr">
        <is>
          <t>223181d0db923cbae2f9c5856fa04f874cc53d4c1846dd0f89ba69cb94afc508</t>
        </is>
      </c>
      <c r="U160" s="63" t="inlineStr">
        <is>
          <t>Codex recording edit</t>
        </is>
      </c>
      <c r="V160" s="64" t="n">
        <v>46314</v>
      </c>
      <c r="W160" s="62" t="inlineStr">
        <is>
          <t>https://opengameart.org/content/gun-reload-sounds | SpringySpringo; https://opengameart.org/content/gunshot-sounds | Vincent Sevedge / Tabasco | CC-BY-3.0 (archive notice; page also offers CC0; retain stricter attribution); CC0-1.0</t>
        </is>
      </c>
      <c r="X160" s="56" t="inlineStr">
        <is>
          <t>art_source/audio/sfx/AUD-SFX-LAUNCHER-FIRE-VAR03/source/launcher_fire_alt03_v001.wav</t>
        </is>
      </c>
      <c r="Y160" s="62" t="inlineStr">
        <is>
          <t>已接入 weapon_profiles；自动资源/正式路由/真实播放器验收通过；人工听感与Android待验；verify_audio_library_flow；docs/v0.1/development/2026-10-19_weapon_audio_profiles.md</t>
        </is>
      </c>
    </row>
    <row r="161" ht="92.5" customHeight="1" s="33">
      <c r="A161" s="61" t="inlineStr">
        <is>
          <t>AUD-SFX-RELOAD-PISTOL</t>
        </is>
      </c>
      <c r="B161" s="62" t="inlineStr">
        <is>
          <t>手枪换弹</t>
        </is>
      </c>
      <c r="C161" s="62" t="inlineStr">
        <is>
          <t>音效</t>
        </is>
      </c>
      <c r="D161" s="63" t="inlineStr">
        <is>
          <t>sfx</t>
        </is>
      </c>
      <c r="E161" s="63" t="inlineStr">
        <is>
          <t>reload_pistol</t>
        </is>
      </c>
      <c r="F161" s="63" t="inlineStr">
        <is>
          <t>root</t>
        </is>
      </c>
      <c r="G161" s="62" t="n"/>
      <c r="H161" s="62" t="inlineStr">
        <is>
          <t>不适用</t>
        </is>
      </c>
      <c r="I161" s="63" t="inlineStr">
        <is>
          <t>default</t>
        </is>
      </c>
      <c r="J161" s="62" t="inlineStr">
        <is>
          <t>枪种=手枪；枪身=bp_pistol；动作=reload；事件=combat.weapon.reload_start</t>
        </is>
      </c>
      <c r="K161" s="62" t="inlineStr">
        <is>
          <t>原型已接入</t>
        </is>
      </c>
      <c r="L161" s="63" t="inlineStr">
        <is>
          <t>P1</t>
        </is>
      </c>
      <c r="M161" s="63" t="inlineStr">
        <is>
          <t>v001</t>
        </is>
      </c>
      <c r="N161" s="63" t="inlineStr">
        <is>
          <t>44100Hz / mono / PCM24 master / Vorbis q6 / 1.240000s</t>
        </is>
      </c>
      <c r="O161" s="63" t="inlineStr">
        <is>
          <t>src/assets/audio/sfx/reload_pistol_v001.ogg</t>
        </is>
      </c>
      <c r="P161" s="63" t="inlineStr">
        <is>
          <t>art_source/audio/sfx/AUD-SFX-RELOAD-PISTOL/source/reload_pistol_v001.wav</t>
        </is>
      </c>
      <c r="Q161" s="63" t="inlineStr">
        <is>
          <t>reload_pistol；bp_pistol</t>
        </is>
      </c>
      <c r="R161" s="62">
        <f>LOWER(TRIM(C161)&amp;"|"&amp;TRIM(D161)&amp;"|"&amp;TRIM(E161)&amp;"|"&amp;TRIM(F161)&amp;"|"&amp;TRIM(H161)&amp;"|"&amp;TRIM(I161))</f>
        <v/>
      </c>
      <c r="S161" s="62">
        <f>IF(COUNTIF($R$6:$R$183,R161)&gt;1,"重复","唯一")</f>
        <v/>
      </c>
      <c r="T161" s="63" t="inlineStr">
        <is>
          <t>b5efa2ba2a2d4e29b553acd4c5bb5500f72f681404b22a74f6e16543fd2a85eb</t>
        </is>
      </c>
      <c r="U161" s="63" t="inlineStr">
        <is>
          <t>Codex recording edit</t>
        </is>
      </c>
      <c r="V161" s="64" t="n">
        <v>46314</v>
      </c>
      <c r="W161" s="62" t="inlineStr">
        <is>
          <t>https://opengameart.org/content/gun-reload-sounds | SpringySpringo | CC0-1.0</t>
        </is>
      </c>
      <c r="X161" s="56" t="inlineStr">
        <is>
          <t>art_source/audio/sfx/AUD-SFX-RELOAD-PISTOL/source/reload_pistol_v001.wav</t>
        </is>
      </c>
      <c r="Y161" s="62" t="inlineStr">
        <is>
          <t>已接入 weapon_profiles；自动资源/正式路由/真实播放器验收通过；人工听感与Android待验；verify_audio_library_flow；docs/v0.1/development/2026-10-19_weapon_audio_profiles.md</t>
        </is>
      </c>
    </row>
    <row r="162" ht="92.5" customHeight="1" s="33">
      <c r="A162" s="61" t="inlineStr">
        <is>
          <t>AUD-SFX-RELOAD-RIFLE</t>
        </is>
      </c>
      <c r="B162" s="62" t="inlineStr">
        <is>
          <t>步枪换弹</t>
        </is>
      </c>
      <c r="C162" s="62" t="inlineStr">
        <is>
          <t>音效</t>
        </is>
      </c>
      <c r="D162" s="63" t="inlineStr">
        <is>
          <t>sfx</t>
        </is>
      </c>
      <c r="E162" s="63" t="inlineStr">
        <is>
          <t>reload_rifle</t>
        </is>
      </c>
      <c r="F162" s="63" t="inlineStr">
        <is>
          <t>root</t>
        </is>
      </c>
      <c r="G162" s="62" t="n"/>
      <c r="H162" s="62" t="inlineStr">
        <is>
          <t>不适用</t>
        </is>
      </c>
      <c r="I162" s="63" t="inlineStr">
        <is>
          <t>default</t>
        </is>
      </c>
      <c r="J162" s="62" t="inlineStr">
        <is>
          <t>枪种=步枪；枪身=bp_rifle,bp_starter_rifle；动作=reload；事件=combat.weapon.reload_start</t>
        </is>
      </c>
      <c r="K162" s="62" t="inlineStr">
        <is>
          <t>原型已接入</t>
        </is>
      </c>
      <c r="L162" s="63" t="inlineStr">
        <is>
          <t>P1</t>
        </is>
      </c>
      <c r="M162" s="63" t="inlineStr">
        <is>
          <t>v001</t>
        </is>
      </c>
      <c r="N162" s="63" t="inlineStr">
        <is>
          <t>44100Hz / mono / PCM24 master / Vorbis q6 / 1.490000s</t>
        </is>
      </c>
      <c r="O162" s="63" t="inlineStr">
        <is>
          <t>src/assets/audio/sfx/reload_rifle_v001.ogg</t>
        </is>
      </c>
      <c r="P162" s="63" t="inlineStr">
        <is>
          <t>art_source/audio/sfx/AUD-SFX-RELOAD-RIFLE/source/reload_rifle_v001.wav</t>
        </is>
      </c>
      <c r="Q162" s="63" t="inlineStr">
        <is>
          <t>reload_rifle；bp_rifle,bp_starter_rifle</t>
        </is>
      </c>
      <c r="R162" s="62">
        <f>LOWER(TRIM(C162)&amp;"|"&amp;TRIM(D162)&amp;"|"&amp;TRIM(E162)&amp;"|"&amp;TRIM(F162)&amp;"|"&amp;TRIM(H162)&amp;"|"&amp;TRIM(I162))</f>
        <v/>
      </c>
      <c r="S162" s="62">
        <f>IF(COUNTIF($R$6:$R$183,R162)&gt;1,"重复","唯一")</f>
        <v/>
      </c>
      <c r="T162" s="63" t="inlineStr">
        <is>
          <t>3b2df172a418435e0f91780e56c105d146cb91dfaed25ff600b6bc87ed844f23</t>
        </is>
      </c>
      <c r="U162" s="63" t="inlineStr">
        <is>
          <t>Codex recording edit</t>
        </is>
      </c>
      <c r="V162" s="64" t="n">
        <v>46314</v>
      </c>
      <c r="W162" s="62" t="inlineStr">
        <is>
          <t>https://opengameart.org/content/gun-reload-sounds | SpringySpringo | CC0-1.0</t>
        </is>
      </c>
      <c r="X162" s="56" t="inlineStr">
        <is>
          <t>art_source/audio/sfx/AUD-SFX-RELOAD-RIFLE/source/reload_rifle_v001.wav</t>
        </is>
      </c>
      <c r="Y162" s="62" t="inlineStr">
        <is>
          <t>已接入 weapon_profiles；自动资源/正式路由/真实播放器验收通过；人工听感与Android待验；verify_audio_library_flow；docs/v0.1/development/2026-10-19_weapon_audio_profiles.md</t>
        </is>
      </c>
    </row>
    <row r="163" ht="92.5" customHeight="1" s="33">
      <c r="A163" s="61" t="inlineStr">
        <is>
          <t>AUD-SFX-RELOAD-MACHINEGUN</t>
        </is>
      </c>
      <c r="B163" s="62" t="inlineStr">
        <is>
          <t>机枪换弹</t>
        </is>
      </c>
      <c r="C163" s="62" t="inlineStr">
        <is>
          <t>音效</t>
        </is>
      </c>
      <c r="D163" s="63" t="inlineStr">
        <is>
          <t>sfx</t>
        </is>
      </c>
      <c r="E163" s="63" t="inlineStr">
        <is>
          <t>reload_machinegun</t>
        </is>
      </c>
      <c r="F163" s="63" t="inlineStr">
        <is>
          <t>root</t>
        </is>
      </c>
      <c r="G163" s="62" t="n"/>
      <c r="H163" s="62" t="inlineStr">
        <is>
          <t>不适用</t>
        </is>
      </c>
      <c r="I163" s="63" t="inlineStr">
        <is>
          <t>default</t>
        </is>
      </c>
      <c r="J163" s="62" t="inlineStr">
        <is>
          <t>枪种=机枪；枪身=bp_machinegun,bp_sprinkler；动作=reload；事件=combat.weapon.reload_start</t>
        </is>
      </c>
      <c r="K163" s="62" t="inlineStr">
        <is>
          <t>原型已接入</t>
        </is>
      </c>
      <c r="L163" s="63" t="inlineStr">
        <is>
          <t>P1</t>
        </is>
      </c>
      <c r="M163" s="63" t="inlineStr">
        <is>
          <t>v001</t>
        </is>
      </c>
      <c r="N163" s="63" t="inlineStr">
        <is>
          <t>44100Hz / mono / PCM24 master / Vorbis q6 / 2.060000s</t>
        </is>
      </c>
      <c r="O163" s="63" t="inlineStr">
        <is>
          <t>src/assets/audio/sfx/reload_machinegun_v001.ogg</t>
        </is>
      </c>
      <c r="P163" s="63" t="inlineStr">
        <is>
          <t>art_source/audio/sfx/AUD-SFX-RELOAD-MACHINEGUN/source/reload_machinegun_v001.wav</t>
        </is>
      </c>
      <c r="Q163" s="63" t="inlineStr">
        <is>
          <t>reload_machinegun；bp_machinegun,bp_sprinkler</t>
        </is>
      </c>
      <c r="R163" s="62">
        <f>LOWER(TRIM(C163)&amp;"|"&amp;TRIM(D163)&amp;"|"&amp;TRIM(E163)&amp;"|"&amp;TRIM(F163)&amp;"|"&amp;TRIM(H163)&amp;"|"&amp;TRIM(I163))</f>
        <v/>
      </c>
      <c r="S163" s="62">
        <f>IF(COUNTIF($R$6:$R$183,R163)&gt;1,"重复","唯一")</f>
        <v/>
      </c>
      <c r="T163" s="63" t="inlineStr">
        <is>
          <t>fe530812218cfec5fe640e4ea149ecddb90611d3b9f98ff7578226aeb136bf1e</t>
        </is>
      </c>
      <c r="U163" s="63" t="inlineStr">
        <is>
          <t>Codex recording edit</t>
        </is>
      </c>
      <c r="V163" s="64" t="n">
        <v>46314</v>
      </c>
      <c r="W163" s="62" t="inlineStr">
        <is>
          <t>https://opengameart.org/content/equipment-clicks-iii | LFA | CC0-1.0</t>
        </is>
      </c>
      <c r="X163" s="56" t="inlineStr">
        <is>
          <t>art_source/audio/sfx/AUD-SFX-RELOAD-MACHINEGUN/source/reload_machinegun_v001.wav</t>
        </is>
      </c>
      <c r="Y163" s="62" t="inlineStr">
        <is>
          <t>已接入 weapon_profiles；自动资源/正式路由/真实播放器验收通过；人工听感与Android待验；verify_audio_library_flow；docs/v0.1/development/2026-10-19_weapon_audio_profiles.md</t>
        </is>
      </c>
    </row>
    <row r="164" ht="92.5" customHeight="1" s="33">
      <c r="A164" s="61" t="inlineStr">
        <is>
          <t>AUD-SFX-RELOAD-SHOTGUN</t>
        </is>
      </c>
      <c r="B164" s="62" t="inlineStr">
        <is>
          <t>霰弹枪换弹</t>
        </is>
      </c>
      <c r="C164" s="62" t="inlineStr">
        <is>
          <t>音效</t>
        </is>
      </c>
      <c r="D164" s="63" t="inlineStr">
        <is>
          <t>sfx</t>
        </is>
      </c>
      <c r="E164" s="63" t="inlineStr">
        <is>
          <t>reload_shotgun</t>
        </is>
      </c>
      <c r="F164" s="63" t="inlineStr">
        <is>
          <t>root</t>
        </is>
      </c>
      <c r="G164" s="62" t="n"/>
      <c r="H164" s="62" t="inlineStr">
        <is>
          <t>不适用</t>
        </is>
      </c>
      <c r="I164" s="63" t="inlineStr">
        <is>
          <t>default</t>
        </is>
      </c>
      <c r="J164" s="62" t="inlineStr">
        <is>
          <t>枪种=霰弹枪；枪身=bp_shotgun；动作=reload；事件=combat.weapon.reload_start</t>
        </is>
      </c>
      <c r="K164" s="62" t="inlineStr">
        <is>
          <t>原型已接入</t>
        </is>
      </c>
      <c r="L164" s="63" t="inlineStr">
        <is>
          <t>P1</t>
        </is>
      </c>
      <c r="M164" s="63" t="inlineStr">
        <is>
          <t>v001</t>
        </is>
      </c>
      <c r="N164" s="63" t="inlineStr">
        <is>
          <t>44100Hz / mono / PCM24 master / Vorbis q6 / 0.810000s</t>
        </is>
      </c>
      <c r="O164" s="63" t="inlineStr">
        <is>
          <t>src/assets/audio/sfx/reload_shotgun_v001.ogg</t>
        </is>
      </c>
      <c r="P164" s="63" t="inlineStr">
        <is>
          <t>art_source/audio/sfx/AUD-SFX-RELOAD-SHOTGUN/source/reload_shotgun_v001.wav</t>
        </is>
      </c>
      <c r="Q164" s="63" t="inlineStr">
        <is>
          <t>reload_shotgun；bp_shotgun</t>
        </is>
      </c>
      <c r="R164" s="62">
        <f>LOWER(TRIM(C164)&amp;"|"&amp;TRIM(D164)&amp;"|"&amp;TRIM(E164)&amp;"|"&amp;TRIM(F164)&amp;"|"&amp;TRIM(H164)&amp;"|"&amp;TRIM(I164))</f>
        <v/>
      </c>
      <c r="S164" s="62">
        <f>IF(COUNTIF($R$6:$R$183,R164)&gt;1,"重复","唯一")</f>
        <v/>
      </c>
      <c r="T164" s="63" t="inlineStr">
        <is>
          <t>b3648a34c5f35e0246d02cafa456d64b520b9aa2c8e7bf6f51d5513488c7192c</t>
        </is>
      </c>
      <c r="U164" s="63" t="inlineStr">
        <is>
          <t>Codex recording edit</t>
        </is>
      </c>
      <c r="V164" s="64" t="n">
        <v>46314</v>
      </c>
      <c r="W164" s="62" t="inlineStr">
        <is>
          <t>https://opengameart.org/content/gun-reload-sounds | SpringySpringo | CC0-1.0</t>
        </is>
      </c>
      <c r="X164" s="56" t="inlineStr">
        <is>
          <t>art_source/audio/sfx/AUD-SFX-RELOAD-SHOTGUN/source/reload_shotgun_v001.wav</t>
        </is>
      </c>
      <c r="Y164" s="62" t="inlineStr">
        <is>
          <t>已接入 weapon_profiles；自动资源/正式路由/真实播放器验收通过；人工听感与Android待验；verify_audio_library_flow；docs/v0.1/development/2026-10-19_weapon_audio_profiles.md</t>
        </is>
      </c>
    </row>
    <row r="165" ht="92.5" customHeight="1" s="33">
      <c r="A165" s="61" t="inlineStr">
        <is>
          <t>AUD-SFX-RELOAD-SNIPER</t>
        </is>
      </c>
      <c r="B165" s="62" t="inlineStr">
        <is>
          <t>狙击枪换弹</t>
        </is>
      </c>
      <c r="C165" s="62" t="inlineStr">
        <is>
          <t>音效</t>
        </is>
      </c>
      <c r="D165" s="63" t="inlineStr">
        <is>
          <t>sfx</t>
        </is>
      </c>
      <c r="E165" s="63" t="inlineStr">
        <is>
          <t>reload_sniper</t>
        </is>
      </c>
      <c r="F165" s="63" t="inlineStr">
        <is>
          <t>root</t>
        </is>
      </c>
      <c r="G165" s="62" t="n"/>
      <c r="H165" s="62" t="inlineStr">
        <is>
          <t>不适用</t>
        </is>
      </c>
      <c r="I165" s="63" t="inlineStr">
        <is>
          <t>default</t>
        </is>
      </c>
      <c r="J165" s="62" t="inlineStr">
        <is>
          <t>枪种=狙击枪；枪身=bp_sniper；动作=reload；事件=combat.weapon.reload_start</t>
        </is>
      </c>
      <c r="K165" s="62" t="inlineStr">
        <is>
          <t>原型已接入</t>
        </is>
      </c>
      <c r="L165" s="63" t="inlineStr">
        <is>
          <t>P1</t>
        </is>
      </c>
      <c r="M165" s="63" t="inlineStr">
        <is>
          <t>v001</t>
        </is>
      </c>
      <c r="N165" s="63" t="inlineStr">
        <is>
          <t>44100Hz / mono / PCM24 master / Vorbis q6 / 0.890000s</t>
        </is>
      </c>
      <c r="O165" s="63" t="inlineStr">
        <is>
          <t>src/assets/audio/sfx/reload_sniper_v001.ogg</t>
        </is>
      </c>
      <c r="P165" s="63" t="inlineStr">
        <is>
          <t>art_source/audio/sfx/AUD-SFX-RELOAD-SNIPER/source/reload_sniper_v001.wav</t>
        </is>
      </c>
      <c r="Q165" s="63" t="inlineStr">
        <is>
          <t>reload_sniper；bp_sniper</t>
        </is>
      </c>
      <c r="R165" s="62">
        <f>LOWER(TRIM(C165)&amp;"|"&amp;TRIM(D165)&amp;"|"&amp;TRIM(E165)&amp;"|"&amp;TRIM(F165)&amp;"|"&amp;TRIM(H165)&amp;"|"&amp;TRIM(I165))</f>
        <v/>
      </c>
      <c r="S165" s="62">
        <f>IF(COUNTIF($R$6:$R$183,R165)&gt;1,"重复","唯一")</f>
        <v/>
      </c>
      <c r="T165" s="63" t="inlineStr">
        <is>
          <t>afa31bcc0057f7698161020174f3f6b6fd4b107e0ce78f68a2027ce8adfab40e</t>
        </is>
      </c>
      <c r="U165" s="63" t="inlineStr">
        <is>
          <t>Codex recording edit</t>
        </is>
      </c>
      <c r="V165" s="64" t="n">
        <v>46314</v>
      </c>
      <c r="W165" s="62" t="inlineStr">
        <is>
          <t>https://opengameart.org/content/gun-reload-sounds | SpringySpringo | CC0-1.0</t>
        </is>
      </c>
      <c r="X165" s="56" t="inlineStr">
        <is>
          <t>art_source/audio/sfx/AUD-SFX-RELOAD-SNIPER/source/reload_sniper_v001.wav</t>
        </is>
      </c>
      <c r="Y165" s="62" t="inlineStr">
        <is>
          <t>已接入 weapon_profiles；自动资源/正式路由/真实播放器验收通过；人工听感与Android待验；verify_audio_library_flow；docs/v0.1/development/2026-10-19_weapon_audio_profiles.md</t>
        </is>
      </c>
    </row>
    <row r="166" ht="92.5" customHeight="1" s="33">
      <c r="A166" s="61" t="inlineStr">
        <is>
          <t>AUD-SFX-RELOAD-LAUNCHER</t>
        </is>
      </c>
      <c r="B166" s="62" t="inlineStr">
        <is>
          <t>榴弹筒换弹</t>
        </is>
      </c>
      <c r="C166" s="62" t="inlineStr">
        <is>
          <t>音效</t>
        </is>
      </c>
      <c r="D166" s="63" t="inlineStr">
        <is>
          <t>sfx</t>
        </is>
      </c>
      <c r="E166" s="63" t="inlineStr">
        <is>
          <t>reload_launcher</t>
        </is>
      </c>
      <c r="F166" s="63" t="inlineStr">
        <is>
          <t>root</t>
        </is>
      </c>
      <c r="G166" s="62" t="n"/>
      <c r="H166" s="62" t="inlineStr">
        <is>
          <t>不适用</t>
        </is>
      </c>
      <c r="I166" s="63" t="inlineStr">
        <is>
          <t>default</t>
        </is>
      </c>
      <c r="J166" s="62" t="inlineStr">
        <is>
          <t>枪种=榴弹筒；枪身=bp_launcher；动作=reload；事件=combat.weapon.reload_start</t>
        </is>
      </c>
      <c r="K166" s="62" t="inlineStr">
        <is>
          <t>原型已接入</t>
        </is>
      </c>
      <c r="L166" s="63" t="inlineStr">
        <is>
          <t>P1</t>
        </is>
      </c>
      <c r="M166" s="63" t="inlineStr">
        <is>
          <t>v001</t>
        </is>
      </c>
      <c r="N166" s="63" t="inlineStr">
        <is>
          <t>44100Hz / mono / PCM24 master / Vorbis q6 / 0.920000s</t>
        </is>
      </c>
      <c r="O166" s="63" t="inlineStr">
        <is>
          <t>src/assets/audio/sfx/reload_launcher_v001.ogg</t>
        </is>
      </c>
      <c r="P166" s="63" t="inlineStr">
        <is>
          <t>art_source/audio/sfx/AUD-SFX-RELOAD-LAUNCHER/source/reload_launcher_v001.wav</t>
        </is>
      </c>
      <c r="Q166" s="63" t="inlineStr">
        <is>
          <t>reload_launcher；bp_launcher</t>
        </is>
      </c>
      <c r="R166" s="62">
        <f>LOWER(TRIM(C166)&amp;"|"&amp;TRIM(D166)&amp;"|"&amp;TRIM(E166)&amp;"|"&amp;TRIM(F166)&amp;"|"&amp;TRIM(H166)&amp;"|"&amp;TRIM(I166))</f>
        <v/>
      </c>
      <c r="S166" s="62">
        <f>IF(COUNTIF($R$6:$R$183,R166)&gt;1,"重复","唯一")</f>
        <v/>
      </c>
      <c r="T166" s="63" t="inlineStr">
        <is>
          <t>69c8c2414298f59821a767678e293ac4daa4b6a6e717cffa4d144a4a7735252b</t>
        </is>
      </c>
      <c r="U166" s="63" t="inlineStr">
        <is>
          <t>Codex recording edit</t>
        </is>
      </c>
      <c r="V166" s="64" t="n">
        <v>46314</v>
      </c>
      <c r="W166" s="62" t="inlineStr">
        <is>
          <t>https://opengameart.org/content/gun-reload-sounds | SpringySpringo | CC0-1.0</t>
        </is>
      </c>
      <c r="X166" s="56" t="inlineStr">
        <is>
          <t>art_source/audio/sfx/AUD-SFX-RELOAD-LAUNCHER/source/reload_launcher_v001.wav</t>
        </is>
      </c>
      <c r="Y166" s="62" t="inlineStr">
        <is>
          <t>已接入 weapon_profiles；自动资源/正式路由/真实播放器验收通过；人工听感与Android待验；verify_audio_library_flow；docs/v0.1/development/2026-10-19_weapon_audio_profiles.md</t>
        </is>
      </c>
    </row>
    <row r="167" ht="92.5" customHeight="1" s="33">
      <c r="A167" s="61" t="inlineStr">
        <is>
          <t>AUD-SFX-RELOAD-CHARGE</t>
        </is>
      </c>
      <c r="B167" s="62" t="inlineStr">
        <is>
          <t>蓄力炮换弹</t>
        </is>
      </c>
      <c r="C167" s="62" t="inlineStr">
        <is>
          <t>音效</t>
        </is>
      </c>
      <c r="D167" s="63" t="inlineStr">
        <is>
          <t>sfx</t>
        </is>
      </c>
      <c r="E167" s="63" t="inlineStr">
        <is>
          <t>reload_charge</t>
        </is>
      </c>
      <c r="F167" s="63" t="inlineStr">
        <is>
          <t>root</t>
        </is>
      </c>
      <c r="G167" s="62" t="n"/>
      <c r="H167" s="62" t="inlineStr">
        <is>
          <t>不适用</t>
        </is>
      </c>
      <c r="I167" s="63" t="inlineStr">
        <is>
          <t>default</t>
        </is>
      </c>
      <c r="J167" s="62" t="inlineStr">
        <is>
          <t>枪种=蓄力炮；枪身=bp_charge；动作=reload；事件=combat.weapon.reload_start</t>
        </is>
      </c>
      <c r="K167" s="62" t="inlineStr">
        <is>
          <t>原型已接入</t>
        </is>
      </c>
      <c r="L167" s="63" t="inlineStr">
        <is>
          <t>P1</t>
        </is>
      </c>
      <c r="M167" s="63" t="inlineStr">
        <is>
          <t>v001</t>
        </is>
      </c>
      <c r="N167" s="63" t="inlineStr">
        <is>
          <t>44100Hz / mono / PCM24 master / Vorbis q6 / 1.260000s</t>
        </is>
      </c>
      <c r="O167" s="63" t="inlineStr">
        <is>
          <t>src/assets/audio/sfx/reload_charge_v001.ogg</t>
        </is>
      </c>
      <c r="P167" s="63" t="inlineStr">
        <is>
          <t>art_source/audio/sfx/AUD-SFX-RELOAD-CHARGE/source/reload_charge_v001.wav</t>
        </is>
      </c>
      <c r="Q167" s="63" t="inlineStr">
        <is>
          <t>reload_charge；bp_charge</t>
        </is>
      </c>
      <c r="R167" s="62">
        <f>LOWER(TRIM(C167)&amp;"|"&amp;TRIM(D167)&amp;"|"&amp;TRIM(E167)&amp;"|"&amp;TRIM(F167)&amp;"|"&amp;TRIM(H167)&amp;"|"&amp;TRIM(I167))</f>
        <v/>
      </c>
      <c r="S167" s="62">
        <f>IF(COUNTIF($R$6:$R$183,R167)&gt;1,"重复","唯一")</f>
        <v/>
      </c>
      <c r="T167" s="63" t="inlineStr">
        <is>
          <t>95f604350b7f8741bfe4a2fc58a518319d6741834713f85a3beaf7fd8e36f3ca</t>
        </is>
      </c>
      <c r="U167" s="63" t="inlineStr">
        <is>
          <t>Codex recording edit</t>
        </is>
      </c>
      <c r="V167" s="64" t="n">
        <v>46314</v>
      </c>
      <c r="W167" s="62" t="inlineStr">
        <is>
          <t>https://opengameart.org/content/equipment-clicks-iii | LFA; https://opengameart.org/content/gun-reload-sounds | SpringySpringo | CC0-1.0</t>
        </is>
      </c>
      <c r="X167" s="56" t="inlineStr">
        <is>
          <t>art_source/audio/sfx/AUD-SFX-RELOAD-CHARGE/source/reload_charge_v001.wav</t>
        </is>
      </c>
      <c r="Y167" s="62" t="inlineStr">
        <is>
          <t>已接入 weapon_profiles；自动资源/正式路由/真实播放器验收通过；人工听感与Android待验；verify_audio_library_flow；docs/v0.1/development/2026-10-19_weapon_audio_profiles.md</t>
        </is>
      </c>
    </row>
    <row r="168" ht="92.5" customHeight="1" s="33">
      <c r="A168" s="61" t="inlineStr">
        <is>
          <t>AUD-SFX-PICKUP-PISTOL</t>
        </is>
      </c>
      <c r="B168" s="62" t="inlineStr">
        <is>
          <t>手枪拾取</t>
        </is>
      </c>
      <c r="C168" s="62" t="inlineStr">
        <is>
          <t>音效</t>
        </is>
      </c>
      <c r="D168" s="63" t="inlineStr">
        <is>
          <t>sfx</t>
        </is>
      </c>
      <c r="E168" s="63" t="inlineStr">
        <is>
          <t>pickup_pistol</t>
        </is>
      </c>
      <c r="F168" s="63" t="inlineStr">
        <is>
          <t>root</t>
        </is>
      </c>
      <c r="G168" s="62" t="n"/>
      <c r="H168" s="62" t="inlineStr">
        <is>
          <t>不适用</t>
        </is>
      </c>
      <c r="I168" s="63" t="inlineStr">
        <is>
          <t>default</t>
        </is>
      </c>
      <c r="J168" s="62" t="inlineStr">
        <is>
          <t>枪种=手枪；枪身=bp_pistol；动作=pickup；事件=world.pickup.item</t>
        </is>
      </c>
      <c r="K168" s="62" t="inlineStr">
        <is>
          <t>原型已接入</t>
        </is>
      </c>
      <c r="L168" s="63" t="inlineStr">
        <is>
          <t>P1</t>
        </is>
      </c>
      <c r="M168" s="63" t="inlineStr">
        <is>
          <t>v001</t>
        </is>
      </c>
      <c r="N168" s="63" t="inlineStr">
        <is>
          <t>44100Hz / mono / PCM24 master / Vorbis q6 / 0.260000s</t>
        </is>
      </c>
      <c r="O168" s="63" t="inlineStr">
        <is>
          <t>src/assets/audio/sfx/pickup_pistol_v001.ogg</t>
        </is>
      </c>
      <c r="P168" s="63" t="inlineStr">
        <is>
          <t>art_source/audio/sfx/AUD-SFX-PICKUP-PISTOL/source/pickup_pistol_v001.wav</t>
        </is>
      </c>
      <c r="Q168" s="63" t="inlineStr">
        <is>
          <t>pickup_pistol；bp_pistol</t>
        </is>
      </c>
      <c r="R168" s="62">
        <f>LOWER(TRIM(C168)&amp;"|"&amp;TRIM(D168)&amp;"|"&amp;TRIM(E168)&amp;"|"&amp;TRIM(F168)&amp;"|"&amp;TRIM(H168)&amp;"|"&amp;TRIM(I168))</f>
        <v/>
      </c>
      <c r="S168" s="62">
        <f>IF(COUNTIF($R$6:$R$183,R168)&gt;1,"重复","唯一")</f>
        <v/>
      </c>
      <c r="T168" s="63" t="inlineStr">
        <is>
          <t>d331b30ad95ca74d5730e2e34c7b698e2a56e9d0bf62b3e174f3c2023f4c563d</t>
        </is>
      </c>
      <c r="U168" s="63" t="inlineStr">
        <is>
          <t>Codex recording edit</t>
        </is>
      </c>
      <c r="V168" s="64" t="n">
        <v>46314</v>
      </c>
      <c r="W168" s="62" t="inlineStr">
        <is>
          <t>https://opengameart.org/content/gun-reload-sounds | SpringySpringo | CC0-1.0</t>
        </is>
      </c>
      <c r="X168" s="56" t="inlineStr">
        <is>
          <t>art_source/audio/sfx/AUD-SFX-PICKUP-PISTOL/source/pickup_pistol_v001.wav</t>
        </is>
      </c>
      <c r="Y168" s="62" t="inlineStr">
        <is>
          <t>已接入 weapon_profiles；自动资源/正式路由/真实播放器验收通过；人工听感与Android待验；verify_audio_library_flow；docs/v0.1/development/2026-10-19_weapon_audio_profiles.md</t>
        </is>
      </c>
    </row>
    <row r="169" ht="92.5" customHeight="1" s="33">
      <c r="A169" s="61" t="inlineStr">
        <is>
          <t>AUD-SFX-PICKUP-RIFLE</t>
        </is>
      </c>
      <c r="B169" s="62" t="inlineStr">
        <is>
          <t>步枪拾取</t>
        </is>
      </c>
      <c r="C169" s="62" t="inlineStr">
        <is>
          <t>音效</t>
        </is>
      </c>
      <c r="D169" s="63" t="inlineStr">
        <is>
          <t>sfx</t>
        </is>
      </c>
      <c r="E169" s="63" t="inlineStr">
        <is>
          <t>pickup_rifle</t>
        </is>
      </c>
      <c r="F169" s="63" t="inlineStr">
        <is>
          <t>root</t>
        </is>
      </c>
      <c r="G169" s="62" t="n"/>
      <c r="H169" s="62" t="inlineStr">
        <is>
          <t>不适用</t>
        </is>
      </c>
      <c r="I169" s="63" t="inlineStr">
        <is>
          <t>default</t>
        </is>
      </c>
      <c r="J169" s="62" t="inlineStr">
        <is>
          <t>枪种=步枪；枪身=bp_rifle,bp_starter_rifle；动作=pickup；事件=world.pickup.item</t>
        </is>
      </c>
      <c r="K169" s="62" t="inlineStr">
        <is>
          <t>原型已接入</t>
        </is>
      </c>
      <c r="L169" s="63" t="inlineStr">
        <is>
          <t>P1</t>
        </is>
      </c>
      <c r="M169" s="63" t="inlineStr">
        <is>
          <t>v001</t>
        </is>
      </c>
      <c r="N169" s="63" t="inlineStr">
        <is>
          <t>44100Hz / mono / PCM24 master / Vorbis q6 / 0.380000s</t>
        </is>
      </c>
      <c r="O169" s="63" t="inlineStr">
        <is>
          <t>src/assets/audio/sfx/pickup_rifle_v001.ogg</t>
        </is>
      </c>
      <c r="P169" s="63" t="inlineStr">
        <is>
          <t>art_source/audio/sfx/AUD-SFX-PICKUP-RIFLE/source/pickup_rifle_v001.wav</t>
        </is>
      </c>
      <c r="Q169" s="63" t="inlineStr">
        <is>
          <t>pickup_rifle；bp_rifle,bp_starter_rifle</t>
        </is>
      </c>
      <c r="R169" s="62">
        <f>LOWER(TRIM(C169)&amp;"|"&amp;TRIM(D169)&amp;"|"&amp;TRIM(E169)&amp;"|"&amp;TRIM(F169)&amp;"|"&amp;TRIM(H169)&amp;"|"&amp;TRIM(I169))</f>
        <v/>
      </c>
      <c r="S169" s="62">
        <f>IF(COUNTIF($R$6:$R$183,R169)&gt;1,"重复","唯一")</f>
        <v/>
      </c>
      <c r="T169" s="63" t="inlineStr">
        <is>
          <t>bfb11330b24e7cbdedfcc117e9658ebb48b53c39f1ff0c237a3f692da20b2cd0</t>
        </is>
      </c>
      <c r="U169" s="63" t="inlineStr">
        <is>
          <t>Codex recording edit</t>
        </is>
      </c>
      <c r="V169" s="64" t="n">
        <v>46314</v>
      </c>
      <c r="W169" s="62" t="inlineStr">
        <is>
          <t>https://opengameart.org/content/gun-reload-sounds | SpringySpringo | CC0-1.0</t>
        </is>
      </c>
      <c r="X169" s="56" t="inlineStr">
        <is>
          <t>art_source/audio/sfx/AUD-SFX-PICKUP-RIFLE/source/pickup_rifle_v001.wav</t>
        </is>
      </c>
      <c r="Y169" s="62" t="inlineStr">
        <is>
          <t>已接入 weapon_profiles；自动资源/正式路由/真实播放器验收通过；人工听感与Android待验；verify_audio_library_flow；docs/v0.1/development/2026-10-19_weapon_audio_profiles.md</t>
        </is>
      </c>
    </row>
    <row r="170" ht="92.5" customHeight="1" s="33">
      <c r="A170" s="61" t="inlineStr">
        <is>
          <t>AUD-SFX-PICKUP-MACHINEGUN</t>
        </is>
      </c>
      <c r="B170" s="62" t="inlineStr">
        <is>
          <t>机枪拾取</t>
        </is>
      </c>
      <c r="C170" s="62" t="inlineStr">
        <is>
          <t>音效</t>
        </is>
      </c>
      <c r="D170" s="63" t="inlineStr">
        <is>
          <t>sfx</t>
        </is>
      </c>
      <c r="E170" s="63" t="inlineStr">
        <is>
          <t>pickup_machinegun</t>
        </is>
      </c>
      <c r="F170" s="63" t="inlineStr">
        <is>
          <t>root</t>
        </is>
      </c>
      <c r="G170" s="62" t="n"/>
      <c r="H170" s="62" t="inlineStr">
        <is>
          <t>不适用</t>
        </is>
      </c>
      <c r="I170" s="63" t="inlineStr">
        <is>
          <t>default</t>
        </is>
      </c>
      <c r="J170" s="62" t="inlineStr">
        <is>
          <t>枪种=机枪；枪身=bp_machinegun,bp_sprinkler；动作=pickup；事件=world.pickup.item</t>
        </is>
      </c>
      <c r="K170" s="62" t="inlineStr">
        <is>
          <t>原型已接入</t>
        </is>
      </c>
      <c r="L170" s="63" t="inlineStr">
        <is>
          <t>P1</t>
        </is>
      </c>
      <c r="M170" s="63" t="inlineStr">
        <is>
          <t>v001</t>
        </is>
      </c>
      <c r="N170" s="63" t="inlineStr">
        <is>
          <t>44100Hz / mono / PCM24 master / Vorbis q6 / 0.390000s</t>
        </is>
      </c>
      <c r="O170" s="63" t="inlineStr">
        <is>
          <t>src/assets/audio/sfx/pickup_machinegun_v001.ogg</t>
        </is>
      </c>
      <c r="P170" s="63" t="inlineStr">
        <is>
          <t>art_source/audio/sfx/AUD-SFX-PICKUP-MACHINEGUN/source/pickup_machinegun_v001.wav</t>
        </is>
      </c>
      <c r="Q170" s="63" t="inlineStr">
        <is>
          <t>pickup_machinegun；bp_machinegun,bp_sprinkler</t>
        </is>
      </c>
      <c r="R170" s="62">
        <f>LOWER(TRIM(C170)&amp;"|"&amp;TRIM(D170)&amp;"|"&amp;TRIM(E170)&amp;"|"&amp;TRIM(F170)&amp;"|"&amp;TRIM(H170)&amp;"|"&amp;TRIM(I170))</f>
        <v/>
      </c>
      <c r="S170" s="62">
        <f>IF(COUNTIF($R$6:$R$183,R170)&gt;1,"重复","唯一")</f>
        <v/>
      </c>
      <c r="T170" s="63" t="inlineStr">
        <is>
          <t>0aaebe759f8381aa954210ee806b55c82dddcc7d3743c47102fe030e547a0364</t>
        </is>
      </c>
      <c r="U170" s="63" t="inlineStr">
        <is>
          <t>Codex recording edit</t>
        </is>
      </c>
      <c r="V170" s="64" t="n">
        <v>46314</v>
      </c>
      <c r="W170" s="62" t="inlineStr">
        <is>
          <t>https://opengameart.org/content/equipment-clicks-iii | LFA | CC0-1.0</t>
        </is>
      </c>
      <c r="X170" s="56" t="inlineStr">
        <is>
          <t>art_source/audio/sfx/AUD-SFX-PICKUP-MACHINEGUN/source/pickup_machinegun_v001.wav</t>
        </is>
      </c>
      <c r="Y170" s="62" t="inlineStr">
        <is>
          <t>已接入 weapon_profiles；自动资源/正式路由/真实播放器验收通过；人工听感与Android待验；verify_audio_library_flow；docs/v0.1/development/2026-10-19_weapon_audio_profiles.md</t>
        </is>
      </c>
    </row>
    <row r="171" ht="92.5" customHeight="1" s="33">
      <c r="A171" s="61" t="inlineStr">
        <is>
          <t>AUD-SFX-PICKUP-SHOTGUN</t>
        </is>
      </c>
      <c r="B171" s="62" t="inlineStr">
        <is>
          <t>霰弹枪拾取</t>
        </is>
      </c>
      <c r="C171" s="62" t="inlineStr">
        <is>
          <t>音效</t>
        </is>
      </c>
      <c r="D171" s="63" t="inlineStr">
        <is>
          <t>sfx</t>
        </is>
      </c>
      <c r="E171" s="63" t="inlineStr">
        <is>
          <t>pickup_shotgun</t>
        </is>
      </c>
      <c r="F171" s="63" t="inlineStr">
        <is>
          <t>root</t>
        </is>
      </c>
      <c r="G171" s="62" t="n"/>
      <c r="H171" s="62" t="inlineStr">
        <is>
          <t>不适用</t>
        </is>
      </c>
      <c r="I171" s="63" t="inlineStr">
        <is>
          <t>default</t>
        </is>
      </c>
      <c r="J171" s="62" t="inlineStr">
        <is>
          <t>枪种=霰弹枪；枪身=bp_shotgun；动作=pickup；事件=world.pickup.item</t>
        </is>
      </c>
      <c r="K171" s="62" t="inlineStr">
        <is>
          <t>原型已接入</t>
        </is>
      </c>
      <c r="L171" s="63" t="inlineStr">
        <is>
          <t>P1</t>
        </is>
      </c>
      <c r="M171" s="63" t="inlineStr">
        <is>
          <t>v001</t>
        </is>
      </c>
      <c r="N171" s="63" t="inlineStr">
        <is>
          <t>44100Hz / mono / PCM24 master / Vorbis q6 / 0.480000s</t>
        </is>
      </c>
      <c r="O171" s="63" t="inlineStr">
        <is>
          <t>src/assets/audio/sfx/pickup_shotgun_v001.ogg</t>
        </is>
      </c>
      <c r="P171" s="63" t="inlineStr">
        <is>
          <t>art_source/audio/sfx/AUD-SFX-PICKUP-SHOTGUN/source/pickup_shotgun_v001.wav</t>
        </is>
      </c>
      <c r="Q171" s="63" t="inlineStr">
        <is>
          <t>pickup_shotgun；bp_shotgun</t>
        </is>
      </c>
      <c r="R171" s="62">
        <f>LOWER(TRIM(C171)&amp;"|"&amp;TRIM(D171)&amp;"|"&amp;TRIM(E171)&amp;"|"&amp;TRIM(F171)&amp;"|"&amp;TRIM(H171)&amp;"|"&amp;TRIM(I171))</f>
        <v/>
      </c>
      <c r="S171" s="62">
        <f>IF(COUNTIF($R$6:$R$183,R171)&gt;1,"重复","唯一")</f>
        <v/>
      </c>
      <c r="T171" s="63" t="inlineStr">
        <is>
          <t>c750cb004085f3d5c58d69e76ca07a294d9c584c049644787ce779fab2ca2495</t>
        </is>
      </c>
      <c r="U171" s="63" t="inlineStr">
        <is>
          <t>Codex recording edit</t>
        </is>
      </c>
      <c r="V171" s="64" t="n">
        <v>46314</v>
      </c>
      <c r="W171" s="62" t="inlineStr">
        <is>
          <t>https://opengameart.org/content/gun-reload-sounds | SpringySpringo | CC0-1.0</t>
        </is>
      </c>
      <c r="X171" s="56" t="inlineStr">
        <is>
          <t>art_source/audio/sfx/AUD-SFX-PICKUP-SHOTGUN/source/pickup_shotgun_v001.wav</t>
        </is>
      </c>
      <c r="Y171" s="62" t="inlineStr">
        <is>
          <t>已接入 weapon_profiles；自动资源/正式路由/真实播放器验收通过；人工听感与Android待验；verify_audio_library_flow；docs/v0.1/development/2026-10-19_weapon_audio_profiles.md</t>
        </is>
      </c>
    </row>
    <row r="172" ht="92.5" customHeight="1" s="33">
      <c r="A172" s="61" t="inlineStr">
        <is>
          <t>AUD-SFX-PICKUP-SNIPER</t>
        </is>
      </c>
      <c r="B172" s="62" t="inlineStr">
        <is>
          <t>狙击枪拾取</t>
        </is>
      </c>
      <c r="C172" s="62" t="inlineStr">
        <is>
          <t>音效</t>
        </is>
      </c>
      <c r="D172" s="63" t="inlineStr">
        <is>
          <t>sfx</t>
        </is>
      </c>
      <c r="E172" s="63" t="inlineStr">
        <is>
          <t>pickup_sniper</t>
        </is>
      </c>
      <c r="F172" s="63" t="inlineStr">
        <is>
          <t>root</t>
        </is>
      </c>
      <c r="G172" s="62" t="n"/>
      <c r="H172" s="62" t="inlineStr">
        <is>
          <t>不适用</t>
        </is>
      </c>
      <c r="I172" s="63" t="inlineStr">
        <is>
          <t>default</t>
        </is>
      </c>
      <c r="J172" s="62" t="inlineStr">
        <is>
          <t>枪种=狙击枪；枪身=bp_sniper；动作=pickup；事件=world.pickup.item</t>
        </is>
      </c>
      <c r="K172" s="62" t="inlineStr">
        <is>
          <t>原型已接入</t>
        </is>
      </c>
      <c r="L172" s="63" t="inlineStr">
        <is>
          <t>P1</t>
        </is>
      </c>
      <c r="M172" s="63" t="inlineStr">
        <is>
          <t>v001</t>
        </is>
      </c>
      <c r="N172" s="63" t="inlineStr">
        <is>
          <t>44100Hz / mono / PCM24 master / Vorbis q6 / 0.420000s</t>
        </is>
      </c>
      <c r="O172" s="63" t="inlineStr">
        <is>
          <t>src/assets/audio/sfx/pickup_sniper_v001.ogg</t>
        </is>
      </c>
      <c r="P172" s="63" t="inlineStr">
        <is>
          <t>art_source/audio/sfx/AUD-SFX-PICKUP-SNIPER/source/pickup_sniper_v001.wav</t>
        </is>
      </c>
      <c r="Q172" s="63" t="inlineStr">
        <is>
          <t>pickup_sniper；bp_sniper</t>
        </is>
      </c>
      <c r="R172" s="62">
        <f>LOWER(TRIM(C172)&amp;"|"&amp;TRIM(D172)&amp;"|"&amp;TRIM(E172)&amp;"|"&amp;TRIM(F172)&amp;"|"&amp;TRIM(H172)&amp;"|"&amp;TRIM(I172))</f>
        <v/>
      </c>
      <c r="S172" s="62">
        <f>IF(COUNTIF($R$6:$R$183,R172)&gt;1,"重复","唯一")</f>
        <v/>
      </c>
      <c r="T172" s="63" t="inlineStr">
        <is>
          <t>418694d51db36f517b665c4baadbb04c415a07a3e2bb63c901c7bf137c99b1e4</t>
        </is>
      </c>
      <c r="U172" s="63" t="inlineStr">
        <is>
          <t>Codex recording edit</t>
        </is>
      </c>
      <c r="V172" s="64" t="n">
        <v>46314</v>
      </c>
      <c r="W172" s="62" t="inlineStr">
        <is>
          <t>https://opengameart.org/content/gun-reload-sounds | SpringySpringo | CC0-1.0</t>
        </is>
      </c>
      <c r="X172" s="56" t="inlineStr">
        <is>
          <t>art_source/audio/sfx/AUD-SFX-PICKUP-SNIPER/source/pickup_sniper_v001.wav</t>
        </is>
      </c>
      <c r="Y172" s="62" t="inlineStr">
        <is>
          <t>已接入 weapon_profiles；自动资源/正式路由/真实播放器验收通过；人工听感与Android待验；verify_audio_library_flow；docs/v0.1/development/2026-10-19_weapon_audio_profiles.md</t>
        </is>
      </c>
    </row>
    <row r="173" ht="92.5" customHeight="1" s="33">
      <c r="A173" s="61" t="inlineStr">
        <is>
          <t>AUD-SFX-PICKUP-LAUNCHER</t>
        </is>
      </c>
      <c r="B173" s="62" t="inlineStr">
        <is>
          <t>榴弹筒拾取</t>
        </is>
      </c>
      <c r="C173" s="62" t="inlineStr">
        <is>
          <t>音效</t>
        </is>
      </c>
      <c r="D173" s="63" t="inlineStr">
        <is>
          <t>sfx</t>
        </is>
      </c>
      <c r="E173" s="63" t="inlineStr">
        <is>
          <t>pickup_launcher</t>
        </is>
      </c>
      <c r="F173" s="63" t="inlineStr">
        <is>
          <t>root</t>
        </is>
      </c>
      <c r="G173" s="62" t="n"/>
      <c r="H173" s="62" t="inlineStr">
        <is>
          <t>不适用</t>
        </is>
      </c>
      <c r="I173" s="63" t="inlineStr">
        <is>
          <t>default</t>
        </is>
      </c>
      <c r="J173" s="62" t="inlineStr">
        <is>
          <t>枪种=榴弹筒；枪身=bp_launcher；动作=pickup；事件=world.pickup.item</t>
        </is>
      </c>
      <c r="K173" s="62" t="inlineStr">
        <is>
          <t>原型已接入</t>
        </is>
      </c>
      <c r="L173" s="63" t="inlineStr">
        <is>
          <t>P1</t>
        </is>
      </c>
      <c r="M173" s="63" t="inlineStr">
        <is>
          <t>v001</t>
        </is>
      </c>
      <c r="N173" s="63" t="inlineStr">
        <is>
          <t>44100Hz / mono / PCM24 master / Vorbis q6 / 0.420000s</t>
        </is>
      </c>
      <c r="O173" s="63" t="inlineStr">
        <is>
          <t>src/assets/audio/sfx/pickup_launcher_v001.ogg</t>
        </is>
      </c>
      <c r="P173" s="63" t="inlineStr">
        <is>
          <t>art_source/audio/sfx/AUD-SFX-PICKUP-LAUNCHER/source/pickup_launcher_v001.wav</t>
        </is>
      </c>
      <c r="Q173" s="63" t="inlineStr">
        <is>
          <t>pickup_launcher；bp_launcher</t>
        </is>
      </c>
      <c r="R173" s="62">
        <f>LOWER(TRIM(C173)&amp;"|"&amp;TRIM(D173)&amp;"|"&amp;TRIM(E173)&amp;"|"&amp;TRIM(F173)&amp;"|"&amp;TRIM(H173)&amp;"|"&amp;TRIM(I173))</f>
        <v/>
      </c>
      <c r="S173" s="62">
        <f>IF(COUNTIF($R$6:$R$183,R173)&gt;1,"重复","唯一")</f>
        <v/>
      </c>
      <c r="T173" s="63" t="inlineStr">
        <is>
          <t>698d604186ed82c729b73aae12ae714ce65976a4247a0a27c26694c1ab9bab64</t>
        </is>
      </c>
      <c r="U173" s="63" t="inlineStr">
        <is>
          <t>Codex recording edit</t>
        </is>
      </c>
      <c r="V173" s="64" t="n">
        <v>46314</v>
      </c>
      <c r="W173" s="62" t="inlineStr">
        <is>
          <t>https://opengameart.org/content/gun-reload-sounds | SpringySpringo | CC0-1.0</t>
        </is>
      </c>
      <c r="X173" s="56" t="inlineStr">
        <is>
          <t>art_source/audio/sfx/AUD-SFX-PICKUP-LAUNCHER/source/pickup_launcher_v001.wav</t>
        </is>
      </c>
      <c r="Y173" s="62" t="inlineStr">
        <is>
          <t>已接入 weapon_profiles；自动资源/正式路由/真实播放器验收通过；人工听感与Android待验；verify_audio_library_flow；docs/v0.1/development/2026-10-19_weapon_audio_profiles.md</t>
        </is>
      </c>
    </row>
    <row r="174" ht="92.5" customHeight="1" s="33">
      <c r="A174" s="61" t="inlineStr">
        <is>
          <t>AUD-SFX-PICKUP-CHARGE</t>
        </is>
      </c>
      <c r="B174" s="62" t="inlineStr">
        <is>
          <t>蓄力炮拾取</t>
        </is>
      </c>
      <c r="C174" s="62" t="inlineStr">
        <is>
          <t>音效</t>
        </is>
      </c>
      <c r="D174" s="63" t="inlineStr">
        <is>
          <t>sfx</t>
        </is>
      </c>
      <c r="E174" s="63" t="inlineStr">
        <is>
          <t>pickup_charge</t>
        </is>
      </c>
      <c r="F174" s="63" t="inlineStr">
        <is>
          <t>root</t>
        </is>
      </c>
      <c r="G174" s="62" t="n"/>
      <c r="H174" s="62" t="inlineStr">
        <is>
          <t>不适用</t>
        </is>
      </c>
      <c r="I174" s="63" t="inlineStr">
        <is>
          <t>default</t>
        </is>
      </c>
      <c r="J174" s="62" t="inlineStr">
        <is>
          <t>枪种=蓄力炮；枪身=bp_charge；动作=pickup；事件=world.pickup.item</t>
        </is>
      </c>
      <c r="K174" s="62" t="inlineStr">
        <is>
          <t>原型已接入</t>
        </is>
      </c>
      <c r="L174" s="63" t="inlineStr">
        <is>
          <t>P1</t>
        </is>
      </c>
      <c r="M174" s="63" t="inlineStr">
        <is>
          <t>v001</t>
        </is>
      </c>
      <c r="N174" s="63" t="inlineStr">
        <is>
          <t>44100Hz / mono / PCM24 master / Vorbis q6 / 0.520000s</t>
        </is>
      </c>
      <c r="O174" s="63" t="inlineStr">
        <is>
          <t>src/assets/audio/sfx/pickup_charge_v001.ogg</t>
        </is>
      </c>
      <c r="P174" s="63" t="inlineStr">
        <is>
          <t>art_source/audio/sfx/AUD-SFX-PICKUP-CHARGE/source/pickup_charge_v001.wav</t>
        </is>
      </c>
      <c r="Q174" s="63" t="inlineStr">
        <is>
          <t>pickup_charge；bp_charge</t>
        </is>
      </c>
      <c r="R174" s="62">
        <f>LOWER(TRIM(C174)&amp;"|"&amp;TRIM(D174)&amp;"|"&amp;TRIM(E174)&amp;"|"&amp;TRIM(F174)&amp;"|"&amp;TRIM(H174)&amp;"|"&amp;TRIM(I174))</f>
        <v/>
      </c>
      <c r="S174" s="62">
        <f>IF(COUNTIF($R$6:$R$183,R174)&gt;1,"重复","唯一")</f>
        <v/>
      </c>
      <c r="T174" s="63" t="inlineStr">
        <is>
          <t>8f854b54bac7100f467ab63ad385172780ff3aa53915968598a869b8c7662a8f</t>
        </is>
      </c>
      <c r="U174" s="63" t="inlineStr">
        <is>
          <t>Codex recording edit</t>
        </is>
      </c>
      <c r="V174" s="64" t="n">
        <v>46314</v>
      </c>
      <c r="W174" s="62" t="inlineStr">
        <is>
          <t>https://opengameart.org/content/equipment-clicks-iii | LFA; https://opengameart.org/content/gun-reload-sounds | SpringySpringo | CC0-1.0</t>
        </is>
      </c>
      <c r="X174" s="56" t="inlineStr">
        <is>
          <t>art_source/audio/sfx/AUD-SFX-PICKUP-CHARGE/source/pickup_charge_v001.wav</t>
        </is>
      </c>
      <c r="Y174" s="62" t="inlineStr">
        <is>
          <t>已接入 weapon_profiles；自动资源/正式路由/真实播放器验收通过；人工听感与Android待验；verify_audio_library_flow；docs/v0.1/development/2026-10-19_weapon_audio_profiles.md</t>
        </is>
      </c>
    </row>
    <row r="175" ht="92.5" customHeight="1" s="33">
      <c r="A175" s="57" t="inlineStr">
        <is>
          <t>AUD-SFX-FOOTSTEP-WOOD</t>
        </is>
      </c>
      <c r="B175" s="44" t="inlineStr">
        <is>
          <t>木地板脚步</t>
        </is>
      </c>
      <c r="C175" s="44" t="inlineStr">
        <is>
          <t>音效</t>
        </is>
      </c>
      <c r="D175" s="57" t="inlineStr">
        <is>
          <t>sfx</t>
        </is>
      </c>
      <c r="E175" s="57" t="inlineStr">
        <is>
          <t>footstep_wood</t>
        </is>
      </c>
      <c r="F175" s="57" t="inlineStr">
        <is>
          <t>root</t>
        </is>
      </c>
      <c r="G175" s="44" t="n"/>
      <c r="H175" s="44" t="inlineStr">
        <is>
          <t>不适用</t>
        </is>
      </c>
      <c r="I175" s="57" t="inlineStr">
        <is>
          <t>default</t>
        </is>
      </c>
      <c r="J175" s="44" t="inlineStr">
        <is>
          <t>player.footstep.wood</t>
        </is>
      </c>
      <c r="K175" s="44" t="inlineStr">
        <is>
          <t>原型已接入</t>
        </is>
      </c>
      <c r="L175" s="57" t="inlineStr">
        <is>
          <t>P2</t>
        </is>
      </c>
      <c r="M175" s="57" t="inlineStr">
        <is>
          <t>v001</t>
        </is>
      </c>
      <c r="N175" s="57" t="inlineStr">
        <is>
          <t>44100Hz / mono / PCM24 master / Vorbis q6 / 0.38s</t>
        </is>
      </c>
      <c r="O175" s="57" t="inlineStr">
        <is>
          <t>src/assets/audio/sfx/footstep_wood_v001.ogg</t>
        </is>
      </c>
      <c r="P175" s="57" t="inlineStr">
        <is>
          <t>art_source/audio/sfx/AUD-SFX-FOOTSTEP-WOOD/source/footstep_wood_v001.wav</t>
        </is>
      </c>
      <c r="Q175" s="57" t="inlineStr">
        <is>
          <t>footstep_wood</t>
        </is>
      </c>
      <c r="R175" s="44">
        <f>LOWER(TRIM(C175)&amp;"|"&amp;TRIM(D175)&amp;"|"&amp;TRIM(E175)&amp;"|"&amp;TRIM(F175)&amp;"|"&amp;TRIM(H175)&amp;"|"&amp;TRIM(I175))</f>
        <v/>
      </c>
      <c r="S175" s="44">
        <f>IF(COUNTIF($R$6:$R$183,R175)&gt;1,"重复","唯一")</f>
        <v/>
      </c>
      <c r="T175" s="57" t="inlineStr">
        <is>
          <t>deb705dbe6911df40f30825176148a47266b39c072081114465b24e6ea6b423c</t>
        </is>
      </c>
      <c r="U175" s="57" t="inlineStr">
        <is>
          <t>Codex audio integration</t>
        </is>
      </c>
      <c r="V175" s="58" t="n">
        <v>46314</v>
      </c>
      <c r="W175" s="44" t="inlineStr">
        <is>
          <t>https://kenney.nl/assets/impact-sounds | Kenney | CC0-1.0</t>
        </is>
      </c>
      <c r="X175" s="56" t="inlineStr">
        <is>
          <t>art_source/audio/sfx/AUD-SFX-FOOTSTEP-WOOD/source/footstep_wood_v001.wav</t>
        </is>
      </c>
      <c r="Y175" s="44" t="inlineStr">
        <is>
          <t>WorldAudioEnvironment3D / RoomLightSwitch3D 正式场景触发已接入；验收 verify_world_environment_audio_flow；人工听感/Android待验</t>
        </is>
      </c>
    </row>
    <row r="176" ht="92.5" customHeight="1" s="33">
      <c r="A176" s="57" t="inlineStr">
        <is>
          <t>AUD-SFX-FOOTSTEP-WOOD-VAR02</t>
        </is>
      </c>
      <c r="B176" s="44" t="inlineStr">
        <is>
          <t>木地板脚步（变体02）</t>
        </is>
      </c>
      <c r="C176" s="44" t="inlineStr">
        <is>
          <t>音效</t>
        </is>
      </c>
      <c r="D176" s="57" t="inlineStr">
        <is>
          <t>sfx</t>
        </is>
      </c>
      <c r="E176" s="57" t="inlineStr">
        <is>
          <t>footstep_wood</t>
        </is>
      </c>
      <c r="F176" s="57" t="inlineStr">
        <is>
          <t>var02</t>
        </is>
      </c>
      <c r="G176" s="44" t="inlineStr">
        <is>
          <t>AUD-SFX-FOOTSTEP-WOOD</t>
        </is>
      </c>
      <c r="H176" s="44" t="inlineStr">
        <is>
          <t>不适用</t>
        </is>
      </c>
      <c r="I176" s="57" t="inlineStr">
        <is>
          <t>default</t>
        </is>
      </c>
      <c r="J176" s="44" t="inlineStr">
        <is>
          <t>player.footstep.wood</t>
        </is>
      </c>
      <c r="K176" s="44" t="inlineStr">
        <is>
          <t>原型已接入</t>
        </is>
      </c>
      <c r="L176" s="57" t="inlineStr">
        <is>
          <t>P2</t>
        </is>
      </c>
      <c r="M176" s="57" t="inlineStr">
        <is>
          <t>v001</t>
        </is>
      </c>
      <c r="N176" s="57" t="inlineStr">
        <is>
          <t>44100Hz / mono / PCM24 master / Vorbis q6 / 0.38s</t>
        </is>
      </c>
      <c r="O176" s="57" t="inlineStr">
        <is>
          <t>src/assets/audio/sfx/footstep_wood_alt02_v001.ogg</t>
        </is>
      </c>
      <c r="P176" s="57" t="inlineStr">
        <is>
          <t>art_source/audio/sfx/AUD-SFX-FOOTSTEP-WOOD-VAR02/source/footstep_wood_alt02_v001.wav</t>
        </is>
      </c>
      <c r="Q176" s="57" t="inlineStr">
        <is>
          <t>footstep_wood</t>
        </is>
      </c>
      <c r="R176" s="44">
        <f>LOWER(TRIM(C176)&amp;"|"&amp;TRIM(D176)&amp;"|"&amp;TRIM(E176)&amp;"|"&amp;TRIM(F176)&amp;"|"&amp;TRIM(H176)&amp;"|"&amp;TRIM(I176))</f>
        <v/>
      </c>
      <c r="S176" s="44">
        <f>IF(COUNTIF($R$6:$R$183,R176)&gt;1,"重复","唯一")</f>
        <v/>
      </c>
      <c r="T176" s="57" t="inlineStr">
        <is>
          <t>d219356964958a2c30a9a0fee12209f131358d51b8b06d614a32ab40961b71c5</t>
        </is>
      </c>
      <c r="U176" s="57" t="inlineStr">
        <is>
          <t>Codex audio integration</t>
        </is>
      </c>
      <c r="V176" s="58" t="n">
        <v>46314</v>
      </c>
      <c r="W176" s="44" t="inlineStr">
        <is>
          <t>https://kenney.nl/assets/impact-sounds | Kenney | CC0-1.0</t>
        </is>
      </c>
      <c r="X176" s="56" t="inlineStr">
        <is>
          <t>art_source/audio/sfx/AUD-SFX-FOOTSTEP-WOOD-VAR02/source/footstep_wood_alt02_v001.wav</t>
        </is>
      </c>
      <c r="Y176" s="44" t="inlineStr">
        <is>
          <t>WorldAudioEnvironment3D / RoomLightSwitch3D 正式场景触发已接入；验收 verify_world_environment_audio_flow；人工听感/Android待验</t>
        </is>
      </c>
    </row>
    <row r="177" ht="92.5" customHeight="1" s="33">
      <c r="A177" s="57" t="inlineStr">
        <is>
          <t>AUD-SFX-FOOTSTEP-WOOD-VAR03</t>
        </is>
      </c>
      <c r="B177" s="44" t="inlineStr">
        <is>
          <t>木地板脚步（变体03）</t>
        </is>
      </c>
      <c r="C177" s="44" t="inlineStr">
        <is>
          <t>音效</t>
        </is>
      </c>
      <c r="D177" s="57" t="inlineStr">
        <is>
          <t>sfx</t>
        </is>
      </c>
      <c r="E177" s="57" t="inlineStr">
        <is>
          <t>footstep_wood</t>
        </is>
      </c>
      <c r="F177" s="57" t="inlineStr">
        <is>
          <t>var03</t>
        </is>
      </c>
      <c r="G177" s="44" t="inlineStr">
        <is>
          <t>AUD-SFX-FOOTSTEP-WOOD</t>
        </is>
      </c>
      <c r="H177" s="44" t="inlineStr">
        <is>
          <t>不适用</t>
        </is>
      </c>
      <c r="I177" s="57" t="inlineStr">
        <is>
          <t>default</t>
        </is>
      </c>
      <c r="J177" s="44" t="inlineStr">
        <is>
          <t>player.footstep.wood</t>
        </is>
      </c>
      <c r="K177" s="44" t="inlineStr">
        <is>
          <t>原型已接入</t>
        </is>
      </c>
      <c r="L177" s="57" t="inlineStr">
        <is>
          <t>P2</t>
        </is>
      </c>
      <c r="M177" s="57" t="inlineStr">
        <is>
          <t>v001</t>
        </is>
      </c>
      <c r="N177" s="57" t="inlineStr">
        <is>
          <t>44100Hz / mono / PCM24 master / Vorbis q6 / 0.38s</t>
        </is>
      </c>
      <c r="O177" s="57" t="inlineStr">
        <is>
          <t>src/assets/audio/sfx/footstep_wood_alt03_v001.ogg</t>
        </is>
      </c>
      <c r="P177" s="57" t="inlineStr">
        <is>
          <t>art_source/audio/sfx/AUD-SFX-FOOTSTEP-WOOD-VAR03/source/footstep_wood_alt03_v001.wav</t>
        </is>
      </c>
      <c r="Q177" s="57" t="inlineStr">
        <is>
          <t>footstep_wood</t>
        </is>
      </c>
      <c r="R177" s="44">
        <f>LOWER(TRIM(C177)&amp;"|"&amp;TRIM(D177)&amp;"|"&amp;TRIM(E177)&amp;"|"&amp;TRIM(F177)&amp;"|"&amp;TRIM(H177)&amp;"|"&amp;TRIM(I177))</f>
        <v/>
      </c>
      <c r="S177" s="44">
        <f>IF(COUNTIF($R$6:$R$183,R177)&gt;1,"重复","唯一")</f>
        <v/>
      </c>
      <c r="T177" s="57" t="inlineStr">
        <is>
          <t>d2530f602317a9c5fd805ad3d4ed37b195b8b5a5838e4f769abd13c4c66fefaf</t>
        </is>
      </c>
      <c r="U177" s="57" t="inlineStr">
        <is>
          <t>Codex audio integration</t>
        </is>
      </c>
      <c r="V177" s="58" t="n">
        <v>46314</v>
      </c>
      <c r="W177" s="44" t="inlineStr">
        <is>
          <t>https://kenney.nl/assets/impact-sounds | Kenney | CC0-1.0</t>
        </is>
      </c>
      <c r="X177" s="56" t="inlineStr">
        <is>
          <t>art_source/audio/sfx/AUD-SFX-FOOTSTEP-WOOD-VAR03/source/footstep_wood_alt03_v001.wav</t>
        </is>
      </c>
      <c r="Y177" s="44" t="inlineStr">
        <is>
          <t>WorldAudioEnvironment3D / RoomLightSwitch3D 正式场景触发已接入；验收 verify_world_environment_audio_flow；人工听感/Android待验</t>
        </is>
      </c>
    </row>
    <row r="178" ht="92.5" customHeight="1" s="33">
      <c r="A178" s="57" t="inlineStr">
        <is>
          <t>AUD-SFX-FOOTSTEP-WOOD-VAR04</t>
        </is>
      </c>
      <c r="B178" s="44" t="inlineStr">
        <is>
          <t>木地板脚步（变体04）</t>
        </is>
      </c>
      <c r="C178" s="44" t="inlineStr">
        <is>
          <t>音效</t>
        </is>
      </c>
      <c r="D178" s="57" t="inlineStr">
        <is>
          <t>sfx</t>
        </is>
      </c>
      <c r="E178" s="57" t="inlineStr">
        <is>
          <t>footstep_wood</t>
        </is>
      </c>
      <c r="F178" s="57" t="inlineStr">
        <is>
          <t>var04</t>
        </is>
      </c>
      <c r="G178" s="44" t="inlineStr">
        <is>
          <t>AUD-SFX-FOOTSTEP-WOOD</t>
        </is>
      </c>
      <c r="H178" s="44" t="inlineStr">
        <is>
          <t>不适用</t>
        </is>
      </c>
      <c r="I178" s="57" t="inlineStr">
        <is>
          <t>default</t>
        </is>
      </c>
      <c r="J178" s="44" t="inlineStr">
        <is>
          <t>player.footstep.wood</t>
        </is>
      </c>
      <c r="K178" s="44" t="inlineStr">
        <is>
          <t>原型已接入</t>
        </is>
      </c>
      <c r="L178" s="57" t="inlineStr">
        <is>
          <t>P2</t>
        </is>
      </c>
      <c r="M178" s="57" t="inlineStr">
        <is>
          <t>v001</t>
        </is>
      </c>
      <c r="N178" s="57" t="inlineStr">
        <is>
          <t>44100Hz / mono / PCM24 master / Vorbis q6 / 0.38s</t>
        </is>
      </c>
      <c r="O178" s="57" t="inlineStr">
        <is>
          <t>src/assets/audio/sfx/footstep_wood_alt04_v001.ogg</t>
        </is>
      </c>
      <c r="P178" s="57" t="inlineStr">
        <is>
          <t>art_source/audio/sfx/AUD-SFX-FOOTSTEP-WOOD-VAR04/source/footstep_wood_alt04_v001.wav</t>
        </is>
      </c>
      <c r="Q178" s="57" t="inlineStr">
        <is>
          <t>footstep_wood</t>
        </is>
      </c>
      <c r="R178" s="44">
        <f>LOWER(TRIM(C178)&amp;"|"&amp;TRIM(D178)&amp;"|"&amp;TRIM(E178)&amp;"|"&amp;TRIM(F178)&amp;"|"&amp;TRIM(H178)&amp;"|"&amp;TRIM(I178))</f>
        <v/>
      </c>
      <c r="S178" s="44">
        <f>IF(COUNTIF($R$6:$R$183,R178)&gt;1,"重复","唯一")</f>
        <v/>
      </c>
      <c r="T178" s="57" t="inlineStr">
        <is>
          <t>a34a537940d3695fc8f14b4277d4cc23ca177eef088e322b5a8e9803aa280bc0</t>
        </is>
      </c>
      <c r="U178" s="57" t="inlineStr">
        <is>
          <t>Codex audio integration</t>
        </is>
      </c>
      <c r="V178" s="58" t="n">
        <v>46314</v>
      </c>
      <c r="W178" s="44" t="inlineStr">
        <is>
          <t>https://kenney.nl/assets/impact-sounds | Kenney | CC0-1.0</t>
        </is>
      </c>
      <c r="X178" s="56" t="inlineStr">
        <is>
          <t>art_source/audio/sfx/AUD-SFX-FOOTSTEP-WOOD-VAR04/source/footstep_wood_alt04_v001.wav</t>
        </is>
      </c>
      <c r="Y178" s="44" t="inlineStr">
        <is>
          <t>WorldAudioEnvironment3D / RoomLightSwitch3D 正式场景触发已接入；验收 verify_world_environment_audio_flow；人工听感/Android待验</t>
        </is>
      </c>
    </row>
    <row r="179" ht="92.5" customHeight="1" s="33">
      <c r="A179" s="57" t="inlineStr">
        <is>
          <t>AUD-SFX-OUTDOOR-BIRD</t>
        </is>
      </c>
      <c r="B179" s="44" t="inlineStr">
        <is>
          <t>户外鸟叫</t>
        </is>
      </c>
      <c r="C179" s="44" t="inlineStr">
        <is>
          <t>音效</t>
        </is>
      </c>
      <c r="D179" s="57" t="inlineStr">
        <is>
          <t>sfx</t>
        </is>
      </c>
      <c r="E179" s="57" t="inlineStr">
        <is>
          <t>outdoor_bird</t>
        </is>
      </c>
      <c r="F179" s="57" t="inlineStr">
        <is>
          <t>root</t>
        </is>
      </c>
      <c r="G179" s="44" t="n"/>
      <c r="H179" s="44" t="inlineStr">
        <is>
          <t>不适用</t>
        </is>
      </c>
      <c r="I179" s="57" t="inlineStr">
        <is>
          <t>default</t>
        </is>
      </c>
      <c r="J179" s="44" t="inlineStr">
        <is>
          <t>amb.outdoor_bird</t>
        </is>
      </c>
      <c r="K179" s="44" t="inlineStr">
        <is>
          <t>原型已接入</t>
        </is>
      </c>
      <c r="L179" s="57" t="inlineStr">
        <is>
          <t>P2</t>
        </is>
      </c>
      <c r="M179" s="57" t="inlineStr">
        <is>
          <t>v001</t>
        </is>
      </c>
      <c r="N179" s="57" t="inlineStr">
        <is>
          <t>44100Hz / mono / PCM24 master / Vorbis q6 / 0.95s</t>
        </is>
      </c>
      <c r="O179" s="57" t="inlineStr">
        <is>
          <t>src/assets/audio/sfx/outdoor_bird_v001.ogg</t>
        </is>
      </c>
      <c r="P179" s="57" t="inlineStr">
        <is>
          <t>art_source/audio/sfx/AUD-SFX-OUTDOOR-BIRD/source/outdoor_bird_v001.wav</t>
        </is>
      </c>
      <c r="Q179" s="57" t="inlineStr">
        <is>
          <t>outdoor_bird</t>
        </is>
      </c>
      <c r="R179" s="44">
        <f>LOWER(TRIM(C179)&amp;"|"&amp;TRIM(D179)&amp;"|"&amp;TRIM(E179)&amp;"|"&amp;TRIM(F179)&amp;"|"&amp;TRIM(H179)&amp;"|"&amp;TRIM(I179))</f>
        <v/>
      </c>
      <c r="S179" s="44">
        <f>IF(COUNTIF($R$6:$R$183,R179)&gt;1,"重复","唯一")</f>
        <v/>
      </c>
      <c r="T179" s="57" t="inlineStr">
        <is>
          <t>aaa4b49595820ab95b700b9111b251643d3676d12e825d3e312930e1958e870b</t>
        </is>
      </c>
      <c r="U179" s="57" t="inlineStr">
        <is>
          <t>Codex audio integration</t>
        </is>
      </c>
      <c r="V179" s="58" t="n">
        <v>46314</v>
      </c>
      <c r="W179" s="44" t="inlineStr">
        <is>
          <t>https://opengameart.org/content/bird-chirping-sounds | syncopika | CC0-1.0</t>
        </is>
      </c>
      <c r="X179" s="56" t="inlineStr">
        <is>
          <t>art_source/audio/sfx/AUD-SFX-OUTDOOR-BIRD/source/outdoor_bird_v001.wav</t>
        </is>
      </c>
      <c r="Y179" s="44" t="inlineStr">
        <is>
          <t>WorldAudioEnvironment3D / RoomLightSwitch3D 正式场景触发已接入；验收 verify_world_environment_audio_flow；人工听感/Android待验</t>
        </is>
      </c>
    </row>
    <row r="180" ht="92.5" customHeight="1" s="33">
      <c r="A180" s="57" t="inlineStr">
        <is>
          <t>AUD-SFX-OUTDOOR-BIRD-VAR02</t>
        </is>
      </c>
      <c r="B180" s="44" t="inlineStr">
        <is>
          <t>户外鸟叫（变体02）</t>
        </is>
      </c>
      <c r="C180" s="44" t="inlineStr">
        <is>
          <t>音效</t>
        </is>
      </c>
      <c r="D180" s="57" t="inlineStr">
        <is>
          <t>sfx</t>
        </is>
      </c>
      <c r="E180" s="57" t="inlineStr">
        <is>
          <t>outdoor_bird</t>
        </is>
      </c>
      <c r="F180" s="57" t="inlineStr">
        <is>
          <t>var02</t>
        </is>
      </c>
      <c r="G180" s="44" t="inlineStr">
        <is>
          <t>AUD-SFX-OUTDOOR-BIRD</t>
        </is>
      </c>
      <c r="H180" s="44" t="inlineStr">
        <is>
          <t>不适用</t>
        </is>
      </c>
      <c r="I180" s="57" t="inlineStr">
        <is>
          <t>default</t>
        </is>
      </c>
      <c r="J180" s="44" t="inlineStr">
        <is>
          <t>amb.outdoor_bird</t>
        </is>
      </c>
      <c r="K180" s="44" t="inlineStr">
        <is>
          <t>原型已接入</t>
        </is>
      </c>
      <c r="L180" s="57" t="inlineStr">
        <is>
          <t>P2</t>
        </is>
      </c>
      <c r="M180" s="57" t="inlineStr">
        <is>
          <t>v001</t>
        </is>
      </c>
      <c r="N180" s="57" t="inlineStr">
        <is>
          <t>44100Hz / mono / PCM24 master / Vorbis q6 / 0.95s</t>
        </is>
      </c>
      <c r="O180" s="57" t="inlineStr">
        <is>
          <t>src/assets/audio/sfx/outdoor_bird_alt02_v001.ogg</t>
        </is>
      </c>
      <c r="P180" s="57" t="inlineStr">
        <is>
          <t>art_source/audio/sfx/AUD-SFX-OUTDOOR-BIRD-VAR02/source/outdoor_bird_alt02_v001.wav</t>
        </is>
      </c>
      <c r="Q180" s="57" t="inlineStr">
        <is>
          <t>outdoor_bird</t>
        </is>
      </c>
      <c r="R180" s="44">
        <f>LOWER(TRIM(C180)&amp;"|"&amp;TRIM(D180)&amp;"|"&amp;TRIM(E180)&amp;"|"&amp;TRIM(F180)&amp;"|"&amp;TRIM(H180)&amp;"|"&amp;TRIM(I180))</f>
        <v/>
      </c>
      <c r="S180" s="44">
        <f>IF(COUNTIF($R$6:$R$183,R180)&gt;1,"重复","唯一")</f>
        <v/>
      </c>
      <c r="T180" s="57" t="inlineStr">
        <is>
          <t>b889da366c8476fac7bb9282e4d8325dc8b94564ec2cb3143370cfc5a552a456</t>
        </is>
      </c>
      <c r="U180" s="57" t="inlineStr">
        <is>
          <t>Codex audio integration</t>
        </is>
      </c>
      <c r="V180" s="58" t="n">
        <v>46314</v>
      </c>
      <c r="W180" s="44" t="inlineStr">
        <is>
          <t>https://opengameart.org/content/bird-chirping-sounds | syncopika | CC0-1.0</t>
        </is>
      </c>
      <c r="X180" s="56" t="inlineStr">
        <is>
          <t>art_source/audio/sfx/AUD-SFX-OUTDOOR-BIRD-VAR02/source/outdoor_bird_alt02_v001.wav</t>
        </is>
      </c>
      <c r="Y180" s="44" t="inlineStr">
        <is>
          <t>WorldAudioEnvironment3D / RoomLightSwitch3D 正式场景触发已接入；验收 verify_world_environment_audio_flow；人工听感/Android待验</t>
        </is>
      </c>
    </row>
    <row r="181" ht="92.5" customHeight="1" s="33">
      <c r="A181" s="57" t="inlineStr">
        <is>
          <t>AUD-SFX-OUTDOOR-BIRD-VAR03</t>
        </is>
      </c>
      <c r="B181" s="44" t="inlineStr">
        <is>
          <t>户外鸟叫（变体03）</t>
        </is>
      </c>
      <c r="C181" s="44" t="inlineStr">
        <is>
          <t>音效</t>
        </is>
      </c>
      <c r="D181" s="57" t="inlineStr">
        <is>
          <t>sfx</t>
        </is>
      </c>
      <c r="E181" s="57" t="inlineStr">
        <is>
          <t>outdoor_bird</t>
        </is>
      </c>
      <c r="F181" s="57" t="inlineStr">
        <is>
          <t>var03</t>
        </is>
      </c>
      <c r="G181" s="44" t="inlineStr">
        <is>
          <t>AUD-SFX-OUTDOOR-BIRD</t>
        </is>
      </c>
      <c r="H181" s="44" t="inlineStr">
        <is>
          <t>不适用</t>
        </is>
      </c>
      <c r="I181" s="57" t="inlineStr">
        <is>
          <t>default</t>
        </is>
      </c>
      <c r="J181" s="44" t="inlineStr">
        <is>
          <t>amb.outdoor_bird</t>
        </is>
      </c>
      <c r="K181" s="44" t="inlineStr">
        <is>
          <t>原型已接入</t>
        </is>
      </c>
      <c r="L181" s="57" t="inlineStr">
        <is>
          <t>P2</t>
        </is>
      </c>
      <c r="M181" s="57" t="inlineStr">
        <is>
          <t>v001</t>
        </is>
      </c>
      <c r="N181" s="57" t="inlineStr">
        <is>
          <t>44100Hz / mono / PCM24 master / Vorbis q6 / 0.95s</t>
        </is>
      </c>
      <c r="O181" s="57" t="inlineStr">
        <is>
          <t>src/assets/audio/sfx/outdoor_bird_alt03_v001.ogg</t>
        </is>
      </c>
      <c r="P181" s="57" t="inlineStr">
        <is>
          <t>art_source/audio/sfx/AUD-SFX-OUTDOOR-BIRD-VAR03/source/outdoor_bird_alt03_v001.wav</t>
        </is>
      </c>
      <c r="Q181" s="57" t="inlineStr">
        <is>
          <t>outdoor_bird</t>
        </is>
      </c>
      <c r="R181" s="44">
        <f>LOWER(TRIM(C181)&amp;"|"&amp;TRIM(D181)&amp;"|"&amp;TRIM(E181)&amp;"|"&amp;TRIM(F181)&amp;"|"&amp;TRIM(H181)&amp;"|"&amp;TRIM(I181))</f>
        <v/>
      </c>
      <c r="S181" s="44">
        <f>IF(COUNTIF($R$6:$R$183,R181)&gt;1,"重复","唯一")</f>
        <v/>
      </c>
      <c r="T181" s="57" t="inlineStr">
        <is>
          <t>91d3db0c06210faa3efb854c673045d639334eb72f87b088665b4fee39b9e065</t>
        </is>
      </c>
      <c r="U181" s="57" t="inlineStr">
        <is>
          <t>Codex audio integration</t>
        </is>
      </c>
      <c r="V181" s="58" t="n">
        <v>46314</v>
      </c>
      <c r="W181" s="44" t="inlineStr">
        <is>
          <t>https://opengameart.org/content/bird-chirping-sounds | syncopika | CC0-1.0</t>
        </is>
      </c>
      <c r="X181" s="56" t="inlineStr">
        <is>
          <t>art_source/audio/sfx/AUD-SFX-OUTDOOR-BIRD-VAR03/source/outdoor_bird_alt03_v001.wav</t>
        </is>
      </c>
      <c r="Y181" s="44" t="inlineStr">
        <is>
          <t>WorldAudioEnvironment3D / RoomLightSwitch3D 正式场景触发已接入；验收 verify_world_environment_audio_flow；人工听感/Android待验</t>
        </is>
      </c>
    </row>
    <row r="182" ht="92.5" customHeight="1" s="33">
      <c r="A182" s="57" t="inlineStr">
        <is>
          <t>AUD-SFX-AMB-FAN</t>
        </is>
      </c>
      <c r="B182" s="44" t="inlineStr">
        <is>
          <t>风扇运转</t>
        </is>
      </c>
      <c r="C182" s="44" t="inlineStr">
        <is>
          <t>音效</t>
        </is>
      </c>
      <c r="D182" s="57" t="inlineStr">
        <is>
          <t>ambience</t>
        </is>
      </c>
      <c r="E182" s="57" t="inlineStr">
        <is>
          <t>amb_fan</t>
        </is>
      </c>
      <c r="F182" s="57" t="inlineStr">
        <is>
          <t>root</t>
        </is>
      </c>
      <c r="G182" s="44" t="n"/>
      <c r="H182" s="44" t="inlineStr">
        <is>
          <t>不适用</t>
        </is>
      </c>
      <c r="I182" s="57" t="inlineStr">
        <is>
          <t>default</t>
        </is>
      </c>
      <c r="J182" s="44" t="inlineStr">
        <is>
          <t>amb.fan</t>
        </is>
      </c>
      <c r="K182" s="44" t="inlineStr">
        <is>
          <t>原型已接入</t>
        </is>
      </c>
      <c r="L182" s="57" t="inlineStr">
        <is>
          <t>P2</t>
        </is>
      </c>
      <c r="M182" s="57" t="inlineStr">
        <is>
          <t>v001</t>
        </is>
      </c>
      <c r="N182" s="57" t="inlineStr">
        <is>
          <t>44100Hz / mono / PCM24 master / Vorbis q6 / 8s</t>
        </is>
      </c>
      <c r="O182" s="57" t="inlineStr">
        <is>
          <t>src/assets/audio/sfx/amb_fan_v001.ogg</t>
        </is>
      </c>
      <c r="P182" s="57" t="inlineStr">
        <is>
          <t>art_source/audio/sfx/AUD-SFX-AMB-FAN/source/amb_fan_v001.wav</t>
        </is>
      </c>
      <c r="Q182" s="57" t="inlineStr">
        <is>
          <t>amb_fan</t>
        </is>
      </c>
      <c r="R182" s="44">
        <f>LOWER(TRIM(C182)&amp;"|"&amp;TRIM(D182)&amp;"|"&amp;TRIM(E182)&amp;"|"&amp;TRIM(F182)&amp;"|"&amp;TRIM(H182)&amp;"|"&amp;TRIM(I182))</f>
        <v/>
      </c>
      <c r="S182" s="44">
        <f>IF(COUNTIF($R$6:$R$183,R182)&gt;1,"重复","唯一")</f>
        <v/>
      </c>
      <c r="T182" s="57" t="inlineStr">
        <is>
          <t>41dd52b810fe7b32d8ac499560dac3e2915fcc3f5af0b807d36b1de24f040ab5</t>
        </is>
      </c>
      <c r="U182" s="57" t="inlineStr">
        <is>
          <t>Codex audio integration</t>
        </is>
      </c>
      <c r="V182" s="58" t="n">
        <v>46314</v>
      </c>
      <c r="W182" s="44" t="inlineStr">
        <is>
          <t>https://opengameart.org/content/broken-fan-loop | dklon | CC-BY-3.0</t>
        </is>
      </c>
      <c r="X182" s="56" t="inlineStr">
        <is>
          <t>art_source/audio/sfx/AUD-SFX-AMB-FAN/source/amb_fan_v001.wav</t>
        </is>
      </c>
      <c r="Y182" s="44" t="inlineStr">
        <is>
          <t>WorldAudioEnvironment3D / RoomLightSwitch3D 正式场景触发已接入；验收 verify_world_environment_audio_flow；人工听感/Android待验</t>
        </is>
      </c>
    </row>
    <row r="183" ht="92.5" customHeight="1" s="33">
      <c r="A183" s="57" t="inlineStr">
        <is>
          <t>AUD-SFX-AMB-BLOWER</t>
        </is>
      </c>
      <c r="B183" s="44" t="inlineStr">
        <is>
          <t>鼓风机气流</t>
        </is>
      </c>
      <c r="C183" s="44" t="inlineStr">
        <is>
          <t>音效</t>
        </is>
      </c>
      <c r="D183" s="57" t="inlineStr">
        <is>
          <t>ambience</t>
        </is>
      </c>
      <c r="E183" s="57" t="inlineStr">
        <is>
          <t>amb_blower</t>
        </is>
      </c>
      <c r="F183" s="57" t="inlineStr">
        <is>
          <t>root</t>
        </is>
      </c>
      <c r="G183" s="44" t="n"/>
      <c r="H183" s="44" t="inlineStr">
        <is>
          <t>不适用</t>
        </is>
      </c>
      <c r="I183" s="57" t="inlineStr">
        <is>
          <t>default</t>
        </is>
      </c>
      <c r="J183" s="44" t="inlineStr">
        <is>
          <t>amb.blower</t>
        </is>
      </c>
      <c r="K183" s="44" t="inlineStr">
        <is>
          <t>原型已接入</t>
        </is>
      </c>
      <c r="L183" s="57" t="inlineStr">
        <is>
          <t>P2</t>
        </is>
      </c>
      <c r="M183" s="57" t="inlineStr">
        <is>
          <t>v001</t>
        </is>
      </c>
      <c r="N183" s="57" t="inlineStr">
        <is>
          <t>44100Hz / mono / PCM24 master / Vorbis q6 / 8s</t>
        </is>
      </c>
      <c r="O183" s="57" t="inlineStr">
        <is>
          <t>src/assets/audio/sfx/amb_blower_v001.ogg</t>
        </is>
      </c>
      <c r="P183" s="57" t="inlineStr">
        <is>
          <t>art_source/audio/sfx/AUD-SFX-AMB-BLOWER/source/amb_blower_v001.wav</t>
        </is>
      </c>
      <c r="Q183" s="57" t="inlineStr">
        <is>
          <t>amb_blower</t>
        </is>
      </c>
      <c r="R183" s="44">
        <f>LOWER(TRIM(C183)&amp;"|"&amp;TRIM(D183)&amp;"|"&amp;TRIM(E183)&amp;"|"&amp;TRIM(F183)&amp;"|"&amp;TRIM(H183)&amp;"|"&amp;TRIM(I183))</f>
        <v/>
      </c>
      <c r="S183" s="44">
        <f>IF(COUNTIF($R$6:$R$183,R183)&gt;1,"重复","唯一")</f>
        <v/>
      </c>
      <c r="T183" s="57" t="inlineStr">
        <is>
          <t>1ad83fd7a6520128e1f85be798ee10330d54e0f64f73218f35c4c73c573afd75</t>
        </is>
      </c>
      <c r="U183" s="57" t="inlineStr">
        <is>
          <t>Codex audio integration</t>
        </is>
      </c>
      <c r="V183" s="58" t="n">
        <v>46314</v>
      </c>
      <c r="W183" s="44" t="inlineStr">
        <is>
          <t>https://opengameart.org/content/ventilation-version2 | MidFag | CC-BY-3.0</t>
        </is>
      </c>
      <c r="X183" s="56" t="inlineStr">
        <is>
          <t>art_source/audio/sfx/AUD-SFX-AMB-BLOWER/source/amb_blower_v001.wav</t>
        </is>
      </c>
      <c r="Y183" s="44" t="inlineStr">
        <is>
          <t>WorldAudioEnvironment3D / RoomLightSwitch3D 正式场景触发已接入；验收 verify_world_environment_audio_flow；人工听感/Android待验</t>
        </is>
      </c>
    </row>
    <row r="184" ht="43.5" customHeight="1" s="33"/>
    <row r="185" ht="43.5" customHeight="1" s="33"/>
    <row r="186" ht="43.5" customHeight="1" s="33"/>
    <row r="187" ht="43.5" customHeight="1" s="33"/>
    <row r="188" ht="43.5" customHeight="1" s="33"/>
    <row r="189" ht="43.5" customHeight="1" s="33"/>
    <row r="190" ht="43.5" customHeight="1" s="33"/>
    <row r="191" ht="43.5" customHeight="1" s="33"/>
    <row r="192" ht="43.5" customHeight="1" s="33"/>
    <row r="193" ht="43.5" customHeight="1" s="33"/>
    <row r="194" ht="43.5" customHeight="1" s="33"/>
    <row r="195" ht="43.5" customHeight="1" s="33"/>
    <row r="196" ht="43.5" customHeight="1" s="33"/>
    <row r="197" ht="43.5" customHeight="1" s="33"/>
    <row r="198" ht="43.5" customHeight="1" s="33"/>
    <row r="199" ht="43.5" customHeight="1" s="33"/>
    <row r="200" ht="43.5" customHeight="1" s="33"/>
    <row r="201" ht="43.5" customHeight="1" s="33"/>
    <row r="202" ht="43.5" customHeight="1" s="33"/>
    <row r="203" ht="43.5" customHeight="1" s="33"/>
    <row r="204" ht="43.5" customHeight="1" s="33"/>
    <row r="240" ht="255" customHeight="1" s="33"/>
    <row r="281" ht="66" customHeight="1" s="33"/>
    <row r="282" ht="66" customHeight="1" s="33"/>
    <row r="283" ht="66" customHeight="1" s="33"/>
    <row r="284" ht="66" customHeight="1" s="33"/>
    <row r="285" ht="66" customHeight="1" s="33"/>
    <row r="286" ht="66" customHeight="1" s="33"/>
    <row r="287" ht="55.5" customHeight="1" s="33"/>
    <row r="301" ht="132" customHeight="1" s="33"/>
    <row r="302" ht="54" customHeight="1" s="33"/>
    <row r="303" ht="54" customHeight="1" s="33"/>
    <row r="304" ht="54" customHeight="1" s="33"/>
    <row r="305" ht="54" customHeight="1" s="33"/>
    <row r="306" ht="54" customHeight="1" s="33"/>
    <row r="307" ht="54" customHeight="1" s="33"/>
    <row r="308" ht="54" customHeight="1" s="33"/>
    <row r="309" ht="54" customHeight="1" s="33"/>
    <row r="310" ht="54" customHeight="1" s="33"/>
    <row r="311" ht="72" customHeight="1" s="33"/>
    <row r="312" ht="54" customHeight="1" s="33"/>
    <row r="313" ht="54" customHeight="1" s="33"/>
    <row r="314" ht="54" customHeight="1" s="33"/>
    <row r="315" ht="54" customHeight="1" s="33"/>
    <row r="316" ht="54" customHeight="1" s="33"/>
    <row r="317" ht="54" customHeight="1" s="33"/>
    <row r="318" ht="54" customHeight="1" s="33"/>
    <row r="319" ht="54" customHeight="1" s="33"/>
    <row r="320" ht="54" customHeight="1" s="33"/>
    <row r="321" ht="54" customHeight="1" s="33"/>
    <row r="322" ht="54" customHeight="1" s="33"/>
    <row r="323" ht="54" customHeight="1" s="33"/>
    <row r="324" ht="54" customHeight="1" s="33"/>
    <row r="325" ht="54" customHeight="1" s="33"/>
    <row r="326" ht="54" customHeight="1" s="33"/>
    <row r="327" ht="54" customHeight="1" s="33"/>
    <row r="328" ht="54" customHeight="1" s="33"/>
    <row r="329" ht="54" customHeight="1" s="33"/>
    <row r="330" ht="54" customHeight="1" s="33"/>
    <row r="331" ht="54" customHeight="1" s="33"/>
    <row r="332" ht="54" customHeight="1" s="33"/>
    <row r="333" ht="54" customHeight="1" s="33"/>
    <row r="334" ht="54" customHeight="1" s="33"/>
    <row r="335" ht="54" customHeight="1" s="33"/>
    <row r="336" ht="54" customHeight="1" s="33"/>
    <row r="337" ht="54" customHeight="1" s="33"/>
    <row r="338" ht="54" customHeight="1" s="33"/>
    <row r="339" ht="54" customHeight="1" s="33"/>
    <row r="340" ht="54" customHeight="1" s="33"/>
    <row r="341" ht="54" customHeight="1" s="33"/>
    <row r="342" ht="54" customHeight="1" s="33"/>
    <row r="343" ht="54" customHeight="1" s="33"/>
    <row r="344" ht="54" customHeight="1" s="33"/>
    <row r="345" ht="54" customHeight="1" s="33"/>
    <row r="346" ht="54" customHeight="1" s="33"/>
    <row r="347" ht="54" customHeight="1" s="33"/>
    <row r="348" ht="54" customHeight="1" s="33"/>
    <row r="349" ht="54" customHeight="1" s="33"/>
    <row r="350" ht="54" customHeight="1" s="33"/>
    <row r="351" ht="54" customHeight="1" s="33"/>
    <row r="352" ht="54" customHeight="1" s="33"/>
    <row r="353" ht="54" customHeight="1" s="33"/>
    <row r="354" ht="54" customHeight="1" s="33"/>
    <row r="355" ht="54" customHeight="1" s="33"/>
    <row r="356" ht="54" customHeight="1" s="33"/>
    <row r="357" ht="54" customHeight="1" s="33"/>
    <row r="358" ht="54" customHeight="1" s="33"/>
    <row r="359" ht="72" customHeight="1" s="33"/>
    <row r="360" ht="54" customHeight="1" s="33"/>
    <row r="361" ht="54" customHeight="1" s="33"/>
    <row r="362" ht="54" customHeight="1" s="33"/>
    <row r="363" ht="54" customHeight="1" s="33"/>
    <row r="364" ht="54" customHeight="1" s="33"/>
    <row r="365" ht="54" customHeight="1" s="33"/>
    <row r="366" ht="54" customHeight="1" s="33"/>
    <row r="367" ht="54" customHeight="1" s="33"/>
    <row r="368" ht="72" customHeight="1" s="33"/>
    <row r="369" ht="54" customHeight="1" s="33"/>
    <row r="370" ht="54" customHeight="1" s="33"/>
    <row r="371" ht="54" customHeight="1" s="33"/>
    <row r="372" ht="54" customHeight="1" s="33"/>
    <row r="373" ht="54" customHeight="1" s="33"/>
    <row r="374" ht="54" customHeight="1" s="33"/>
    <row r="375" ht="54" customHeight="1" s="33"/>
    <row r="376" ht="54" customHeight="1" s="33"/>
    <row r="377" ht="54" customHeight="1" s="33"/>
    <row r="378" ht="54" customHeight="1" s="33"/>
    <row r="379" ht="54" customHeight="1" s="33"/>
    <row r="380" ht="54" customHeight="1" s="33"/>
    <row r="381" ht="54" customHeight="1" s="33"/>
    <row r="382" ht="54" customHeight="1" s="33"/>
    <row r="383" ht="54" customHeight="1" s="33"/>
    <row r="384" ht="54" customHeight="1" s="33"/>
    <row r="385" ht="54" customHeight="1" s="33"/>
    <row r="386" ht="54" customHeight="1" s="33"/>
    <row r="387" ht="54" customHeight="1" s="33"/>
    <row r="388" ht="54" customHeight="1" s="33"/>
    <row r="389" ht="54" customHeight="1" s="33"/>
    <row r="390" ht="54" customHeight="1" s="33"/>
    <row r="391" ht="54" customHeight="1" s="33"/>
    <row r="392" ht="54" customHeight="1" s="33"/>
    <row r="393" ht="54" customHeight="1" s="33"/>
    <row r="394" ht="54" customHeight="1" s="33"/>
    <row r="395" ht="54" customHeight="1" s="33"/>
    <row r="396" ht="54" customHeight="1" s="33"/>
    <row r="397" ht="54" customHeight="1" s="33"/>
    <row r="398" ht="54" customHeight="1" s="33"/>
    <row r="399" ht="54" customHeight="1" s="33"/>
    <row r="400" ht="54" customHeight="1" s="33"/>
    <row r="401" ht="54" customHeight="1" s="33"/>
    <row r="402" ht="54" customHeight="1" s="33"/>
    <row r="403" ht="54" customHeight="1" s="33"/>
    <row r="404" ht="54" customHeight="1" s="33"/>
    <row r="405" ht="54" customHeight="1" s="33"/>
    <row r="406" ht="54" customHeight="1" s="33"/>
    <row r="407" ht="54" customHeight="1" s="33"/>
    <row r="408" ht="54" customHeight="1" s="33"/>
    <row r="409" ht="54" customHeight="1" s="33"/>
    <row r="410" ht="54" customHeight="1" s="33"/>
    <row r="411" ht="54" customHeight="1" s="33"/>
    <row r="412" ht="54" customHeight="1" s="33"/>
    <row r="413" ht="75.75" customHeight="1" s="33"/>
    <row r="414" ht="72" customHeight="1" s="33"/>
    <row r="415" ht="72" customHeight="1" s="33"/>
    <row r="416" ht="72" customHeight="1" s="33"/>
    <row r="424" ht="84.75" customHeight="1" s="33"/>
    <row r="425" ht="84.75" customHeight="1" s="33"/>
    <row r="426" ht="84.75" customHeight="1" s="33"/>
    <row r="427" ht="84.75" customHeight="1" s="33"/>
    <row r="429" ht="120" customHeight="1" s="33"/>
  </sheetData>
  <autoFilter ref="A5:Y183"/>
  <mergeCells count="2">
    <mergeCell ref="A1:X2"/>
    <mergeCell ref="A3:X3"/>
  </mergeCells>
  <conditionalFormatting sqref="S6:S157">
    <cfRule type="containsText" rank="0" priority="2" equalAverage="0" operator="containsText" aboveAverage="0" dxfId="12" text="重复" percent="0" bottom="0">
      <formula>NOT(ISERROR(SEARCH("重复",S6)))</formula>
    </cfRule>
  </conditionalFormatting>
  <conditionalFormatting sqref="K6:K157">
    <cfRule type="containsText" rank="0" priority="3" equalAverage="0" operator="containsText" aboveAverage="0" dxfId="13" text="已完成" percent="0" bottom="0">
      <formula>NOT(ISERROR(SEARCH("已完成",K6)))</formula>
    </cfRule>
    <cfRule type="containsText" rank="0" priority="4" equalAverage="0" operator="containsText" aboveAverage="0" dxfId="14" text="待制作" percent="0" bottom="0">
      <formula>NOT(ISERROR(SEARCH("待制作",K6)))</formula>
    </cfRule>
  </conditionalFormatting>
  <dataValidations count="4">
    <dataValidation sqref="C54:C183" showDropDown="0" showInputMessage="0" showErrorMessage="0" allowBlank="1" type="list" errorStyle="stop" operator="between">
      <formula1>"角色,敌人,武器,道具,场景,场景道具,基地资产包,UI,特效,音频"</formula1>
      <formula2>0</formula2>
    </dataValidation>
    <dataValidation sqref="K6:K183" showDropDown="0" showInputMessage="0" showErrorMessage="0" allowBlank="1" type="list" errorStyle="stop" operator="between">
      <formula1>"待制作,程序占位,已完成,原型已接入,弃用,旧资产已从正式基地移除,正式美术已接入,已优化并正式接入,Blender源已完成,已导入；优化完成,已从运行场景移除,白盒组件"</formula1>
      <formula2>0</formula2>
    </dataValidation>
    <dataValidation sqref="L6:L183" showDropDown="0" showInputMessage="0" showErrorMessage="0" allowBlank="1" type="list" errorStyle="stop" operator="between">
      <formula1>"P0,P1,P2,P3"</formula1>
      <formula2>0</formula2>
    </dataValidation>
    <dataValidation sqref="C6:C183" showDropDown="0" showInputMessage="0" showErrorMessage="0" allowBlank="0" type="list" errorStyle="stop" operator="between">
      <formula1>"音效"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2" min="1" max="1"/>
    <col width="15.51" customWidth="1" style="32" min="2" max="2"/>
    <col width="28.65" customWidth="1" style="32" min="3" max="3"/>
    <col width="33.42" customWidth="1" style="32" min="4" max="4"/>
    <col width="83.55" customWidth="1" style="32" min="5" max="5"/>
    <col width="57.29" customWidth="1" style="32" min="6" max="6"/>
    <col width="14.33" customWidth="1" style="32" min="7" max="7"/>
  </cols>
  <sheetData>
    <row r="1" ht="15" customHeight="1" s="33">
      <c r="A1" s="46" t="inlineStr">
        <is>
          <t>音效账本变更日志</t>
        </is>
      </c>
    </row>
    <row r="2" ht="15" customHeight="1" s="33"/>
    <row r="3" ht="15" customHeight="1" s="33">
      <c r="A3" s="35" t="inlineStr">
        <is>
          <t>只记录本账本的域内变更；跨域与全局变更记录在主账本《版本记录》</t>
        </is>
      </c>
    </row>
    <row r="4"/>
    <row r="5" ht="15" customHeight="1" s="33">
      <c r="A5" s="39" t="inlineStr">
        <is>
          <t>台账版本</t>
        </is>
      </c>
      <c r="B5" s="39" t="inlineStr">
        <is>
          <t>日期</t>
        </is>
      </c>
      <c r="C5" s="39" t="inlineStr">
        <is>
          <t>变更类型</t>
        </is>
      </c>
      <c r="D5" s="39" t="inlineStr">
        <is>
          <t>范围</t>
        </is>
      </c>
      <c r="E5" s="39" t="inlineStr">
        <is>
          <t>说明</t>
        </is>
      </c>
      <c r="F5" s="39" t="inlineStr">
        <is>
          <t>兼容性</t>
        </is>
      </c>
      <c r="G5" s="39" t="inlineStr">
        <is>
          <t>负责人</t>
        </is>
      </c>
    </row>
    <row r="6" ht="45.75" customHeight="1" s="33">
      <c r="A6" s="47" t="inlineStr">
        <is>
          <t>v0.2.0</t>
        </is>
      </c>
      <c r="B6" s="47" t="inlineStr">
        <is>
          <t>2026-09-23</t>
        </is>
      </c>
      <c r="C6" s="47" t="inlineStr">
        <is>
          <t>P2 独立域拆分</t>
        </is>
      </c>
      <c r="D6" s="43" t="inlineStr">
        <is>
          <t>音效</t>
        </is>
      </c>
      <c r="E6" s="43" t="inlineStr">
        <is>
          <t>由表现资源账本拆出 48 条音效资产；本账本接管大类=音效，匹配独立 Skill 与验收流程。</t>
        </is>
      </c>
      <c r="F6" s="47" t="inlineStr">
        <is>
          <t>AssetID、路径、SHA-256、制作状态与授权信息不变；仅账本归属和大类名称迁移。</t>
        </is>
      </c>
      <c r="G6" s="47" t="inlineStr">
        <is>
          <t>Codex</t>
        </is>
      </c>
    </row>
    <row r="7">
      <c r="A7" s="32" t="inlineStr">
        <is>
          <t>v0.1.3</t>
        </is>
      </c>
      <c r="B7" s="66" t="n">
        <v>46308</v>
      </c>
      <c r="C7" s="32" t="inlineStr">
        <is>
          <t>AUDIO-SFX</t>
        </is>
      </c>
      <c r="D7" s="32" t="inlineStr">
        <is>
          <t>Codex</t>
        </is>
      </c>
      <c r="E7" s="32" t="inlineStr">
        <is>
          <t>36组重制；89组140资产（含变体），母版/分层/哈希登记；新增触发与人工听感待验收</t>
        </is>
      </c>
    </row>
    <row r="8" ht="78" customHeight="1" s="33">
      <c r="A8" s="68" t="inlineStr">
        <is>
          <t>v0.2.1</t>
        </is>
      </c>
      <c r="B8" s="69" t="n">
        <v>46314</v>
      </c>
      <c r="C8" s="68" t="inlineStr">
        <is>
          <t>枪种音效登记补齐</t>
        </is>
      </c>
      <c r="D8" s="67" t="inlineStr">
        <is>
          <t>7类/9枪身；42条相关声音；新增17条已存在行核对</t>
        </is>
      </c>
      <c r="E8" s="67" t="inlineStr">
        <is>
          <t>补齐机枪命名、变体父ID、母版路径、时长、许可、更新时间、枪种映射及实际接入/待验状态；无新AssetID。</t>
        </is>
      </c>
      <c r="F8" s="68" t="inlineStr">
        <is>
          <t>稳定ID、运行版本/文件/哈希与玩法保持；素材就绪未接入项如实登记；人工听感及Android待验。</t>
        </is>
      </c>
      <c r="G8" s="68" t="inlineStr">
        <is>
          <t>Codex</t>
        </is>
      </c>
    </row>
    <row r="9" ht="85" customHeight="1" s="33">
      <c r="A9" s="68" t="inlineStr">
        <is>
          <t>v0.2.2</t>
        </is>
      </c>
      <c r="B9" s="69" t="n">
        <v>46314</v>
      </c>
      <c r="C9" s="68" t="inlineStr">
        <is>
          <t>世界音效自然化</t>
        </is>
      </c>
      <c r="D9" s="67" t="inlineStr">
        <is>
          <t>47组84条；全部7组环境循环</t>
        </is>
      </c>
      <c r="E9" s="67" t="inlineStr">
        <is>
          <t>替换环境、脚步、受击、近战、怪物、门锁、容器和设备的旧DSP；29组系统提示与28组枪械声音保持。</t>
        </is>
      </c>
      <c r="F9" s="68" t="inlineStr">
        <is>
          <t>AssetID、事件键、104组157条总数、玩法与触发保持；人工听感及Android待验。</t>
        </is>
      </c>
      <c r="G9" s="68" t="inlineStr">
        <is>
          <t>Codex</t>
        </is>
      </c>
    </row>
    <row r="10" ht="80" customHeight="1" s="33">
      <c r="A10" s="47" t="inlineStr">
        <is>
          <t>v0.2.3</t>
        </is>
      </c>
      <c r="B10" s="71" t="n">
        <v>46314</v>
      </c>
      <c r="C10" s="47" t="inlineStr">
        <is>
          <t>环境音正式触发</t>
        </is>
      </c>
      <c r="D10" s="43" t="inlineStr">
        <is>
          <t>新增9条、4组；四类脚步/鸟/风扇/鼓风机</t>
        </is>
      </c>
      <c r="E10" s="43" t="inlineStr">
        <is>
          <t>天台/户外风声与鸟叫、真实设备位置循环、地板脚步、电灯点击、楼梯间回声正式接入；复用既有风声与开关素材。</t>
        </is>
      </c>
      <c r="F10" s="47" t="inlineStr">
        <is>
          <t>系统提示干声；七类枪种声音及AI刺激不变；人工听感/Android待验。</t>
        </is>
      </c>
      <c r="G10" s="47" t="inlineStr">
        <is>
          <t>Codex</t>
        </is>
      </c>
    </row>
  </sheetData>
  <mergeCells count="2">
    <mergeCell ref="A3:G3"/>
    <mergeCell ref="A1:G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2026-09-23T07:44:54Z</dcterms:created>
  <dcterms:modified xmlns:dcterms="http://purl.org/dc/terms/" xmlns:xsi="http://www.w3.org/2001/XMLSchema-instance" xsi:type="dcterms:W3CDTF">2026-10-19T10:52:57Z</dcterms:modified>
  <cp:revision>0</cp:revision>
</cp:coreProperties>
</file>