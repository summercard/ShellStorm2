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特效" sheetId="4" state="visible" r:id="rId4"/>
    <sheet name="域变更日志" sheetId="5" state="visible" r:id="rId5"/>
  </sheets>
  <definedNames>
    <definedName name="_xlnm._FilterDatabase" localSheetId="2" hidden="1">'资产主表'!$A$5:$Y$34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COUNTA('资产主表'!$A$6:$A$34)</f>
        <v/>
      </c>
      <c r="B6" s="55" t="n"/>
      <c r="C6" s="57">
        <f>COUNTIF('资产主表'!$K$6:$K$34,"已完成")+COUNTIF('资产主表'!$K$6:$K$34,"原型已接入")+COUNTIF('资产主表'!$K$6:$K$34,"正式美术已接入")+COUNTIF('资产主表'!$K$6:$K$34,"已优化并正式接入")+COUNTIF('资产主表'!$K$6:$K$34,"Blender源已完成")+COUNTIF('资产主表'!$K$6:$K$34,"已导入；优化完成")+COUNTIF('资产主表'!$K$6:$K$34,"白模源已完成；QA PASS")</f>
        <v/>
      </c>
      <c r="D6" s="55" t="n"/>
      <c r="E6" s="57">
        <f>COUNTIF('资产主表'!$K$6:$K$34,"待制作")+COUNTIF('资产主表'!$K$6:$K$34,"程序占位")</f>
        <v/>
      </c>
      <c r="F6" s="55" t="n"/>
      <c r="G6" s="57">
        <f>COUNTIF('资产主表'!$S$6:$S$34,"重复")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COUNTIF('资产主表'!$C$6:$C$34,A10)</f>
        <v/>
      </c>
      <c r="C10" s="62">
        <f>SUMPRODUCT(('资产主表'!$C$6:$C$34=A10)*(('资产主表'!$K$6:$K$34="已完成")+('资产主表'!$K$6:$K$34="原型已接入")+('资产主表'!$K$6:$K$34="正式美术已接入")+('资产主表'!$K$6:$K$34="已优化并正式接入")+('资产主表'!$K$6:$K$34="Blender源已完成")+('资产主表'!$K$6:$K$34="已导入；优化完成")+('资产主表'!$K$6:$K$34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COUNTIF('资产主表'!$C$6:$C$34,A11)</f>
        <v/>
      </c>
      <c r="C11" s="62">
        <f>SUMPRODUCT(('资产主表'!$C$6:$C$34=A11)*(('资产主表'!$K$6:$K$34="已完成")+('资产主表'!$K$6:$K$34="原型已接入")+('资产主表'!$K$6:$K$34="正式美术已接入")+('资产主表'!$K$6:$K$34="已优化并正式接入")+('资产主表'!$K$6:$K$34="Blender源已完成")+('资产主表'!$K$6:$K$34="已导入；优化完成")+('资产主表'!$K$6:$K$34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IF(COUNTIF($R$6:$R$34,R6)&gt;1,"重复","唯一")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IF(COUNTIF($R$6:$R$34,R7)&gt;1,"重复","唯一")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IF(COUNTIF($R$6:$R$34,R8)&gt;1,"重复","唯一")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IF(COUNTIF($R$6:$R$34,R9)&gt;1,"重复","唯一")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IF(COUNTIF($R$6:$R$34,R10)&gt;1,"重复","唯一")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IF(COUNTIF($R$6:$R$34,R11)&gt;1,"重复","唯一")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IF(COUNTIF($R$6:$R$34,R12)&gt;1,"重复","唯一")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IF(COUNTIF($R$6:$R$34,R13)&gt;1,"重复","唯一")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IF(COUNTIF($R$6:$R$34,R14)&gt;1,"重复","唯一")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IF(COUNTIF($R$6:$R$34,R15)&gt;1,"重复","唯一")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IF(COUNTIF($R$6:$R$34,R16)&gt;1,"重复","唯一")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IF(COUNTIF($R$6:$R$34,R17)&gt;1,"重复","唯一")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IF(COUNTIF($R$6:$R$34,R18)&gt;1,"重复","唯一")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IF(COUNTIF($R$6:$R$34,R19)&gt;1,"重复","唯一")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IF(COUNTIF($R$6:$R$34,R20)&gt;1,"重复","唯一")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IF(COUNTIF($R$6:$R$34,R21)&gt;1,"重复","唯一")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IF(COUNTIF($R$6:$R$34,R22)&gt;1,"重复","唯一")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IF(COUNTIF($R$6:$R$34,R23)&gt;1,"重复","唯一")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IF(COUNTIF($R$6:$R$34,R24)&gt;1,"重复","唯一")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IF(COUNTIF($R$6:$R$34,R25)&gt;1,"重复","唯一")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IF(COUNTIF($R$6:$R$34,R26)&gt;1,"重复","唯一")</f>
        <v/>
      </c>
      <c r="T26" s="79" t="inlineStr">
        <is>
          <t>a3c84c7e8842369fee46a224880589f1470e2beb68b2205a5ad41c4659832685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79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§… 与 skill vfx-combat-effect-authoring）。本行同时是 8 个弹种专属弹体特效的变体父体（G 列指向本 AssetID），弹种专属 Prefab 落地后仍复用本行的弹芯/外壳/拖尾几何分层，仅按弹种替换外观与行为段。</t>
        </is>
      </c>
    </row>
    <row r="27" ht="22.35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待制作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待定（弹体 / 尾迹 / 命中三段；程序几何或动画序列）</t>
        </is>
      </c>
      <c r="O27" s="76" t="inlineStr">
        <is>
          <t>待定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IF(COUNTIF($R$6:$R$34,R27)&gt;1,"重复","唯一")</f>
        <v/>
      </c>
      <c r="T27" s="76" t="n"/>
      <c r="U27" s="76" t="inlineStr">
        <is>
          <t>待分配</t>
        </is>
      </c>
      <c r="V27" s="76" t="inlineStr">
        <is>
          <t>2026-10-13 00:00:00</t>
        </is>
      </c>
      <c r="W27" s="76" t="inlineStr">
        <is>
          <t>待制作/原创程序几何</t>
        </is>
      </c>
      <c r="X27" s="76" t="n"/>
      <c r="Y27" s="76" t="inlineStr">
        <is>
          <t>设计依据（内容库《武器》S17 原文）：「使用清晰中性弹体、尾迹和命中；不附加误导性的元素效果」；内容库 T17：[部分完成] 实例尾号、槽位、已装配件与命运刻印已可视；逐条专属VFX/音频仍待QA。当前该弹种只有 WeaponModel3D.BULLET_COLORS 的配色区分（mod_bullet_standard = Color(0.76, 0.86, 0.92)，标签 kinetic;standard），无专属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28" ht="22.35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待制作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待定（弹体 / 尾迹 / 命中三段；程序几何或动画序列）</t>
        </is>
      </c>
      <c r="O28" s="76" t="inlineStr">
        <is>
          <t>待定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IF(COUNTIF($R$6:$R$34,R28)&gt;1,"重复","唯一")</f>
        <v/>
      </c>
      <c r="T28" s="76" t="n"/>
      <c r="U28" s="76" t="inlineStr">
        <is>
          <t>待分配</t>
        </is>
      </c>
      <c r="V28" s="76" t="inlineStr">
        <is>
          <t>2026-10-13 00:00:00</t>
        </is>
      </c>
      <c r="W28" s="76" t="inlineStr">
        <is>
          <t>待制作/原创程序几何</t>
        </is>
      </c>
      <c r="X28" s="76" t="n"/>
      <c r="Y28" s="76" t="inlineStr">
        <is>
          <t>设计依据（内容库《武器》S18 原文）：「命中后弹体留在表面并显示倒计时/状态，结束时反馈与结算同步」；内容库 T18：[部分完成] 实例尾号、槽位、已装配件与命运刻印已可视；逐条专属VFX/音频仍待QA。当前该弹种只有 WeaponModel3D.BULLET_COLORS 的配色区分（mod_bullet_sticky = Color(0.32, 0.92, 0.62)，标签 sticky;dot），无专属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29" ht="22.35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待制作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待定（弹体 / 尾迹 / 命中三段；程序几何或动画序列）</t>
        </is>
      </c>
      <c r="O29" s="76" t="inlineStr">
        <is>
          <t>待定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IF(COUNTIF($R$6:$R$34,R29)&gt;1,"重复","唯一")</f>
        <v/>
      </c>
      <c r="T29" s="76" t="n"/>
      <c r="U29" s="76" t="inlineStr">
        <is>
          <t>待分配</t>
        </is>
      </c>
      <c r="V29" s="76" t="inlineStr">
        <is>
          <t>2026-10-13 00:00:00</t>
        </is>
      </c>
      <c r="W29" s="76" t="inlineStr">
        <is>
          <t>待制作/原创程序几何</t>
        </is>
      </c>
      <c r="X29" s="76" t="n"/>
      <c r="Y29" s="76" t="inlineStr">
        <is>
          <t>设计依据（内容库《武器》S13 原文）：「反弹点有折线闪光与计数递减，飞行方向变化清楚可读」；内容库 T13：[部分完成] 实例尾号、槽位、已装配件与命运刻印已可视；逐条专属VFX/音频仍待QA。当前该弹种只有 WeaponModel3D.BULLET_COLORS 的配色区分（mod_bullet_bounce = Color(0.30, 0.70, 1.0)，标签 bounce;ricochet），无专属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30" ht="22.35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待制作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待定（弹体 / 尾迹 / 命中三段；程序几何或动画序列）</t>
        </is>
      </c>
      <c r="O30" s="76" t="inlineStr">
        <is>
          <t>待定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IF(COUNTIF($R$6:$R$34,R30)&gt;1,"重复","唯一")</f>
        <v/>
      </c>
      <c r="T30" s="76" t="n"/>
      <c r="U30" s="76" t="inlineStr">
        <is>
          <t>待分配</t>
        </is>
      </c>
      <c r="V30" s="76" t="inlineStr">
        <is>
          <t>2026-10-13 00:00:00</t>
        </is>
      </c>
      <c r="W30" s="76" t="inlineStr">
        <is>
          <t>待制作/原创程序几何</t>
        </is>
      </c>
      <c r="X30" s="76" t="n"/>
      <c r="Y30" s="76" t="inlineStr">
        <is>
          <t>设计依据（内容库《武器》S16 原文）：「穿透命中显示连续贯穿线与剩余层数，不在首个目标处假性消失」；内容库 T16：[部分完成] 实例尾号、槽位、已装配件与命运刻印已可视；逐条专属VFX/音频仍待QA。当前该弹种只有 WeaponModel3D.BULLET_COLORS 的配色区分（mod_bullet_piercing = Color(1.0, 0.78, 0.22)，标签 piercing;armor），无专属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31" ht="22.35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待制作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待定（弹体 / 尾迹 / 命中三段；程序几何或动画序列）</t>
        </is>
      </c>
      <c r="O31" s="76" t="inlineStr">
        <is>
          <t>待定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IF(COUNTIF($R$6:$R$34,R31)&gt;1,"重复","唯一")</f>
        <v/>
      </c>
      <c r="T31" s="76" t="n"/>
      <c r="U31" s="76" t="inlineStr">
        <is>
          <t>待分配</t>
        </is>
      </c>
      <c r="V31" s="76" t="inlineStr">
        <is>
          <t>2026-10-13 00:00:00</t>
        </is>
      </c>
      <c r="W31" s="76" t="inlineStr">
        <is>
          <t>待制作/原创程序几何</t>
        </is>
      </c>
      <c r="X31" s="76" t="n"/>
      <c r="Y31" s="76" t="inlineStr">
        <is>
          <t>设计依据（内容库《武器》S14 原文）：「弹体、尾迹、爆炸半径与伤害时点同步，低特效下保留轮廓圈」；内容库 T14：[部分完成] 实例尾号、槽位、已装配件与命运刻印已可视；逐条专属VFX/音频仍待QA。当前该弹种只有 WeaponModel3D.BULLET_COLORS 的配色区分（mod_bullet_explosive = Color(1.0, 0.28, 0.08)，标签 explosive;area），无专属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32" ht="22.35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待制作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待定（弹体 / 尾迹 / 命中三段；程序几何或动画序列）</t>
        </is>
      </c>
      <c r="O32" s="76" t="inlineStr">
        <is>
          <t>待定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IF(COUNTIF($R$6:$R$34,R32)&gt;1,"重复","唯一")</f>
        <v/>
      </c>
      <c r="T32" s="76" t="n"/>
      <c r="U32" s="76" t="inlineStr">
        <is>
          <t>待分配</t>
        </is>
      </c>
      <c r="V32" s="76" t="inlineStr">
        <is>
          <t>2026-10-13 00:00:00</t>
        </is>
      </c>
      <c r="W32" s="76" t="inlineStr">
        <is>
          <t>待制作/原创程序几何</t>
        </is>
      </c>
      <c r="X32" s="76" t="n"/>
      <c r="Y32" s="76" t="inlineStr">
        <is>
          <t>设计依据（内容库《武器》S15 原文）：「锁定框、弯曲尾迹和转向动作一致；目标丢失有解除提示」；内容库 T15：[部分完成] 实例尾号、槽位、已装配件与命运刻印已可视；逐条专属VFX/音频仍待QA。当前该弹种只有 WeaponModel3D.BULLET_COLORS 的配色区分（mod_bullet_homing = Color(0.50, 1.0, 0.42)，标签 homing;summon），无专属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33" ht="22.35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待制作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待定（弹体 / 尾迹 / 命中三段；程序几何或动画序列）</t>
        </is>
      </c>
      <c r="O33" s="76" t="inlineStr">
        <is>
          <t>待定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IF(COUNTIF($R$6:$R$34,R33)&gt;1,"重复","唯一")</f>
        <v/>
      </c>
      <c r="T33" s="76" t="n"/>
      <c r="U33" s="76" t="inlineStr">
        <is>
          <t>待分配</t>
        </is>
      </c>
      <c r="V33" s="76" t="inlineStr">
        <is>
          <t>2026-10-13 00:00:00</t>
        </is>
      </c>
      <c r="W33" s="76" t="inlineStr">
        <is>
          <t>待制作/原创程序几何</t>
        </is>
      </c>
      <c r="X33" s="76" t="n"/>
      <c r="Y33" s="76" t="inlineStr">
        <is>
          <t>设计依据（内容库《武器》S12 原文）：「黑洞核心、吸入流线和范围边界清晰；命中/结束有收束反馈」；内容库 T12：[部分完成] 实例尾号、槽位、已装配件与命运刻印已可视；逐条专属VFX/音频仍待QA。当前该弹种只有 WeaponModel3D.BULLET_COLORS 的配色区分（mod_bullet_blackhole = Color(0.68, 0.25, 0.95)，标签 blackhole;pull），无专属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34" ht="22.35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待制作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待定（弹体 / 尾迹 / 命中三段；程序几何或动画序列）</t>
        </is>
      </c>
      <c r="O34" s="76" t="inlineStr">
        <is>
          <t>待定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IF(COUNTIF($R$6:$R$34,R34)&gt;1,"重复","唯一")</f>
        <v/>
      </c>
      <c r="T34" s="76" t="n"/>
      <c r="U34" s="76" t="inlineStr">
        <is>
          <t>待分配</t>
        </is>
      </c>
      <c r="V34" s="76" t="inlineStr">
        <is>
          <t>2026-10-13 00:00:00</t>
        </is>
      </c>
      <c r="W34" s="76" t="inlineStr">
        <is>
          <t>待制作/原创程序几何</t>
        </is>
      </c>
      <c r="X34" s="76" t="n"/>
      <c r="Y34" s="76" t="inlineStr">
        <is>
          <t>设计依据（内容库《武器》S11 原文）：「膨胀弹体、较重尾迹与命中体积一致，不能只改伤害数值」；内容库 T11：[部分完成] 实例尾号、槽位、已装配件与命运刻印已可视；逐条专属VFX/音频仍待QA。当前该弹种只有 WeaponModel3D.BULLET_COLORS 的配色区分（mod_bullet_balloon = Color(0.98, 0.35, 0.72)，标签 balloon;big），无专属 Prefab；本行即为该弹种专属弹体/尾迹/命中特效的排产入口。制成后必须在《3D-特效》分页登记实际存在的 PackedScene、回填 O 列路径与 T 列 SHA-256，并把本行 K 列推进到「已完成」。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34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34" showDropDown="0" showInputMessage="0" showErrorMessage="0" allowBlank="1" type="list">
      <formula1>"角色,敌人,武器,道具,场景,场景道具,基地资产包,UI,特效,子弹特效,音效,音乐"</formula1>
    </dataValidation>
    <dataValidation sqref="K6:K34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34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2026-09-18T02:30:04Z</dcterms:created>
  <dcterms:modified xsi:type="dcterms:W3CDTF">2026-10-13T15:42:16Z</dcterms:modified>
  <cp:revision>0</cp:revision>
</cp:coreProperties>
</file>