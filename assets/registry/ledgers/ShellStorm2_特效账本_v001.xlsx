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特效" sheetId="4" state="visible" r:id="rId4"/>
    <sheet name="域变更日志" sheetId="5" state="visible" r:id="rId5"/>
  </sheets>
  <definedNames>
    <definedName name="_xlnm._FilterDatabase" localSheetId="2" hidden="1">'资产主表'!$A$5:$Y$52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COUNTA('资产主表'!$A$6:$A$55)</f>
        <v/>
      </c>
      <c r="B6" s="55" t="n"/>
      <c r="C6" s="57">
        <f>COUNTIF('资产主表'!$K$6:$K$55,"已完成")+COUNTIF('资产主表'!$K$6:$K$55,"原型已接入")+COUNTIF('资产主表'!$K$6:$K$55,"正式美术已接入")+COUNTIF('资产主表'!$K$6:$K$55,"已优化并正式接入")+COUNTIF('资产主表'!$K$6:$K$55,"Blender源已完成")+COUNTIF('资产主表'!$K$6:$K$55,"已导入；优化完成")+COUNTIF('资产主表'!$K$6:$K$55,"白模源已完成；QA PASS")</f>
        <v/>
      </c>
      <c r="D6" s="55" t="n"/>
      <c r="E6" s="57">
        <f>COUNTIF('资产主表'!$K$6:$K$55,"待制作")+COUNTIF('资产主表'!$K$6:$K$55,"程序占位")</f>
        <v/>
      </c>
      <c r="F6" s="55" t="n"/>
      <c r="G6" s="57">
        <f>COUNTIF('资产主表'!$S$6:$S$55,"重复")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COUNTIF('资产主表'!$C$6:$C$55,A10)</f>
        <v/>
      </c>
      <c r="C10" s="62">
        <f>SUMPRODUCT(('资产主表'!$C$6:$C$55=A10)*(('资产主表'!$K$6:$K$55="已完成")+('资产主表'!$K$6:$K$55="原型已接入")+('资产主表'!$K$6:$K$55="正式美术已接入")+('资产主表'!$K$6:$K$55="已优化并正式接入")+('资产主表'!$K$6:$K$55="Blender源已完成")+('资产主表'!$K$6:$K$55="已导入；优化完成")+('资产主表'!$K$6:$K$55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COUNTIF('资产主表'!$C$6:$C$55,A11)</f>
        <v/>
      </c>
      <c r="C11" s="62">
        <f>SUMPRODUCT(('资产主表'!$C$6:$C$55=A11)*(('资产主表'!$K$6:$K$55="已完成")+('资产主表'!$K$6:$K$55="原型已接入")+('资产主表'!$K$6:$K$55="正式美术已接入")+('资产主表'!$K$6:$K$55="已优化并正式接入")+('资产主表'!$K$6:$K$55="Blender源已完成")+('资产主表'!$K$6:$K$55="已导入；优化完成")+('资产主表'!$K$6:$K$55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IF(COUNTIF($R$6:$R$55,R6)&gt;1,"重复","唯一")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IF(COUNTIF($R$6:$R$55,R7)&gt;1,"重复","唯一")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IF(COUNTIF($R$6:$R$55,R8)&gt;1,"重复","唯一")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IF(COUNTIF($R$6:$R$55,R9)&gt;1,"重复","唯一")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IF(COUNTIF($R$6:$R$55,R10)&gt;1,"重复","唯一")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IF(COUNTIF($R$6:$R$55,R11)&gt;1,"重复","唯一")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IF(COUNTIF($R$6:$R$55,R12)&gt;1,"重复","唯一")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IF(COUNTIF($R$6:$R$55,R13)&gt;1,"重复","唯一")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IF(COUNTIF($R$6:$R$55,R14)&gt;1,"重复","唯一")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IF(COUNTIF($R$6:$R$55,R15)&gt;1,"重复","唯一")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IF(COUNTIF($R$6:$R$55,R16)&gt;1,"重复","唯一")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IF(COUNTIF($R$6:$R$55,R17)&gt;1,"重复","唯一")</f>
        <v/>
      </c>
      <c r="T17" s="79" t="inlineStr">
        <is>
          <t>9457d360dc6529e42502980b94188d13f76da5efb581b261cfb9b8adbd0f5ff6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IF(COUNTIF($R$6:$R$55,R18)&gt;1,"重复","唯一")</f>
        <v/>
      </c>
      <c r="T18" s="79" t="inlineStr">
        <is>
          <t>59cd5409b33ff9fae9c541b357699249d8f0574bc21add6fec2d1fdfd89a098e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IF(COUNTIF($R$6:$R$55,R19)&gt;1,"重复","唯一")</f>
        <v/>
      </c>
      <c r="T19" s="79" t="inlineStr">
        <is>
          <t>3a5f9e551802a19e6415e15ee32cea76fe74545bf64af0fcb847c54d3972e740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IF(COUNTIF($R$6:$R$55,R20)&gt;1,"重复","唯一")</f>
        <v/>
      </c>
      <c r="T20" s="79" t="inlineStr">
        <is>
          <t>66d910c4fbcfd63176427c8012d3b6dbb11c4e0999587b34a3a66d6202920017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IF(COUNTIF($R$6:$R$55,R21)&gt;1,"重复","唯一")</f>
        <v/>
      </c>
      <c r="T21" s="79" t="inlineStr">
        <is>
          <t>df2cb64e06aa312f19a4c330a13c37b8c36f6884308c900181a7597a051fbf93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IF(COUNTIF($R$6:$R$55,R22)&gt;1,"重复","唯一")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IF(COUNTIF($R$6:$R$55,R23)&gt;1,"重复","唯一")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IF(COUNTIF($R$6:$R$55,R24)&gt;1,"重复","唯一")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IF(COUNTIF($R$6:$R$55,R25)&gt;1,"重复","唯一")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IF(COUNTIF($R$6:$R$55,R26)&gt;1,"重复","唯一")</f>
        <v/>
      </c>
      <c r="T26" s="79" t="inlineStr">
        <is>
          <t>2293c574f80d5d6103c0088c5fc385c1b9bd72600cc71c61bf2e4748d9f6b2d2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IF(COUNTIF($R$6:$R$55,R27)&gt;1,"重复","唯一")</f>
        <v/>
      </c>
      <c r="T27" s="76" t="inlineStr">
        <is>
          <t>4568edb503262d863cb17629936935e4b1f02678de623f67776667c41df8f455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IF(COUNTIF($R$6:$R$55,R28)&gt;1,"重复","唯一")</f>
        <v/>
      </c>
      <c r="T28" s="76" t="inlineStr">
        <is>
          <t>778be3a1a693e11c1bed08c51c511df742e8502c74c60fc6c3d9919f00141c8b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IF(COUNTIF($R$6:$R$55,R29)&gt;1,"重复","唯一")</f>
        <v/>
      </c>
      <c r="T29" s="76" t="inlineStr">
        <is>
          <t>c31373aa7b45d6539702f03f12f5536ee5a5766e694e2612f82b9887c1280517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IF(COUNTIF($R$6:$R$55,R30)&gt;1,"重复","唯一")</f>
        <v/>
      </c>
      <c r="T30" s="76" t="inlineStr">
        <is>
          <t>7dac07ff53a03e159245a033af9cd01cde83837d57c1cc8d96e0fdd2aa13aed3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IF(COUNTIF($R$6:$R$55,R31)&gt;1,"重复","唯一")</f>
        <v/>
      </c>
      <c r="T31" s="76" t="inlineStr">
        <is>
          <t>16668244baa6415476e9f53a7207843de1ec43981cc46b8fba3b77259c43aa66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IF(COUNTIF($R$6:$R$55,R32)&gt;1,"重复","唯一")</f>
        <v/>
      </c>
      <c r="T32" s="76" t="inlineStr">
        <is>
          <t>7b674e50097eef28c900780031f808ddc6077efed1194dae6debe74b710fe87e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IF(COUNTIF($R$6:$R$55,R33)&gt;1,"重复","唯一")</f>
        <v/>
      </c>
      <c r="T33" s="76" t="inlineStr">
        <is>
          <t>3e3b832d8bbd74d0c82fded0ff4e416722a17b2a64af56d8ebee4a4cc03c354a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IF(COUNTIF($R$6:$R$55,R34)&gt;1,"重复","唯一")</f>
        <v/>
      </c>
      <c r="T34" s="76" t="inlineStr">
        <is>
          <t>4cf2bd23539184d121d209a180475951bd7ae9478b35e8be565ca15515dc36cf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IF(COUNTIF($R$6:$R$55,R35)&gt;1,"重复","唯一")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IF(COUNTIF($R$6:$R$55,R36)&gt;1,"重复","唯一")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IF(COUNTIF($R$6:$R$55,R37)&gt;1,"重复","唯一")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IF(COUNTIF($R$6:$R$55,R38)&gt;1,"重复","唯一")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IF(COUNTIF($R$6:$R$55,R39)&gt;1,"重复","唯一")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 xml:space="preserve"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【贴肉落点实测（2026-10-15 复查修正）】**初版只做「固定下沉 0.20m」是不够的，真渲染实拍仍然悬空** ——业主第四轮的「大概 0.2 米」只是初估。根因：碰撞壳是**玩法口径的圆柱**（世界半径 melee 0.714 / ranged 0.770 / fat 0.770，各向同性），模型是**各向异性**的：
  · 小僵尸  壳 0.714 vs 模型半宽 X 0.448 / Z 0.334 ⇒ 正面打，壳面比模型多 0.27~0.38m；
  · 警察僵尸 壳 0.770 vs 模型半宽 X 0.449 / Z 0.602 ⇒ 同上；
  · 胖子僵尸 壳 0.770 vs 模型半宽 X **1.839** / Z 0.712 ⇒ 反过来，壳面**已经在模型里面**。
⇒ 一个常数不可能同时满足三只怪 × 各方向。现改为**按模型实测几何现算**：取「命中高度那一层的横截面 + 全高 Y」的包围盒，沿外法线反向射线求**进入**盒子的距离 `travel`，退让 = `travel + 0.03`（咬进肉里 3cm）；`travel == 0`（命中点已在模型内，胖子僵尸 X 向）时**不推**，否则埋进胖身子读成「从肚子里炸」（实测不加这条守卫会被推深到 0.912）。真渲染复验：小僵尸正面 壳半径 0.714 → 落点 0.302，退 0.412，落点落在模型半宽 0.332 之内、画面里爆点从「圆柱壳外圈」移到**僵尸手臂上**。
踩过的三个坑（都写进代码注释了）：① 用**整只怪**的包围盒 ⇒ 头顶丸子头/脚边件把 Z 半宽从 0.332 撑到 0.622，退让少算 0.29m，解析读数说「距模型 0.000」而画面明显在外圈；必须按**命中高度切片**。② 包围盒**不能缓存** ⇒ 正式模型异步挂载，缓存会锁到「只有占位件」的那一版。③ 「盒心支撑函数」近似不行 ⇒ 支撑平面在角上相切，命中点偏离盒心时会残留 0.32~0.54m 悬空，必须用逐轴 slab 夹逼的射线求交。
【容差】猪队友场景：模型包围盒按**轴对齐**算，而躯干是斜的 ⇒ 背面打会差约 0.25m，下一轮可考虑改用命中高度处的**水平最近顶点**（顶点数很小：小僵尸 1543 / 胖子 1513 / 警察 16468）。
【机位教训】验「某个方向上的一小段位移」时，**机位必须垂直于那段位移** —— 第一版预览用斜前机位，0.2m 正好落在视线方向 ⇒ 两张图肉眼看不出区别（等于没验）；改侧视（沿 +X 看回原点）后才能读出。
【双向判据】验收对「贴肉」是**两侧**都钉的：既要求落点不再悬空（距模型 ≤ 0.05m），也要求**不许比原始壳面命中点更深**（±0.05m）。只判「在盒内」是单向的 —— 实测把包围盒故意算大 2.6 倍，单向判据照样全绿。
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IF(COUNTIF($R$6:$R$55,R40)&gt;1,"重复","唯一")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41">
      <c r="A41" s="76" t="inlineStr">
        <is>
          <t>VFX-FATE-ROCK-3D</t>
        </is>
      </c>
      <c r="B41" s="76" t="inlineStr">
        <is>
          <t>力量滚石弹</t>
        </is>
      </c>
      <c r="C41" s="76" t="inlineStr">
        <is>
          <t>子弹特效</t>
        </is>
      </c>
      <c r="D41" s="76" t="inlineStr">
        <is>
          <t>combat</t>
        </is>
      </c>
      <c r="E41" s="76" t="inlineStr">
        <is>
          <t>fate_rock</t>
        </is>
      </c>
      <c r="F41" s="76" t="inlineStr">
        <is>
          <t>root_3d</t>
        </is>
      </c>
      <c r="G41" s="76" t="n"/>
      <c r="H41" s="76" t="inlineStr">
        <is>
          <t>俯视3D</t>
        </is>
      </c>
      <c r="I41" s="76" t="inlineStr">
        <is>
          <t>fate_rock</t>
        </is>
      </c>
      <c r="J41" s="76" t="inlineStr">
        <is>
          <t>力量命运卡</t>
        </is>
      </c>
      <c r="K41" s="76" t="inlineStr">
        <is>
          <t>已完成</t>
        </is>
      </c>
      <c r="L41" s="76" t="inlineStr">
        <is>
          <t>P1</t>
        </is>
      </c>
      <c r="M41" s="76" t="inlineStr">
        <is>
          <t>v001</t>
        </is>
      </c>
      <c r="N41" s="76" t="inlineStr">
        <is>
          <t>低多边形石头，直径0.36m；随弹体滚动，不进入VfxPool3D</t>
        </is>
      </c>
      <c r="O41" s="76" t="inlineStr">
        <is>
          <t>assets/art/vfx/combat_3d/vfx_fate_rock_root_top3d.tscn</t>
        </is>
      </c>
      <c r="P41" s="76" t="inlineStr">
        <is>
          <t>src/vfx/VfxFateRock3D.gd; docs/v0.1/14_技术施工_命运塔罗牌组.md</t>
        </is>
      </c>
      <c r="Q41" s="76" t="inlineStr">
        <is>
          <t>命运;力量;滚石;碎裂</t>
        </is>
      </c>
      <c r="R41" s="76">
        <f>LOWER(TRIM(C41)&amp;"|"&amp;TRIM(D41)&amp;"|"&amp;TRIM(E41)&amp;"|"&amp;TRIM(F41)&amp;"|"&amp;TRIM(H41)&amp;"|"&amp;TRIM(I41))</f>
        <v/>
      </c>
      <c r="S41" s="76">
        <f>IF(COUNTIF($R$6:$R$55,R41)&gt;1,"重复","唯一")</f>
        <v/>
      </c>
      <c r="T41" s="76" t="inlineStr">
        <is>
          <t>e85c77c8f7d178fd9cabe8a806e729bd81c4a9cd9969c3ec468cdbb302930138</t>
        </is>
      </c>
      <c r="U41" s="76" t="inlineStr">
        <is>
          <t>Codex</t>
        </is>
      </c>
      <c r="V41" s="77" t="inlineStr">
        <is>
          <t>2026-10-16</t>
        </is>
      </c>
      <c r="W41" s="76" t="inlineStr">
        <is>
          <t>原创Prefab几何</t>
        </is>
      </c>
      <c r="X41" s="76" t="inlineStr">
        <is>
          <t>FX01-22</t>
        </is>
      </c>
      <c r="Y41" s="76" t="inlineStr">
        <is>
          <t>低多边形石头，直径0.36m；随弹体滚动，不进入VfxPool3D；行为由Projectile3D持有；碰撞不在VFX里。；隔离专项及真实渲染已验收，见2026-10-16_star_physical_mounts开发记录。</t>
        </is>
      </c>
    </row>
    <row r="42">
      <c r="A42" s="76" t="inlineStr">
        <is>
          <t>VFX-FATE-ROCK-SHATTER-3D</t>
        </is>
      </c>
      <c r="B42" s="76" t="inlineStr">
        <is>
          <t>力量碎石爆散</t>
        </is>
      </c>
      <c r="C42" s="76" t="inlineStr">
        <is>
          <t>特效</t>
        </is>
      </c>
      <c r="D42" s="76" t="inlineStr">
        <is>
          <t>combat</t>
        </is>
      </c>
      <c r="E42" s="76" t="inlineStr">
        <is>
          <t>fate_rock_shatter</t>
        </is>
      </c>
      <c r="F42" s="76" t="inlineStr">
        <is>
          <t>root_3d</t>
        </is>
      </c>
      <c r="G42" s="76" t="n"/>
      <c r="H42" s="76" t="inlineStr">
        <is>
          <t>俯视3D</t>
        </is>
      </c>
      <c r="I42" s="76" t="inlineStr">
        <is>
          <t>fate_rock_shatter</t>
        </is>
      </c>
      <c r="J42" s="76" t="inlineStr">
        <is>
          <t>力量命运卡</t>
        </is>
      </c>
      <c r="K42" s="76" t="inlineStr">
        <is>
          <t>已完成</t>
        </is>
      </c>
      <c r="L42" s="76" t="inlineStr">
        <is>
          <t>P1</t>
        </is>
      </c>
      <c r="M42" s="76" t="inlineStr">
        <is>
          <t>v001</t>
        </is>
      </c>
      <c r="N42" s="76" t="inlineStr">
        <is>
          <t>8枚石块径向飞散，0.55s；无灯无碰撞；进入VfxPool3D</t>
        </is>
      </c>
      <c r="O42" s="76" t="inlineStr">
        <is>
          <t>assets/art/vfx/combat_3d/vfx_fate_rock_shatter_root_top3d.tscn</t>
        </is>
      </c>
      <c r="P42" s="76" t="inlineStr">
        <is>
          <t>src/vfx/VfxFateRockShatter3D.gd; docs/v0.1/14_技术施工_命运塔罗牌组.md</t>
        </is>
      </c>
      <c r="Q42" s="76" t="inlineStr">
        <is>
          <t>命运;力量;滚石;碎裂</t>
        </is>
      </c>
      <c r="R42" s="76">
        <f>LOWER(TRIM(C42)&amp;"|"&amp;TRIM(D42)&amp;"|"&amp;TRIM(E42)&amp;"|"&amp;TRIM(F42)&amp;"|"&amp;TRIM(H42)&amp;"|"&amp;TRIM(I42))</f>
        <v/>
      </c>
      <c r="S42" s="76">
        <f>IF(COUNTIF($R$6:$R$55,R42)&gt;1,"重复","唯一")</f>
        <v/>
      </c>
      <c r="T42" s="76" t="inlineStr">
        <is>
          <t>8e25fad8d8af63c4f41ea3d8ac6b6ddc44c0a702c7f7fcd546dfac2ebddc4726</t>
        </is>
      </c>
      <c r="U42" s="76" t="inlineStr">
        <is>
          <t>Codex</t>
        </is>
      </c>
      <c r="V42" s="77" t="inlineStr">
        <is>
          <t>2026-10-16</t>
        </is>
      </c>
      <c r="W42" s="76" t="inlineStr">
        <is>
          <t>原创Prefab几何</t>
        </is>
      </c>
      <c r="X42" s="76" t="inlineStr">
        <is>
          <t>FX01-23</t>
        </is>
      </c>
      <c r="Y42" s="76" t="inlineStr">
        <is>
          <t>8枚石块径向飞散，0.55s；无灯无碰撞；进入VfxPool3D；行为由Projectile3D持有；碰撞不在VFX里。；隔离专项及真实渲染已验收，见2026-10-16_star_physical_mounts开发记录。</t>
        </is>
      </c>
    </row>
    <row r="43" ht="70" customHeight="1" s="52">
      <c r="A43" s="76" t="inlineStr">
        <is>
          <t>VFX-MELEE-AXE-CHARGE-3D</t>
        </is>
      </c>
      <c r="B43" s="76" t="inlineStr">
        <is>
          <t>战斧蓄力环</t>
        </is>
      </c>
      <c r="C43" s="76" t="inlineStr">
        <is>
          <t>特效</t>
        </is>
      </c>
      <c r="D43" s="76" t="inlineStr">
        <is>
          <t>combat</t>
        </is>
      </c>
      <c r="E43" s="76" t="inlineStr">
        <is>
          <t>melee_axe_charge</t>
        </is>
      </c>
      <c r="F43" s="76" t="inlineStr">
        <is>
          <t>root_3d</t>
        </is>
      </c>
      <c r="G43" s="76" t="n"/>
      <c r="H43" s="76" t="inlineStr">
        <is>
          <t>俯视3D</t>
        </is>
      </c>
      <c r="I43" s="76" t="inlineStr">
        <is>
          <t>axe_charge</t>
        </is>
      </c>
      <c r="J43" s="76" t="inlineStr">
        <is>
          <t>三类近战</t>
        </is>
      </c>
      <c r="K43" s="76" t="inlineStr">
        <is>
          <t>已完成</t>
        </is>
      </c>
      <c r="L43" s="76" t="inlineStr">
        <is>
          <t>P0</t>
        </is>
      </c>
      <c r="M43" s="76" t="inlineStr">
        <is>
          <t>v001</t>
        </is>
      </c>
      <c r="N43" s="76" t="inlineStr">
        <is>
          <t>静态Prefab几何+Shader；无碰撞</t>
        </is>
      </c>
      <c r="O43" s="76" t="inlineStr">
        <is>
          <t>assets/art/vfx/combat_3d/vfx_axe_charge_root_top3d.tscn</t>
        </is>
      </c>
      <c r="P43" s="76" t="inlineStr">
        <is>
          <t>src/vfx/VfxAxeCharge3D.gd；docs/v0.1/development/2026-10-16_melee_styles_v041.md</t>
        </is>
      </c>
      <c r="Q43" s="76" t="inlineStr">
        <is>
          <t>战斧蓄力环</t>
        </is>
      </c>
      <c r="R43" s="76">
        <f>LOWER(TRIM(C43)&amp;"|"&amp;TRIM(D43)&amp;"|"&amp;TRIM(E43)&amp;"|"&amp;TRIM(F43)&amp;"|"&amp;TRIM(H43)&amp;"|"&amp;TRIM(I43))</f>
        <v/>
      </c>
      <c r="S43" s="76">
        <f>IF(COUNTIF($R$6:$R$55,R43)&gt;1,"重复","唯一")</f>
        <v/>
      </c>
      <c r="T43" s="76" t="inlineStr">
        <is>
          <t>701ecaa4330435775c16ac939922ccc6fc8a17010de45c3240d654b2e71fb8b7</t>
        </is>
      </c>
      <c r="U43" s="76" t="inlineStr">
        <is>
          <t>Codex</t>
        </is>
      </c>
      <c r="V43" s="77" t="n">
        <v>46311</v>
      </c>
      <c r="W43" s="76" t="inlineStr">
        <is>
          <t>原创Godot几何与Shader</t>
        </is>
      </c>
      <c r="X43" s="76" t="inlineStr">
        <is>
          <t>FX01-24</t>
        </is>
      </c>
      <c r="Y43" s="76" t="inlineStr">
        <is>
          <t>收缩橙金双环，随玩家，持有至释放；池化/跟随/回收/真实渲染通过；无伤害逻辑</t>
        </is>
      </c>
    </row>
    <row r="44" ht="70" customHeight="1" s="52">
      <c r="A44" s="76" t="inlineStr">
        <is>
          <t>VFX-MELEE-AXE-CLEAVE-3D</t>
        </is>
      </c>
      <c r="B44" s="76" t="inlineStr">
        <is>
          <t>战斧下劈弧光</t>
        </is>
      </c>
      <c r="C44" s="76" t="inlineStr">
        <is>
          <t>特效</t>
        </is>
      </c>
      <c r="D44" s="76" t="inlineStr">
        <is>
          <t>combat</t>
        </is>
      </c>
      <c r="E44" s="76" t="inlineStr">
        <is>
          <t>melee_axe_cleave</t>
        </is>
      </c>
      <c r="F44" s="76" t="inlineStr">
        <is>
          <t>root_3d</t>
        </is>
      </c>
      <c r="G44" s="76" t="n"/>
      <c r="H44" s="76" t="inlineStr">
        <is>
          <t>俯视3D</t>
        </is>
      </c>
      <c r="I44" s="76" t="inlineStr">
        <is>
          <t>axe_cleave</t>
        </is>
      </c>
      <c r="J44" s="76" t="inlineStr">
        <is>
          <t>三类近战</t>
        </is>
      </c>
      <c r="K44" s="76" t="inlineStr">
        <is>
          <t>已完成</t>
        </is>
      </c>
      <c r="L44" s="76" t="inlineStr">
        <is>
          <t>P0</t>
        </is>
      </c>
      <c r="M44" s="76" t="inlineStr">
        <is>
          <t>v001</t>
        </is>
      </c>
      <c r="N44" s="76" t="inlineStr">
        <is>
          <t>静态Prefab几何+Shader；无碰撞</t>
        </is>
      </c>
      <c r="O44" s="76" t="inlineStr">
        <is>
          <t>assets/art/vfx/combat_3d/vfx_axe_cleave_root_top3d.tscn</t>
        </is>
      </c>
      <c r="P44" s="76" t="inlineStr">
        <is>
          <t>src/vfx/VfxAxeCleave3D.gd；docs/v0.1/development/2026-10-16_melee_styles_v041.md</t>
        </is>
      </c>
      <c r="Q44" s="76" t="inlineStr">
        <is>
          <t>战斧下劈弧光</t>
        </is>
      </c>
      <c r="R44" s="76">
        <f>LOWER(TRIM(C44)&amp;"|"&amp;TRIM(D44)&amp;"|"&amp;TRIM(E44)&amp;"|"&amp;TRIM(F44)&amp;"|"&amp;TRIM(H44)&amp;"|"&amp;TRIM(I44))</f>
        <v/>
      </c>
      <c r="S44" s="76">
        <f>IF(COUNTIF($R$6:$R$55,R44)&gt;1,"重复","唯一")</f>
        <v/>
      </c>
      <c r="T44" s="76" t="inlineStr">
        <is>
          <t>7b5a11e6d3120623b404a81cd62d0e265852cd77fecb41f6c4043ec4459eeb9f</t>
        </is>
      </c>
      <c r="U44" s="76" t="inlineStr">
        <is>
          <t>Codex</t>
        </is>
      </c>
      <c r="V44" s="77" t="n">
        <v>46311</v>
      </c>
      <c r="W44" s="76" t="inlineStr">
        <is>
          <t>原创Godot几何与Shader</t>
        </is>
      </c>
      <c r="X44" s="76" t="inlineStr">
        <is>
          <t>FX01-25</t>
        </is>
      </c>
      <c r="Y44" s="76" t="inlineStr">
        <is>
          <t>竖向橙金弧，随玩家朝向，有效阶段消退；池化/跟随/回收/真实渲染通过；无伤害逻辑</t>
        </is>
      </c>
    </row>
    <row r="45" ht="70" customHeight="1" s="52">
      <c r="A45" s="76" t="inlineStr">
        <is>
          <t>VFX-MELEE-AXE-IMPACT-3D</t>
        </is>
      </c>
      <c r="B45" s="76" t="inlineStr">
        <is>
          <t>战斧触地冲击</t>
        </is>
      </c>
      <c r="C45" s="76" t="inlineStr">
        <is>
          <t>特效</t>
        </is>
      </c>
      <c r="D45" s="76" t="inlineStr">
        <is>
          <t>combat</t>
        </is>
      </c>
      <c r="E45" s="76" t="inlineStr">
        <is>
          <t>melee_axe_impact</t>
        </is>
      </c>
      <c r="F45" s="76" t="inlineStr">
        <is>
          <t>root_3d</t>
        </is>
      </c>
      <c r="G45" s="76" t="n"/>
      <c r="H45" s="76" t="inlineStr">
        <is>
          <t>俯视3D</t>
        </is>
      </c>
      <c r="I45" s="76" t="inlineStr">
        <is>
          <t>axe_impact</t>
        </is>
      </c>
      <c r="J45" s="76" t="inlineStr">
        <is>
          <t>三类近战</t>
        </is>
      </c>
      <c r="K45" s="76" t="inlineStr">
        <is>
          <t>已完成</t>
        </is>
      </c>
      <c r="L45" s="76" t="inlineStr">
        <is>
          <t>P0</t>
        </is>
      </c>
      <c r="M45" s="76" t="inlineStr">
        <is>
          <t>v001</t>
        </is>
      </c>
      <c r="N45" s="76" t="inlineStr">
        <is>
          <t>静态Prefab几何+Shader；无碰撞</t>
        </is>
      </c>
      <c r="O45" s="76" t="inlineStr">
        <is>
          <t>assets/art/vfx/combat_3d/vfx_axe_impact_root_top3d.tscn</t>
        </is>
      </c>
      <c r="P45" s="76" t="inlineStr">
        <is>
          <t>src/vfx/VfxAxeImpact3D.gd；docs/v0.1/development/2026-10-16_melee_styles_v041.md</t>
        </is>
      </c>
      <c r="Q45" s="76" t="inlineStr">
        <is>
          <t>战斧触地冲击</t>
        </is>
      </c>
      <c r="R45" s="76">
        <f>LOWER(TRIM(C45)&amp;"|"&amp;TRIM(D45)&amp;"|"&amp;TRIM(E45)&amp;"|"&amp;TRIM(F45)&amp;"|"&amp;TRIM(H45)&amp;"|"&amp;TRIM(I45))</f>
        <v/>
      </c>
      <c r="S45" s="76">
        <f>IF(COUNTIF($R$6:$R$55,R45)&gt;1,"重复","唯一")</f>
        <v/>
      </c>
      <c r="T45" s="76" t="inlineStr">
        <is>
          <t>46b1b343a0d62d13ad6d04df74e20598630794d1641c128c98682cee05f6e8c5</t>
        </is>
      </c>
      <c r="U45" s="76" t="inlineStr">
        <is>
          <t>Codex</t>
        </is>
      </c>
      <c r="V45" s="77" t="n">
        <v>46311</v>
      </c>
      <c r="W45" s="76" t="inlineStr">
        <is>
          <t>原创Godot几何与Shader</t>
        </is>
      </c>
      <c r="X45" s="76" t="inlineStr">
        <is>
          <t>FX01-26</t>
        </is>
      </c>
      <c r="Y45" s="76" t="inlineStr">
        <is>
          <t>落点扩散环与8枚碎屑，世界锚定；池化/跟随/回收/真实渲染通过；无伤害逻辑</t>
        </is>
      </c>
    </row>
    <row r="46" ht="70" customHeight="1" s="52">
      <c r="A46" s="76" t="inlineStr">
        <is>
          <t>VFX-MELEE-BLADE-SWEEP-3D</t>
        </is>
      </c>
      <c r="B46" s="76" t="inlineStr">
        <is>
          <t>大剑横扫弧光</t>
        </is>
      </c>
      <c r="C46" s="76" t="inlineStr">
        <is>
          <t>特效</t>
        </is>
      </c>
      <c r="D46" s="76" t="inlineStr">
        <is>
          <t>combat</t>
        </is>
      </c>
      <c r="E46" s="76" t="inlineStr">
        <is>
          <t>melee_blade_sweep</t>
        </is>
      </c>
      <c r="F46" s="76" t="inlineStr">
        <is>
          <t>root_3d</t>
        </is>
      </c>
      <c r="G46" s="76" t="n"/>
      <c r="H46" s="76" t="inlineStr">
        <is>
          <t>俯视3D</t>
        </is>
      </c>
      <c r="I46" s="76" t="inlineStr">
        <is>
          <t>blade_sweep</t>
        </is>
      </c>
      <c r="J46" s="76" t="inlineStr">
        <is>
          <t>三类近战</t>
        </is>
      </c>
      <c r="K46" s="76" t="inlineStr">
        <is>
          <t>已完成</t>
        </is>
      </c>
      <c r="L46" s="76" t="inlineStr">
        <is>
          <t>P0</t>
        </is>
      </c>
      <c r="M46" s="76" t="inlineStr">
        <is>
          <t>v001</t>
        </is>
      </c>
      <c r="N46" s="76" t="inlineStr">
        <is>
          <t>静态Prefab几何+Shader；无碰撞</t>
        </is>
      </c>
      <c r="O46" s="76" t="inlineStr">
        <is>
          <t>assets/art/vfx/combat_3d/vfx_blade_sweep_root_top3d.tscn</t>
        </is>
      </c>
      <c r="P46" s="76" t="inlineStr">
        <is>
          <t>src/vfx/VfxBladeSweep3D.gd；docs/v0.1/development/2026-10-16_melee_styles_v041.md</t>
        </is>
      </c>
      <c r="Q46" s="76" t="inlineStr">
        <is>
          <t>大剑横扫弧光</t>
        </is>
      </c>
      <c r="R46" s="76">
        <f>LOWER(TRIM(C46)&amp;"|"&amp;TRIM(D46)&amp;"|"&amp;TRIM(E46)&amp;"|"&amp;TRIM(F46)&amp;"|"&amp;TRIM(H46)&amp;"|"&amp;TRIM(I46))</f>
        <v/>
      </c>
      <c r="S46" s="76">
        <f>IF(COUNTIF($R$6:$R$55,R46)&gt;1,"重复","唯一")</f>
        <v/>
      </c>
      <c r="T46" s="76" t="inlineStr">
        <is>
          <t>6d06196bc0249b8be7713a8407673da3aa627627bff517f0c644a199eebce79b</t>
        </is>
      </c>
      <c r="U46" s="76" t="inlineStr">
        <is>
          <t>Codex</t>
        </is>
      </c>
      <c r="V46" s="77" t="n">
        <v>46311</v>
      </c>
      <c r="W46" s="76" t="inlineStr">
        <is>
          <t>原创Godot几何与Shader</t>
        </is>
      </c>
      <c r="X46" s="76" t="inlineStr">
        <is>
          <t>FX01-27</t>
        </is>
      </c>
      <c r="Y46" s="76" t="inlineStr">
        <is>
          <t>蓝白弧，第二击反向，随玩家；池化/跟随/回收/真实渲染通过；无伤害逻辑</t>
        </is>
      </c>
    </row>
    <row r="47" ht="70" customHeight="1" s="52">
      <c r="A47" s="76" t="inlineStr">
        <is>
          <t>VFX-MELEE-BLADE-WHIRLWIND-3D</t>
        </is>
      </c>
      <c r="B47" s="76" t="inlineStr">
        <is>
          <t>大剑旋风环</t>
        </is>
      </c>
      <c r="C47" s="76" t="inlineStr">
        <is>
          <t>特效</t>
        </is>
      </c>
      <c r="D47" s="76" t="inlineStr">
        <is>
          <t>combat</t>
        </is>
      </c>
      <c r="E47" s="76" t="inlineStr">
        <is>
          <t>melee_blade_whirlwind</t>
        </is>
      </c>
      <c r="F47" s="76" t="inlineStr">
        <is>
          <t>root_3d</t>
        </is>
      </c>
      <c r="G47" s="76" t="n"/>
      <c r="H47" s="76" t="inlineStr">
        <is>
          <t>俯视3D</t>
        </is>
      </c>
      <c r="I47" s="76" t="inlineStr">
        <is>
          <t>blade_whirlwind</t>
        </is>
      </c>
      <c r="J47" s="76" t="inlineStr">
        <is>
          <t>三类近战</t>
        </is>
      </c>
      <c r="K47" s="76" t="inlineStr">
        <is>
          <t>已完成</t>
        </is>
      </c>
      <c r="L47" s="76" t="inlineStr">
        <is>
          <t>P0</t>
        </is>
      </c>
      <c r="M47" s="76" t="inlineStr">
        <is>
          <t>v001</t>
        </is>
      </c>
      <c r="N47" s="76" t="inlineStr">
        <is>
          <t>静态Prefab几何+Shader；无碰撞</t>
        </is>
      </c>
      <c r="O47" s="76" t="inlineStr">
        <is>
          <t>assets/art/vfx/combat_3d/vfx_blade_whirlwind_root_top3d.tscn</t>
        </is>
      </c>
      <c r="P47" s="76" t="inlineStr">
        <is>
          <t>src/vfx/VfxBladeWhirlwind3D.gd；docs/v0.1/development/2026-10-16_melee_styles_v041.md</t>
        </is>
      </c>
      <c r="Q47" s="76" t="inlineStr">
        <is>
          <t>大剑旋风环</t>
        </is>
      </c>
      <c r="R47" s="76">
        <f>LOWER(TRIM(C47)&amp;"|"&amp;TRIM(D47)&amp;"|"&amp;TRIM(E47)&amp;"|"&amp;TRIM(F47)&amp;"|"&amp;TRIM(H47)&amp;"|"&amp;TRIM(I47))</f>
        <v/>
      </c>
      <c r="S47" s="76">
        <f>IF(COUNTIF($R$6:$R$55,R47)&gt;1,"重复","唯一")</f>
        <v/>
      </c>
      <c r="T47" s="76" t="inlineStr">
        <is>
          <t>48ece915e68370e24e06f9f53ed382585176d5bccfb4bf3133359632806dfc41</t>
        </is>
      </c>
      <c r="U47" s="76" t="inlineStr">
        <is>
          <t>Codex</t>
        </is>
      </c>
      <c r="V47" s="77" t="n">
        <v>46311</v>
      </c>
      <c r="W47" s="76" t="inlineStr">
        <is>
          <t>原创Godot几何与Shader</t>
        </is>
      </c>
      <c r="X47" s="76" t="inlineStr">
        <is>
          <t>FX01-28</t>
        </is>
      </c>
      <c r="Y47" s="76" t="inlineStr">
        <is>
          <t>蓝白双层断续环，每0.55秒旋转，释放/中断归还；池化/跟随/回收/真实渲染通过；无伤害逻辑</t>
        </is>
      </c>
    </row>
    <row r="48" ht="70" customHeight="1" s="52">
      <c r="A48" s="76" t="inlineStr">
        <is>
          <t>VFX-FATE-FIRE-3D</t>
        </is>
      </c>
      <c r="B48" s="76" t="inlineStr">
        <is>
          <t>命运火焰跳动</t>
        </is>
      </c>
      <c r="C48" s="76" t="inlineStr">
        <is>
          <t>特效</t>
        </is>
      </c>
      <c r="D48" s="76" t="inlineStr">
        <is>
          <t>status</t>
        </is>
      </c>
      <c r="E48" s="76" t="inlineStr">
        <is>
          <t>fate_fire</t>
        </is>
      </c>
      <c r="F48" s="76" t="inlineStr">
        <is>
          <t>root_3d</t>
        </is>
      </c>
      <c r="G48" s="76" t="n"/>
      <c r="H48" s="76" t="inlineStr">
        <is>
          <t>俯视3D</t>
        </is>
      </c>
      <c r="I48" s="76" t="inlineStr">
        <is>
          <t>fire</t>
        </is>
      </c>
      <c r="J48" s="76" t="inlineStr">
        <is>
          <t>命运元素与战斗伤害</t>
        </is>
      </c>
      <c r="K48" s="76" t="inlineStr">
        <is>
          <t>已完成</t>
        </is>
      </c>
      <c r="L48" s="76" t="inlineStr">
        <is>
          <t>P1</t>
        </is>
      </c>
      <c r="M48" s="76" t="inlineStr">
        <is>
          <t>v001</t>
        </is>
      </c>
      <c r="N48" s="76" t="inlineStr">
        <is>
          <t>4枚橙红火舌错相跳动，状态Owner驱动结束</t>
        </is>
      </c>
      <c r="O48" s="76" t="inlineStr">
        <is>
          <t>assets/art/vfx/combat_3d/vfx_fate_fire_root_top3d.tscn</t>
        </is>
      </c>
      <c r="P48" s="76" t="inlineStr">
        <is>
          <t>src/vfx/VfxFateFire3D.gd; docs/v0.1/14.6_特效系统与制作规范.md</t>
        </is>
      </c>
      <c r="Q48" s="76" t="inlineStr">
        <is>
          <t>命运;低粒子;元素反馈</t>
        </is>
      </c>
      <c r="R48" s="76">
        <f>LOWER(TRIM(C48)&amp;"|"&amp;TRIM(D48)&amp;"|"&amp;TRIM(E48)&amp;"|"&amp;TRIM(F48)&amp;"|"&amp;TRIM(H48)&amp;"|"&amp;TRIM(I48))</f>
        <v/>
      </c>
      <c r="S48" s="76">
        <f>IF(COUNTIF($R$6:$R$55,R48)&gt;1,"重复","唯一")</f>
        <v/>
      </c>
      <c r="T48" s="76" t="inlineStr">
        <is>
          <t>03902f15f0dd9025723b7c9aeb14a08b819a5ca4eda4c38a3a0ca77c9a070991</t>
        </is>
      </c>
      <c r="U48" s="76" t="inlineStr">
        <is>
          <t>Codex</t>
        </is>
      </c>
      <c r="V48" s="77" t="inlineStr">
        <is>
          <t>2026-10-18</t>
        </is>
      </c>
      <c r="W48" s="76" t="inlineStr">
        <is>
          <t>原创Godot Prefab与脚本</t>
        </is>
      </c>
      <c r="X48" s="76" t="inlineStr">
        <is>
          <t>FX01-29</t>
        </is>
      </c>
      <c r="Y48" s="76" t="inlineStr">
        <is>
          <t>独立Prefab；无碰撞；机制与独立真实渲染验证，完整战局压力另验。</t>
        </is>
      </c>
    </row>
    <row r="49" ht="70" customHeight="1" s="52">
      <c r="A49" s="76" t="inlineStr">
        <is>
          <t>VFX-FATE-FROST-3D</t>
        </is>
      </c>
      <c r="B49" s="76" t="inlineStr">
        <is>
          <t>命运脚底冰霜</t>
        </is>
      </c>
      <c r="C49" s="76" t="inlineStr">
        <is>
          <t>特效</t>
        </is>
      </c>
      <c r="D49" s="76" t="inlineStr">
        <is>
          <t>status</t>
        </is>
      </c>
      <c r="E49" s="76" t="inlineStr">
        <is>
          <t>fate_frost</t>
        </is>
      </c>
      <c r="F49" s="76" t="inlineStr">
        <is>
          <t>root_3d</t>
        </is>
      </c>
      <c r="G49" s="76" t="n"/>
      <c r="H49" s="76" t="inlineStr">
        <is>
          <t>俯视3D</t>
        </is>
      </c>
      <c r="I49" s="76" t="inlineStr">
        <is>
          <t>frost</t>
        </is>
      </c>
      <c r="J49" s="76" t="inlineStr">
        <is>
          <t>命运元素与战斗伤害</t>
        </is>
      </c>
      <c r="K49" s="76" t="inlineStr">
        <is>
          <t>已完成</t>
        </is>
      </c>
      <c r="L49" s="76" t="inlineStr">
        <is>
          <t>P1</t>
        </is>
      </c>
      <c r="M49" s="76" t="inlineStr">
        <is>
          <t>v001</t>
        </is>
      </c>
      <c r="N49" s="76" t="inlineStr">
        <is>
          <t>4枚冰晶＋薄霜面，冻结/命运减速期间跟随脚底</t>
        </is>
      </c>
      <c r="O49" s="76" t="inlineStr">
        <is>
          <t>assets/art/vfx/combat_3d/vfx_fate_frost_root_top3d.tscn</t>
        </is>
      </c>
      <c r="P49" s="76" t="inlineStr">
        <is>
          <t>src/vfx/VfxFateFrost3D.gd; docs/v0.1/14.6_特效系统与制作规范.md</t>
        </is>
      </c>
      <c r="Q49" s="76" t="inlineStr">
        <is>
          <t>命运;低粒子;元素反馈</t>
        </is>
      </c>
      <c r="R49" s="76">
        <f>LOWER(TRIM(C49)&amp;"|"&amp;TRIM(D49)&amp;"|"&amp;TRIM(E49)&amp;"|"&amp;TRIM(F49)&amp;"|"&amp;TRIM(H49)&amp;"|"&amp;TRIM(I49))</f>
        <v/>
      </c>
      <c r="S49" s="76">
        <f>IF(COUNTIF($R$6:$R$55,R49)&gt;1,"重复","唯一")</f>
        <v/>
      </c>
      <c r="T49" s="76" t="inlineStr">
        <is>
          <t>e02f112d7004b76aa4211310aaa405666058d372a746f26a5af33f574dd49509</t>
        </is>
      </c>
      <c r="U49" s="76" t="inlineStr">
        <is>
          <t>Codex</t>
        </is>
      </c>
      <c r="V49" s="77" t="inlineStr">
        <is>
          <t>2026-10-18</t>
        </is>
      </c>
      <c r="W49" s="76" t="inlineStr">
        <is>
          <t>原创Godot Prefab与脚本</t>
        </is>
      </c>
      <c r="X49" s="76" t="inlineStr">
        <is>
          <t>FX01-30</t>
        </is>
      </c>
      <c r="Y49" s="76" t="inlineStr">
        <is>
          <t>独立Prefab；无碰撞；机制与独立真实渲染验证，完整战局压力另验。</t>
        </is>
      </c>
    </row>
    <row r="50" ht="70" customHeight="1" s="52">
      <c r="A50" s="76" t="inlineStr">
        <is>
          <t>VFX-FATE-POISON-3D</t>
        </is>
      </c>
      <c r="B50" s="76" t="inlineStr">
        <is>
          <t>命运环绕毒雾</t>
        </is>
      </c>
      <c r="C50" s="76" t="inlineStr">
        <is>
          <t>特效</t>
        </is>
      </c>
      <c r="D50" s="76" t="inlineStr">
        <is>
          <t>status</t>
        </is>
      </c>
      <c r="E50" s="76" t="inlineStr">
        <is>
          <t>fate_poison</t>
        </is>
      </c>
      <c r="F50" s="76" t="inlineStr">
        <is>
          <t>root_3d</t>
        </is>
      </c>
      <c r="G50" s="76" t="n"/>
      <c r="H50" s="76" t="inlineStr">
        <is>
          <t>俯视3D</t>
        </is>
      </c>
      <c r="I50" s="76" t="inlineStr">
        <is>
          <t>poison</t>
        </is>
      </c>
      <c r="J50" s="76" t="inlineStr">
        <is>
          <t>命运元素与战斗伤害</t>
        </is>
      </c>
      <c r="K50" s="76" t="inlineStr">
        <is>
          <t>已完成</t>
        </is>
      </c>
      <c r="L50" s="76" t="inlineStr">
        <is>
          <t>P1</t>
        </is>
      </c>
      <c r="M50" s="76" t="inlineStr">
        <is>
          <t>v001</t>
        </is>
      </c>
      <c r="N50" s="76" t="inlineStr">
        <is>
          <t>4团半透明绿雾环绕，叠层不增加粒子</t>
        </is>
      </c>
      <c r="O50" s="76" t="inlineStr">
        <is>
          <t>assets/art/vfx/combat_3d/vfx_fate_poison_root_top3d.tscn</t>
        </is>
      </c>
      <c r="P50" s="76" t="inlineStr">
        <is>
          <t>src/vfx/VfxFatePoison3D.gd; docs/v0.1/14.6_特效系统与制作规范.md</t>
        </is>
      </c>
      <c r="Q50" s="76" t="inlineStr">
        <is>
          <t>命运;低粒子;元素反馈</t>
        </is>
      </c>
      <c r="R50" s="76">
        <f>LOWER(TRIM(C50)&amp;"|"&amp;TRIM(D50)&amp;"|"&amp;TRIM(E50)&amp;"|"&amp;TRIM(F50)&amp;"|"&amp;TRIM(H50)&amp;"|"&amp;TRIM(I50))</f>
        <v/>
      </c>
      <c r="S50" s="76">
        <f>IF(COUNTIF($R$6:$R$55,R50)&gt;1,"重复","唯一")</f>
        <v/>
      </c>
      <c r="T50" s="76" t="inlineStr">
        <is>
          <t>ecc785a682d13974154067c6c34c5c3fa8f10778054f830789aad4b34654929a</t>
        </is>
      </c>
      <c r="U50" s="76" t="inlineStr">
        <is>
          <t>Codex</t>
        </is>
      </c>
      <c r="V50" s="77" t="inlineStr">
        <is>
          <t>2026-10-18</t>
        </is>
      </c>
      <c r="W50" s="76" t="inlineStr">
        <is>
          <t>原创Godot Prefab与脚本</t>
        </is>
      </c>
      <c r="X50" s="76" t="inlineStr">
        <is>
          <t>FX01-31</t>
        </is>
      </c>
      <c r="Y50" s="76" t="inlineStr">
        <is>
          <t>独立Prefab；无碰撞；机制与独立真实渲染验证，完整战局压力另验。</t>
        </is>
      </c>
    </row>
    <row r="51" ht="70" customHeight="1" s="52">
      <c r="A51" s="76" t="inlineStr">
        <is>
          <t>VFX-FATE-LIGHTNING-3D</t>
        </is>
      </c>
      <c r="B51" s="76" t="inlineStr">
        <is>
          <t>命运连锁闪电</t>
        </is>
      </c>
      <c r="C51" s="76" t="inlineStr">
        <is>
          <t>特效</t>
        </is>
      </c>
      <c r="D51" s="76" t="inlineStr">
        <is>
          <t>combat</t>
        </is>
      </c>
      <c r="E51" s="76" t="inlineStr">
        <is>
          <t>fate_lightning</t>
        </is>
      </c>
      <c r="F51" s="76" t="inlineStr">
        <is>
          <t>root_3d</t>
        </is>
      </c>
      <c r="G51" s="76" t="n"/>
      <c r="H51" s="76" t="inlineStr">
        <is>
          <t>俯视3D</t>
        </is>
      </c>
      <c r="I51" s="76" t="inlineStr">
        <is>
          <t>lightning</t>
        </is>
      </c>
      <c r="J51" s="76" t="inlineStr">
        <is>
          <t>命运元素与战斗伤害</t>
        </is>
      </c>
      <c r="K51" s="76" t="inlineStr">
        <is>
          <t>已完成</t>
        </is>
      </c>
      <c r="L51" s="76" t="inlineStr">
        <is>
          <t>P1</t>
        </is>
      </c>
      <c r="M51" s="76" t="inlineStr">
        <is>
          <t>v001</t>
        </is>
      </c>
      <c r="N51" s="76" t="inlineStr">
        <is>
          <t>4枚火星（两端各2）＋6段电弧/光晕；0.045s飞出，0.20s收尾</t>
        </is>
      </c>
      <c r="O51" s="76" t="inlineStr">
        <is>
          <t>assets/art/vfx/combat_3d/vfx_fate_lightning_root_top3d.tscn</t>
        </is>
      </c>
      <c r="P51" s="76" t="inlineStr">
        <is>
          <t>src/vfx/VfxFateLightning3D.gd; docs/v0.1/14.6_特效系统与制作规范.md</t>
        </is>
      </c>
      <c r="Q51" s="76" t="inlineStr">
        <is>
          <t>命运;低粒子;元素反馈</t>
        </is>
      </c>
      <c r="R51" s="76">
        <f>LOWER(TRIM(C51)&amp;"|"&amp;TRIM(D51)&amp;"|"&amp;TRIM(E51)&amp;"|"&amp;TRIM(F51)&amp;"|"&amp;TRIM(H51)&amp;"|"&amp;TRIM(I51))</f>
        <v/>
      </c>
      <c r="S51" s="76">
        <f>IF(COUNTIF($R$6:$R$55,R51)&gt;1,"重复","唯一")</f>
        <v/>
      </c>
      <c r="T51" s="76" t="inlineStr">
        <is>
          <t>e7c4d18cc74177f6146c0f7bc9545671ab976479b7280db63dda40a300bb8e39</t>
        </is>
      </c>
      <c r="U51" s="76" t="inlineStr">
        <is>
          <t>Codex</t>
        </is>
      </c>
      <c r="V51" s="77" t="inlineStr">
        <is>
          <t>2026-10-18</t>
        </is>
      </c>
      <c r="W51" s="76" t="inlineStr">
        <is>
          <t>原创Godot Prefab与脚本</t>
        </is>
      </c>
      <c r="X51" s="76" t="inlineStr">
        <is>
          <t>FX01-32</t>
        </is>
      </c>
      <c r="Y51" s="76" t="inlineStr">
        <is>
          <t>独立Prefab；无碰撞；机制与独立真实渲染验证，完整战局压力另验。</t>
        </is>
      </c>
    </row>
    <row r="52" ht="70" customHeight="1" s="52">
      <c r="A52" s="76" t="inlineStr">
        <is>
          <t>VFX-DAMAGE-NUMBER-3D</t>
        </is>
      </c>
      <c r="B52" s="76" t="inlineStr">
        <is>
          <t>伤害数字飘字特效</t>
        </is>
      </c>
      <c r="C52" s="76" t="inlineStr">
        <is>
          <t>特效</t>
        </is>
      </c>
      <c r="D52" s="76" t="inlineStr">
        <is>
          <t>combat</t>
        </is>
      </c>
      <c r="E52" s="76" t="inlineStr">
        <is>
          <t>damage_number_3d</t>
        </is>
      </c>
      <c r="F52" s="76" t="inlineStr">
        <is>
          <t>root_3d</t>
        </is>
      </c>
      <c r="G52" s="76" t="n"/>
      <c r="H52" s="76" t="inlineStr">
        <is>
          <t>俯视3D</t>
        </is>
      </c>
      <c r="I52" s="76" t="inlineStr">
        <is>
          <t>damage_number</t>
        </is>
      </c>
      <c r="J52" s="76" t="inlineStr">
        <is>
          <t>命运元素与战斗伤害</t>
        </is>
      </c>
      <c r="K52" s="76" t="inlineStr">
        <is>
          <t>已完成</t>
        </is>
      </c>
      <c r="L52" s="76" t="inlineStr">
        <is>
          <t>P1</t>
        </is>
      </c>
      <c r="M52" s="76" t="inlineStr">
        <is>
          <t>v005</t>
        </is>
      </c>
      <c r="N52" s="76" t="inlineStr">
        <is>
          <t>元素配色；0.56s先快后慢上升0.90m；字形与描边13/15/17保持</t>
        </is>
      </c>
      <c r="O52" s="76" t="inlineStr">
        <is>
          <t>assets/art/vfx/combat_3d/vfx_damage_number_root_top3d.tscn</t>
        </is>
      </c>
      <c r="P52" s="76" t="inlineStr">
        <is>
          <t>src/vfx/VfxDamageNumber3D.gd; docs/v0.1/14.6_特效系统与制作规范.md</t>
        </is>
      </c>
      <c r="Q52" s="76" t="inlineStr">
        <is>
          <t>命运;低粒子;元素反馈</t>
        </is>
      </c>
      <c r="R52" s="76">
        <f>LOWER(TRIM(C52)&amp;"|"&amp;TRIM(D52)&amp;"|"&amp;TRIM(E52)&amp;"|"&amp;TRIM(F52)&amp;"|"&amp;TRIM(H52)&amp;"|"&amp;TRIM(I52))</f>
        <v/>
      </c>
      <c r="S52" s="76">
        <f>IF(COUNTIF($R$6:$R$55,R52)&gt;1,"重复","唯一")</f>
        <v/>
      </c>
      <c r="T52" s="76" t="inlineStr">
        <is>
          <t>a6f316bb5949dbcc1216782f92d014a5c5ffdde0ab73b31abad90b787d7f36cd</t>
        </is>
      </c>
      <c r="U52" s="76" t="inlineStr">
        <is>
          <t>Codex</t>
        </is>
      </c>
      <c r="V52" s="77" t="inlineStr">
        <is>
          <t>2026-10-18</t>
        </is>
      </c>
      <c r="W52" s="76" t="inlineStr">
        <is>
          <t>原创Godot Prefab与脚本</t>
        </is>
      </c>
      <c r="X52" s="76" t="inlineStr">
        <is>
          <t>FX02-01</t>
        </is>
      </c>
      <c r="Y52" s="76" t="inlineStr">
        <is>
          <t>独立Prefab；无碰撞；机制与独立真实渲染验证，完整战局压力另验。</t>
        </is>
      </c>
    </row>
    <row r="53" ht="70" customHeight="1" s="52">
      <c r="A53" s="76" t="inlineStr">
        <is>
          <t>VFX-BOARD-DEBRIS-3D</t>
        </is>
      </c>
      <c r="B53" s="76" t="inlineStr">
        <is>
          <t>暗门木板碎块飞溅</t>
        </is>
      </c>
      <c r="C53" s="76" t="inlineStr">
        <is>
          <t>特效</t>
        </is>
      </c>
      <c r="D53" s="76" t="inlineStr">
        <is>
          <t>combat</t>
        </is>
      </c>
      <c r="E53" s="76" t="inlineStr">
        <is>
          <t>board_debris_3d</t>
        </is>
      </c>
      <c r="F53" s="76" t="inlineStr">
        <is>
          <t>root_3d</t>
        </is>
      </c>
      <c r="G53" s="76" t="n"/>
      <c r="H53" s="76" t="inlineStr">
        <is>
          <t>空间3D（朝房间侧）</t>
        </is>
      </c>
      <c r="I53" s="76" t="inlineStr">
        <is>
          <t>board_debris</t>
        </is>
      </c>
      <c r="J53" s="76" t="inlineStr">
        <is>
          <t>暗门破板事件</t>
        </is>
      </c>
      <c r="K53" s="76" t="inlineStr">
        <is>
          <t>已完成</t>
        </is>
      </c>
      <c r="L53" s="76" t="inlineStr">
        <is>
          <t>P1</t>
        </is>
      </c>
      <c r="M53" s="76" t="inlineStr">
        <is>
          <t>v001</t>
        </is>
      </c>
      <c r="N53" s="76" t="inlineStr">
        <is>
          <t>8 大块（0.36~0.58m 长 × 0.16~0.26m 宽 × 0.07~0.10m 厚）+ 5 片小碎屑（0.045~0.085m）；2.85s 寿命；散布 3~5m</t>
        </is>
      </c>
      <c r="O53" s="76" t="inlineStr">
        <is>
          <t>assets/art/vfx/combat_3d/vfx_board_debris_root_top3d.tscn</t>
        </is>
      </c>
      <c r="P53" s="76" t="inlineStr">
        <is>
          <t>src/vfx/VfxBoardDebris3D.gd; docs/v0.1/14.6_特效系统与制作规范.md</t>
        </is>
      </c>
      <c r="Q53" s="76" t="inlineStr">
        <is>
          <t>暗门;破板;木块;碎屑;大块;木板崩飞</t>
        </is>
      </c>
      <c r="R53" s="76">
        <f>LOWER(TRIM(C53)&amp;"|"&amp;TRIM(D53)&amp;"|"&amp;TRIM(E53)&amp;"|"&amp;TRIM(F53)&amp;"|"&amp;TRIM(H53)&amp;"|"&amp;TRIM(I53))</f>
        <v/>
      </c>
      <c r="S53" s="76">
        <f>IF(COUNTIF($R$6:$R$55,R53)&gt;1,"重复","唯一")</f>
        <v/>
      </c>
      <c r="T53" s="76" t="inlineStr">
        <is>
          <t>8ca910cb20b27581965cff304912b70575b5bfd1ea6e79ea34f565e51ef7e4e5</t>
        </is>
      </c>
      <c r="U53" s="76" t="inlineStr">
        <is>
          <t>Codex</t>
        </is>
      </c>
      <c r="V53" s="77" t="inlineStr">
        <is>
          <t>2026-10-19</t>
        </is>
      </c>
      <c r="W53" s="76" t="inlineStr">
        <is>
          <t>原创Godot Prefab与脚本</t>
        </is>
      </c>
      <c r="X53" s="76" t="inlineStr">
        <is>
          <t>FX01-33</t>
        </is>
      </c>
      <c r="Y53" s="76" t="inlineStr">
        <is>
          <t>2026-10-19 新建（业主：「做一个门被打碎的木头飞出来的特效，大块一点的」）。8 大块 + 5 片小碎屑，程序化抛物飞行 → 触地弹跳 1 次 → 贴地滑行 → 放平静止（不接物理引擎，无碰撞体）；自带 DebrisLight（峰值 1.5 / 范围 3.6m / 无阴影 / 0.55s 归零）——塔内夜间光，无灯就是黑剪影。材质：金属度 metallic=0.0 / 反光度 roughness=0.86（PER_PIXEL 受光）+ 自发光 0.38（暗房里保住「木头」读法）。确定性：脚本内无 randf()，散开由调用方给的 context.seed 派生（同 seed 逐位可复现）。调用方 SecretDoor3D._break_open()：只在真打破时播，读档恢复 / 静默打开不重播。验收 tests/verification/verify_board_debris_vfx.tscn（9 条，含大块下限 0.30m + 上限 0.65m 双向）。</t>
        </is>
      </c>
    </row>
    <row r="54">
      <c r="A54" s="76" t="inlineStr">
        <is>
          <t>VFX-TELEPORT-OUT-3D</t>
        </is>
      </c>
      <c r="B54" s="76" t="inlineStr">
        <is>
          <t>瞬移消失反馈特效</t>
        </is>
      </c>
      <c r="C54" s="76" t="inlineStr">
        <is>
          <t>特效</t>
        </is>
      </c>
      <c r="D54" s="76" t="inlineStr">
        <is>
          <t>combat</t>
        </is>
      </c>
      <c r="E54" s="76" t="inlineStr">
        <is>
          <t>teleport_out_3d</t>
        </is>
      </c>
      <c r="F54" s="76" t="inlineStr">
        <is>
          <t>root_3d</t>
        </is>
      </c>
      <c r="G54" s="76" t="n"/>
      <c r="H54" s="76" t="inlineStr">
        <is>
          <t>俯视3D（地面对称）</t>
        </is>
      </c>
      <c r="I54" s="76" t="inlineStr">
        <is>
          <t>teleport_out</t>
        </is>
      </c>
      <c r="J54" s="76" t="inlineStr">
        <is>
          <t>怪物位移（blink 原点 / 原地消失）</t>
        </is>
      </c>
      <c r="K54" s="76" t="inlineStr">
        <is>
          <t>已完成</t>
        </is>
      </c>
      <c r="L54" s="76" t="inlineStr">
        <is>
          <t>P1</t>
        </is>
      </c>
      <c r="M54" s="76" t="inlineStr">
        <is>
          <t>v001</t>
        </is>
      </c>
      <c r="N54" s="76" t="inlineStr">
        <is>
          <t>水平能量环（基线外径 0.72m，尺度 1.35→0.15 倍收拢）+ 中心亮芯 + 7 根竖直能量丝（0.62→0.20m，随 t 上抽并变短）；lifetime 0.22s；整体尺寸档 effect_size（默认 1.0 ≈ 直径 1.4m）</t>
        </is>
      </c>
      <c r="O54" s="76" t="inlineStr">
        <is>
          <t>assets/art/vfx/combat_3d/vfx_teleport_out_root_top3d.tscn</t>
        </is>
      </c>
      <c r="P54" s="76" t="inlineStr">
        <is>
          <t>src/vfx/VfxTeleport3D.gd; docs/v0.1/14.6_特效系统与制作规范.md</t>
        </is>
      </c>
      <c r="Q54" s="76" t="inlineStr">
        <is>
          <t>瞬移;消失;blink;传送;消失点;位移;空尖弹;枪法师;逃跑怪</t>
        </is>
      </c>
      <c r="R54" s="76">
        <f>LOWER(TRIM(C54)&amp;"|"&amp;TRIM(D54)&amp;"|"&amp;TRIM(E54)&amp;"|"&amp;TRIM(F54)&amp;"|"&amp;TRIM(H54)&amp;"|"&amp;TRIM(I54))</f>
        <v/>
      </c>
      <c r="S54" s="76">
        <f>IF(COUNTIF($R$6:$R$55,R54)&gt;1,"重复","唯一")</f>
        <v/>
      </c>
      <c r="T54" s="76" t="inlineStr">
        <is>
          <t>a466603951e5c4e8a67f572e1491de7ca01b0c9ab35ad31f60fd669369d2b01e</t>
        </is>
      </c>
      <c r="U54" s="76" t="inlineStr">
        <is>
          <t>Codex</t>
        </is>
      </c>
      <c r="V54" s="77" t="inlineStr">
        <is>
          <t>2026-10-31</t>
        </is>
      </c>
      <c r="W54" s="76" t="inlineStr">
        <is>
          <t>原创Godot Prefab与脚本</t>
        </is>
      </c>
      <c r="X54" s="76" t="inlineStr">
        <is>
          <t>FX01-34</t>
        </is>
      </c>
      <c r="Y54" s="76" t="inlineStr">
        <is>
          <t>2026-10-31 新建（业主：「带有瞬移还有位移的一些怪物，出现消失的那个位置需要有一些反馈特效……不然怪物突然消失出现很奇怪」）。
**为什么必须有**：远征03 的 blink 是直接改 `global_position`（`Enemy3D._blink_to_random`），中间没有任何轨迹或过渡帧；`_vanish()` 同理是原地蒸发。修前只有 `avatar.flash_hit()` 闪白一下，玩家读到的是「模型抖了一下就没了」。
视觉：环由大收小 ⇒ 读作「被抽走」；7 根竖丝向上抽离并变短 ⇒ 加强「离场」方向感。unshaded 自发光、无灯、不投影、无碰撞，夜间塔内不依赖场景光照（同 FX01-02 口径）。
颜色取 `EnemyAvatar3D.COLORS[enemy_kind]`（由 `Enemy3D._spawn_effect_at` 下发），所以空尖弹是紫环、枪法师是浅紫环，玩家能顺带读出「是谁闪的」。
**与 FX01-35 必须成对**：只播消失会被当成逃跑（玩家会去追一个已经不在那的敌人），只播出现会被当成凭空刷新。
与 FX01-35 同脚本（`VfxTeleport3D.gd`），靠导出项 `mode` 区分方向；拆两件是因为池按 AssetID 分桶、账本按 AssetID 一行一件。</t>
        </is>
      </c>
    </row>
    <row r="55">
      <c r="A55" s="76" t="inlineStr">
        <is>
          <t>VFX-TELEPORT-IN-3D</t>
        </is>
      </c>
      <c r="B55" s="76" t="inlineStr">
        <is>
          <t>瞬移出现反馈特效</t>
        </is>
      </c>
      <c r="C55" s="76" t="inlineStr">
        <is>
          <t>特效</t>
        </is>
      </c>
      <c r="D55" s="76" t="inlineStr">
        <is>
          <t>combat</t>
        </is>
      </c>
      <c r="E55" s="76" t="inlineStr">
        <is>
          <t>teleport_in_3d</t>
        </is>
      </c>
      <c r="F55" s="76" t="inlineStr">
        <is>
          <t>root_3d</t>
        </is>
      </c>
      <c r="G55" s="76" t="n"/>
      <c r="H55" s="76" t="inlineStr">
        <is>
          <t>俯视3D（地面对称）</t>
        </is>
      </c>
      <c r="I55" s="76" t="inlineStr">
        <is>
          <t>teleport_in</t>
        </is>
      </c>
      <c r="J55" s="76" t="inlineStr">
        <is>
          <t>怪物位移（blink 落点）</t>
        </is>
      </c>
      <c r="K55" s="76" t="inlineStr">
        <is>
          <t>已完成</t>
        </is>
      </c>
      <c r="L55" s="76" t="inlineStr">
        <is>
          <t>P1</t>
        </is>
      </c>
      <c r="M55" s="76" t="inlineStr">
        <is>
          <t>v001</t>
        </is>
      </c>
      <c r="N55" s="76" t="inlineStr">
        <is>
          <t>水平能量环（0.15→1.50 倍炸开）+ 中心亮芯（0.35t 处弹到最大再收）+ 7 根竖直能量丝（0.20→0.75m 向上冒出）；lifetime 0.26s；整体尺寸档 effect_size（默认 1.0 ≈ 直径 1.4m）</t>
        </is>
      </c>
      <c r="O55" s="76" t="inlineStr">
        <is>
          <t>assets/art/vfx/combat_3d/vfx_teleport_in_root_top3d.tscn</t>
        </is>
      </c>
      <c r="P55" s="76" t="inlineStr">
        <is>
          <t>src/vfx/VfxTeleport3D.gd; docs/v0.1/14.6_特效系统与制作规范.md</t>
        </is>
      </c>
      <c r="Q55" s="76" t="inlineStr">
        <is>
          <t>瞬移;出现;降临;blink;落点;传送;空尖弹;枪法师</t>
        </is>
      </c>
      <c r="R55" s="76">
        <f>LOWER(TRIM(C55)&amp;"|"&amp;TRIM(D55)&amp;"|"&amp;TRIM(E55)&amp;"|"&amp;TRIM(F55)&amp;"|"&amp;TRIM(H55)&amp;"|"&amp;TRIM(I55))</f>
        <v/>
      </c>
      <c r="S55" s="76">
        <f>IF(COUNTIF($R$6:$R$55,R55)&gt;1,"重复","唯一")</f>
        <v/>
      </c>
      <c r="T55" s="76" t="inlineStr">
        <is>
          <t>99b3da32d42f35fff4fdd2f3620bf06cf2adc9adc234d104a5270ce53e750d35</t>
        </is>
      </c>
      <c r="U55" s="76" t="inlineStr">
        <is>
          <t>Codex</t>
        </is>
      </c>
      <c r="V55" s="77" t="inlineStr">
        <is>
          <t>2026-10-31</t>
        </is>
      </c>
      <c r="W55" s="76" t="inlineStr">
        <is>
          <t>原创Godot Prefab与脚本</t>
        </is>
      </c>
      <c r="X55" s="76" t="inlineStr">
        <is>
          <t>FX01-35</t>
        </is>
      </c>
      <c r="Y55" s="76" t="inlineStr">
        <is>
          <t>2026-10-31 新建（同 FX01-34 一批）。
**为什么不能并进 FX01-34**：① 池按 asset_id 分桶，合并会让「消失」与「出现」抢同一批实例；② 账本要能分别查用量；③ 两者时间曲线方向相反（收拢 vs 炸开），参数无法共用。
视觉：环由小炸开 + 亮芯弹一下 ⇒ 「凭空生成」；竖丝向上冒出（与 FX01-34 的「上抽」同向，读作同一个能量场）。
**只挂在 blink 落点**，`_vanish()`（逃跑超时消失 / 抓握大师连抓空自毁）不播它 —— 那是真走了，播「出现」等于骗人。
尺寸与 FX01-34 同为 `Enemy3D.TELEPORT_FX_SIZE = 1.0`；门禁 `tools/_egt_teleport_fx_probe.gd` 逐层验（注册 → 预制件 mode/时长/不投影 → 位移两端各播一件 + 池里真有活跃实例）。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52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53" showDropDown="0" showInputMessage="0" showErrorMessage="0" allowBlank="1" type="list">
      <formula1>"角色,敌人,武器,道具,场景,场景道具,基地资产包,UI,特效,子弹特效,音效,音乐"</formula1>
    </dataValidation>
    <dataValidation sqref="K6:K5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53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元素配色；0.56s先快后慢上升0.90m；字形与描边13/15/17保持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lifetime0.56s × duration_scale；上升0.90m；快速弹起减速淡出；元素色；字形116/134/152与描边13/15/17不变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v005</t>
        </is>
      </c>
      <c r="Q16" s="51" t="inlineStr">
        <is>
          <t>已实装；Prefab=assets/art/vfx/combat_3d/vfx_damage_number_root_top3d.tscn + 脚本=src/vfx/VfxDamageNumber3D.gd；根节点=VfxDamageNumber3D(Node3D)；FX编号 FX02-01；调用方：Enemy3D._spawn_damage_number 经 VfxPool3D 路由；接受 context.text_value；调用方：Enemy3D._spawn_damage_number 经 VfxPool3D 路由。【2026-10-16 样式重做】字体与样式真源收敛到 src/vfx/DamageNumberStyle.gd（漫画风超粗体：字体链首选 Impact、字重 900、MSDF 128；近黑粗勾边 ≈ 字高 22%）；随机数只活在调用方 Enemy3D._damage_number_context()，特效脚本对同一 context 逐位可复现。【P0 修复】_on_tick 原以**赋值**写 position（position.y = rise_t × 距离），出生坐标第一帧即被清零 —— 实测实机飘字跑到世界原点上方不到 1 米、与怪物楼层无关；改为 position = _origin_local + 偏移。Prefab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13,421（×83.9）。【2026-10-17 描边减半】**描边减半**（业主：「太粗了，缩小一半」）。v003 修好 `msdf_pixel_range` 后描边第一次足额渲染，实机看下来过粗 ⇒ 描边尺寸 26/30/34 → **13/15/17**（占字高 22% → 11%，描边色与淡出通道不变）。真源 `DamageNumberStyle.NORMAL/HEAVY/CRITICAL_OUTLINE_SIZE` 一处改动即覆盖三条链路。**距离场宽度不动**（仍 64）：需求 2 × max(描边 × msdf_size / 字号) 由 57.4 降到 28.7，64 依旧足额且支持描边到约 38 @ 字号 152，留余量以便后续微调不必重新定档。验收侧硬编码期望同步为 13/15/17、下界不等式随之重算为 28.7。反向对照两组：range→16（下界红）／真源描边偷偷改回 26（常量钉子红）—— 均精准变红后复绿。实机同帧 A/B（红色字形像素恒为 5,105 ⇒ 字形未变）：近黑描边像素 12,613 → 6,392（×0.507）。【2026-10-18】元素配色与更快飘动；补齐主表VFX-DAMAGE-NUMBER-3D登记，旧2D占位VFX-DAMAGE-NUMBER保留。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漫画风超粗字形 + 粗近黑勾边 + 治疗绿；参数 context.text_value/magnitude + 五维随机（同 FX02-01）。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pixel_size=0.00375；MSDF 128 + msdf_pixel_range 64（描边可达上限 ≈ range/2）；字号 116（世界字高 0.435 m）；描边 13；lifetime 0.70s × duration_scale；基线上升 0.90m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v004</t>
        </is>
      </c>
      <c r="Q17" s="51" t="inlineStr">
        <is>
          <t>已实装；Prefab=assets/art/vfx/combat_3d/vfx_heal_number_root_top3d.tscn + 脚本=src/vfx/VfxHealNumber3D.gd；根节点=VfxHealNumber3D(Node3D)；FX编号 FX02-02；调用方：Enemy3D._spawn_damage_number 经 VfxPool3D 路由；接受 context.text_value；调用方：Enemy3D._spawn_heal_number 经 VfxPool3D 路由（2026-10-16 起；此前治疗误借 VFX-DAMAGE-NUMBER-3D ⇒ 回血飘红字「0」，而本 AssetID 全工程零调用方）。【2026-10-16 样式重做】字体与样式取 src/vfx/DamageNumberStyle.gd，与 FX02-01 同源。Prefab 路径去掉历史误写的 _v001 后缀。【2026-10-17 勾边修复】**勾边修复：`msdf_pixel_range` 太小导致描边被截成 1px 细丝**。Godot 的 MSDF 字体下描边可达上限 ≈ msdf_pixel_range / 2，默认 16 只够到 8，而本件声明 26/30/34 ⇒ 被提前截断（症状：不报错不变红，且 outline_size 填 26 与 116 渲染结果逐像素完全相同）。修法：`DamageNumberStyle.MSDF_PIXEL_RANGE = 64`，在 `make_font()` 里赋给 `SystemFont.msdf_pixel_range`；三条链路共用该字体工厂，一处即全覆盖。定档实测（字形高约 108px 定尺拍摄）：range 16 → 实画 6px、48 → 21px、64/80 → 26px 足额、96 → 左右不对称（一侧整条丢失）⇒ 取 64，验收另设上界护栏 80。验收新增常量钉子 + 下界不等式 + 逐档「实例真带该值」断言；反向对照三组（16／96／删赋值）均精准变红后复绿。实机距离 A/B：描边像素 160 → 13,421（×83.9）。【2026-10-17 描边减半】**描边减半**（业主：「太粗了，缩小一半」）。v003 修好 `msdf_pixel_range` 后描边第一次足额渲染，实机看下来过粗 ⇒ 描边尺寸 26/30/34 → **13/15/17**（占字高 22% → 11%，描边色与淡出通道不变）。真源 `DamageNumberStyle.NORMAL/HEAVY/CRITICAL_OUTLINE_SIZE` 一处改动即覆盖三条链路。**距离场宽度不动**（仍 64）：需求 2 × max(描边 × msdf_size / 字号) 由 57.4 降到 28.7，64 依旧足额且支持描边到约 38 @ 字号 152，留余量以便后续微调不必重新定档。验收侧硬编码期望同步为 13/15/17、下界不等式随之重算为 28.7。反向对照两组：range→16（下界红）／真源描边偷偷改回 26（常量钉子红）—— 均精准变红后复绿。实机同帧 A/B（红色字形像素恒为 5,105 ⇒ 字形未变）：近黑描边像素 12,613 → 6,392（×0.507）。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A42" s="100" t="inlineStr">
        <is>
          <t>FX01-22</t>
        </is>
      </c>
      <c r="B42" s="101" t="inlineStr">
        <is>
          <t>VFX-FATE-ROCK-3D</t>
        </is>
      </c>
      <c r="C42" s="51" t="inlineStr">
        <is>
          <t>力量滚石弹</t>
        </is>
      </c>
      <c r="D42" s="101" t="inlineStr">
        <is>
          <t>assets/art/vfx/combat_3d/vfx_fate_rock_root_top3d.tscn</t>
        </is>
      </c>
      <c r="E42" s="51" t="inlineStr">
        <is>
          <t>无（Prefab几何）</t>
        </is>
      </c>
      <c r="F42" s="51" t="inlineStr">
        <is>
          <t>无（Prefab几何）</t>
        </is>
      </c>
      <c r="G42" s="51" t="inlineStr">
        <is>
          <t>低多边形石头，直径0.36m；随弹体滚动，不进入VfxPool3D</t>
        </is>
      </c>
      <c r="H42" s="101" t="inlineStr">
        <is>
          <t>src/vfx/VfxFateRock3D.gd</t>
        </is>
      </c>
      <c r="I42" s="51" t="inlineStr">
        <is>
          <t>无</t>
        </is>
      </c>
      <c r="J42" s="51" t="inlineStr">
        <is>
          <t>Projectile3D玩法碰撞</t>
        </is>
      </c>
      <c r="K42" s="51" t="inlineStr">
        <is>
          <t>无CollisionObject3D/CollisionShape3D</t>
        </is>
      </c>
      <c r="L42" s="51" t="inlineStr">
        <is>
          <t>0.36m</t>
        </is>
      </c>
      <c r="M42" s="51" t="inlineStr">
        <is>
          <t>原点=弹心；-Z前向；局部X滚动</t>
        </is>
      </c>
      <c r="N42" s="51" t="inlineStr">
        <is>
          <t>Projectile3D</t>
        </is>
      </c>
      <c r="O42" s="51" t="inlineStr">
        <is>
          <t>已完成</t>
        </is>
      </c>
      <c r="P42" s="101" t="inlineStr">
        <is>
          <t>v001</t>
        </is>
      </c>
      <c r="Q42" s="51" t="inlineStr">
        <is>
          <t>verify_star_physical_mounts与真实渲染通过；开发记录2026-10-16_star_physical_mounts.md</t>
        </is>
      </c>
    </row>
    <row r="43" ht="15" customHeight="1" s="52">
      <c r="A43" s="100" t="inlineStr">
        <is>
          <t>FX01-23</t>
        </is>
      </c>
      <c r="B43" s="101" t="inlineStr">
        <is>
          <t>VFX-FATE-ROCK-SHATTER-3D</t>
        </is>
      </c>
      <c r="C43" s="51" t="inlineStr">
        <is>
          <t>力量碎石爆散</t>
        </is>
      </c>
      <c r="D43" s="101" t="inlineStr">
        <is>
          <t>assets/art/vfx/combat_3d/vfx_fate_rock_shatter_root_top3d.tscn</t>
        </is>
      </c>
      <c r="E43" s="51" t="inlineStr">
        <is>
          <t>无（Prefab几何）</t>
        </is>
      </c>
      <c r="F43" s="51" t="inlineStr">
        <is>
          <t>无（Prefab几何）</t>
        </is>
      </c>
      <c r="G43" s="51" t="inlineStr">
        <is>
          <t>8枚石块径向飞散，0.55s；无灯无碰撞；进入VfxPool3D</t>
        </is>
      </c>
      <c r="H43" s="101" t="inlineStr">
        <is>
          <t>src/vfx/VfxFateRockShatter3D.gd</t>
        </is>
      </c>
      <c r="I43" s="51" t="inlineStr">
        <is>
          <t>无</t>
        </is>
      </c>
      <c r="J43" s="51" t="inlineStr">
        <is>
          <t>Projectile3D玩法碰撞</t>
        </is>
      </c>
      <c r="K43" s="51" t="inlineStr">
        <is>
          <t>无CollisionObject3D/CollisionShape3D</t>
        </is>
      </c>
      <c r="L43" s="51" t="inlineStr">
        <is>
          <t>0.55s，8枚碎块</t>
        </is>
      </c>
      <c r="M43" s="51" t="inlineStr">
        <is>
          <t>原点=命中点；径向碎裂</t>
        </is>
      </c>
      <c r="N43" s="51" t="inlineStr">
        <is>
          <t>Projectile3D</t>
        </is>
      </c>
      <c r="O43" s="51" t="inlineStr">
        <is>
          <t>已完成</t>
        </is>
      </c>
      <c r="P43" s="101" t="inlineStr">
        <is>
          <t>v001</t>
        </is>
      </c>
      <c r="Q43" s="51" t="inlineStr">
        <is>
          <t>verify_star_physical_mounts与真实渲染通过；开发记录2026-10-16_star_physical_mounts.md</t>
        </is>
      </c>
    </row>
    <row r="44" ht="70" customHeight="1" s="52">
      <c r="A44" s="100" t="inlineStr">
        <is>
          <t>FX01-24</t>
        </is>
      </c>
      <c r="B44" s="101" t="inlineStr">
        <is>
          <t>VFX-MELEE-AXE-CHARGE-3D</t>
        </is>
      </c>
      <c r="C44" s="51" t="inlineStr">
        <is>
          <t>战斧蓄力环</t>
        </is>
      </c>
      <c r="D44" s="101" t="inlineStr">
        <is>
          <t>assets/art/vfx/combat_3d/vfx_axe_charge_root_top3d.tscn</t>
        </is>
      </c>
      <c r="G44" s="51" t="inlineStr">
        <is>
          <t>收缩橙金双环，随玩家，持有至释放</t>
        </is>
      </c>
      <c r="H44" s="101" t="inlineStr">
        <is>
          <t>src/vfx/VfxAxeCharge3D.gd</t>
        </is>
      </c>
      <c r="I44" s="51" t="inlineStr">
        <is>
          <t>无</t>
        </is>
      </c>
      <c r="J44" s="51" t="inlineStr">
        <is>
          <t>无</t>
        </is>
      </c>
      <c r="K44" s="51" t="inlineStr">
        <is>
          <t>无</t>
        </is>
      </c>
      <c r="L44" s="51" t="inlineStr">
        <is>
          <t>基础半径1m×size</t>
        </is>
      </c>
      <c r="M44" s="51" t="inlineStr">
        <is>
          <t>local -Z前方；中心为特效原点</t>
        </is>
      </c>
      <c r="N44" s="51" t="inlineStr">
        <is>
          <t>PlayerMeleeCombat3D → VfxPool3D</t>
        </is>
      </c>
      <c r="O44" s="51" t="inlineStr">
        <is>
          <t>完成</t>
        </is>
      </c>
      <c r="P44" s="101" t="inlineStr">
        <is>
          <t>v001</t>
        </is>
      </c>
      <c r="Q44" s="101" t="inlineStr">
        <is>
          <t>docs/v0.1/development/2026-10-16_melee_styles_v041.md</t>
        </is>
      </c>
    </row>
    <row r="45" ht="70" customHeight="1" s="52">
      <c r="A45" s="100" t="inlineStr">
        <is>
          <t>FX01-25</t>
        </is>
      </c>
      <c r="B45" s="101" t="inlineStr">
        <is>
          <t>VFX-MELEE-AXE-CLEAVE-3D</t>
        </is>
      </c>
      <c r="C45" s="51" t="inlineStr">
        <is>
          <t>战斧下劈弧光</t>
        </is>
      </c>
      <c r="D45" s="101" t="inlineStr">
        <is>
          <t>assets/art/vfx/combat_3d/vfx_axe_cleave_root_top3d.tscn</t>
        </is>
      </c>
      <c r="G45" s="51" t="inlineStr">
        <is>
          <t>竖向橙金弧，随玩家朝向，有效阶段消退</t>
        </is>
      </c>
      <c r="H45" s="101" t="inlineStr">
        <is>
          <t>src/vfx/VfxAxeCleave3D.gd</t>
        </is>
      </c>
      <c r="I45" s="51" t="inlineStr">
        <is>
          <t>无</t>
        </is>
      </c>
      <c r="J45" s="51" t="inlineStr">
        <is>
          <t>无</t>
        </is>
      </c>
      <c r="K45" s="51" t="inlineStr">
        <is>
          <t>无</t>
        </is>
      </c>
      <c r="L45" s="51" t="inlineStr">
        <is>
          <t>基础半径1m×size</t>
        </is>
      </c>
      <c r="M45" s="51" t="inlineStr">
        <is>
          <t>local -Z前方；中心为特效原点</t>
        </is>
      </c>
      <c r="N45" s="51" t="inlineStr">
        <is>
          <t>PlayerMeleeCombat3D → VfxPool3D</t>
        </is>
      </c>
      <c r="O45" s="51" t="inlineStr">
        <is>
          <t>完成</t>
        </is>
      </c>
      <c r="P45" s="101" t="inlineStr">
        <is>
          <t>v001</t>
        </is>
      </c>
      <c r="Q45" s="101" t="inlineStr">
        <is>
          <t>docs/v0.1/development/2026-10-16_melee_styles_v041.md</t>
        </is>
      </c>
    </row>
    <row r="46" ht="70" customHeight="1" s="52">
      <c r="A46" s="100" t="inlineStr">
        <is>
          <t>FX01-26</t>
        </is>
      </c>
      <c r="B46" s="101" t="inlineStr">
        <is>
          <t>VFX-MELEE-AXE-IMPACT-3D</t>
        </is>
      </c>
      <c r="C46" s="51" t="inlineStr">
        <is>
          <t>战斧触地冲击</t>
        </is>
      </c>
      <c r="D46" s="101" t="inlineStr">
        <is>
          <t>assets/art/vfx/combat_3d/vfx_axe_impact_root_top3d.tscn</t>
        </is>
      </c>
      <c r="G46" s="51" t="inlineStr">
        <is>
          <t>落点扩散环与8枚碎屑，世界锚定</t>
        </is>
      </c>
      <c r="H46" s="101" t="inlineStr">
        <is>
          <t>src/vfx/VfxAxeImpact3D.gd</t>
        </is>
      </c>
      <c r="I46" s="51" t="inlineStr">
        <is>
          <t>无</t>
        </is>
      </c>
      <c r="J46" s="51" t="inlineStr">
        <is>
          <t>无</t>
        </is>
      </c>
      <c r="K46" s="51" t="inlineStr">
        <is>
          <t>无</t>
        </is>
      </c>
      <c r="L46" s="51" t="inlineStr">
        <is>
          <t>基础半径1m×size</t>
        </is>
      </c>
      <c r="M46" s="51" t="inlineStr">
        <is>
          <t>local -Z前方；中心为特效原点</t>
        </is>
      </c>
      <c r="N46" s="51" t="inlineStr">
        <is>
          <t>PlayerMeleeCombat3D → VfxPool3D</t>
        </is>
      </c>
      <c r="O46" s="51" t="inlineStr">
        <is>
          <t>完成</t>
        </is>
      </c>
      <c r="P46" s="101" t="inlineStr">
        <is>
          <t>v001</t>
        </is>
      </c>
      <c r="Q46" s="101" t="inlineStr">
        <is>
          <t>docs/v0.1/development/2026-10-16_melee_styles_v041.md</t>
        </is>
      </c>
    </row>
    <row r="47" ht="70" customHeight="1" s="52">
      <c r="A47" s="100" t="inlineStr">
        <is>
          <t>FX01-27</t>
        </is>
      </c>
      <c r="B47" s="101" t="inlineStr">
        <is>
          <t>VFX-MELEE-BLADE-SWEEP-3D</t>
        </is>
      </c>
      <c r="C47" s="51" t="inlineStr">
        <is>
          <t>大剑横扫弧光</t>
        </is>
      </c>
      <c r="D47" s="101" t="inlineStr">
        <is>
          <t>assets/art/vfx/combat_3d/vfx_blade_sweep_root_top3d.tscn</t>
        </is>
      </c>
      <c r="G47" s="51" t="inlineStr">
        <is>
          <t>蓝白弧，第二击反向，随玩家</t>
        </is>
      </c>
      <c r="H47" s="101" t="inlineStr">
        <is>
          <t>src/vfx/VfxBladeSweep3D.gd</t>
        </is>
      </c>
      <c r="I47" s="51" t="inlineStr">
        <is>
          <t>无</t>
        </is>
      </c>
      <c r="J47" s="51" t="inlineStr">
        <is>
          <t>无</t>
        </is>
      </c>
      <c r="K47" s="51" t="inlineStr">
        <is>
          <t>无</t>
        </is>
      </c>
      <c r="L47" s="51" t="inlineStr">
        <is>
          <t>基础半径1m×size</t>
        </is>
      </c>
      <c r="M47" s="51" t="inlineStr">
        <is>
          <t>local -Z前方；中心为特效原点</t>
        </is>
      </c>
      <c r="N47" s="51" t="inlineStr">
        <is>
          <t>PlayerMeleeCombat3D → VfxPool3D</t>
        </is>
      </c>
      <c r="O47" s="51" t="inlineStr">
        <is>
          <t>完成</t>
        </is>
      </c>
      <c r="P47" s="101" t="inlineStr">
        <is>
          <t>v001</t>
        </is>
      </c>
      <c r="Q47" s="101" t="inlineStr">
        <is>
          <t>docs/v0.1/development/2026-10-16_melee_styles_v041.md</t>
        </is>
      </c>
    </row>
    <row r="48" ht="70" customHeight="1" s="52">
      <c r="A48" s="100" t="inlineStr">
        <is>
          <t>FX01-28</t>
        </is>
      </c>
      <c r="B48" s="101" t="inlineStr">
        <is>
          <t>VFX-MELEE-BLADE-WHIRLWIND-3D</t>
        </is>
      </c>
      <c r="C48" s="51" t="inlineStr">
        <is>
          <t>大剑旋风环</t>
        </is>
      </c>
      <c r="D48" s="101" t="inlineStr">
        <is>
          <t>assets/art/vfx/combat_3d/vfx_blade_whirlwind_root_top3d.tscn</t>
        </is>
      </c>
      <c r="G48" s="51" t="inlineStr">
        <is>
          <t>蓝白双层断续环，每0.55秒旋转，释放/中断归还</t>
        </is>
      </c>
      <c r="H48" s="101" t="inlineStr">
        <is>
          <t>src/vfx/VfxBladeWhirlwind3D.gd</t>
        </is>
      </c>
      <c r="I48" s="51" t="inlineStr">
        <is>
          <t>无</t>
        </is>
      </c>
      <c r="J48" s="51" t="inlineStr">
        <is>
          <t>无</t>
        </is>
      </c>
      <c r="K48" s="51" t="inlineStr">
        <is>
          <t>无</t>
        </is>
      </c>
      <c r="L48" s="51" t="inlineStr">
        <is>
          <t>基础半径1m×size</t>
        </is>
      </c>
      <c r="M48" s="51" t="inlineStr">
        <is>
          <t>local -Z前方；中心为特效原点</t>
        </is>
      </c>
      <c r="N48" s="51" t="inlineStr">
        <is>
          <t>PlayerMeleeCombat3D → VfxPool3D</t>
        </is>
      </c>
      <c r="O48" s="51" t="inlineStr">
        <is>
          <t>完成</t>
        </is>
      </c>
      <c r="P48" s="101" t="inlineStr">
        <is>
          <t>v001</t>
        </is>
      </c>
      <c r="Q48" s="101" t="inlineStr">
        <is>
          <t>docs/v0.1/development/2026-10-16_melee_styles_v041.md</t>
        </is>
      </c>
    </row>
    <row r="49" ht="15" customHeight="1" s="52">
      <c r="A49" s="100" t="inlineStr">
        <is>
          <t>FX01-29</t>
        </is>
      </c>
      <c r="B49" s="101" t="inlineStr">
        <is>
          <t>VFX-FATE-FIRE-3D</t>
        </is>
      </c>
      <c r="C49" s="51" t="inlineStr">
        <is>
          <t>命运火焰跳动</t>
        </is>
      </c>
      <c r="D49" s="101" t="inlineStr">
        <is>
          <t>assets/art/vfx/combat_3d/vfx_fate_fire_root_top3d.tscn</t>
        </is>
      </c>
      <c r="E49" s="51" t="inlineStr">
        <is>
          <t>无（Prefab几何）</t>
        </is>
      </c>
      <c r="F49" s="51" t="inlineStr">
        <is>
          <t>无（Prefab几何）</t>
        </is>
      </c>
      <c r="G49" s="51" t="inlineStr">
        <is>
          <t>4枚橙红火舌错相跳动，状态Owner驱动结束</t>
        </is>
      </c>
      <c r="H49" s="101" t="inlineStr">
        <is>
          <t>src/vfx/VfxFateFire3D.gd</t>
        </is>
      </c>
      <c r="I49" s="51" t="inlineStr">
        <is>
          <t>无</t>
        </is>
      </c>
      <c r="J49" s="51" t="inlineStr">
        <is>
          <t>无</t>
        </is>
      </c>
      <c r="K49" s="51" t="inlineStr">
        <is>
          <t>无碰撞体</t>
        </is>
      </c>
      <c r="L49" s="51" t="inlineStr">
        <is>
          <t>4枚橙红火舌错相跳动，状态Owner驱动结束</t>
        </is>
      </c>
      <c r="M49" s="51" t="inlineStr">
        <is>
          <t>原点=脚底</t>
        </is>
      </c>
      <c r="N49" s="51" t="inlineStr">
        <is>
          <t>Enemy3D</t>
        </is>
      </c>
      <c r="O49" s="51" t="inlineStr">
        <is>
          <t>已完成</t>
        </is>
      </c>
      <c r="P49" s="101" t="inlineStr">
        <is>
          <t>v001</t>
        </is>
      </c>
      <c r="Q49" s="51" t="inlineStr">
        <is>
          <t>机制/池化/接线与真实渲染；docs/v0.1/development/2026-10-18_fate_elements.md</t>
        </is>
      </c>
    </row>
    <row r="50" ht="15" customHeight="1" s="52">
      <c r="A50" s="100" t="inlineStr">
        <is>
          <t>FX01-30</t>
        </is>
      </c>
      <c r="B50" s="101" t="inlineStr">
        <is>
          <t>VFX-FATE-FROST-3D</t>
        </is>
      </c>
      <c r="C50" s="51" t="inlineStr">
        <is>
          <t>命运脚底冰霜</t>
        </is>
      </c>
      <c r="D50" s="101" t="inlineStr">
        <is>
          <t>assets/art/vfx/combat_3d/vfx_fate_frost_root_top3d.tscn</t>
        </is>
      </c>
      <c r="E50" s="51" t="inlineStr">
        <is>
          <t>无（Prefab几何）</t>
        </is>
      </c>
      <c r="F50" s="51" t="inlineStr">
        <is>
          <t>无（Prefab几何）</t>
        </is>
      </c>
      <c r="G50" s="51" t="inlineStr">
        <is>
          <t>4枚冰晶＋薄霜面，冻结/命运减速期间跟随脚底</t>
        </is>
      </c>
      <c r="H50" s="101" t="inlineStr">
        <is>
          <t>src/vfx/VfxFateFrost3D.gd</t>
        </is>
      </c>
      <c r="I50" s="51" t="inlineStr">
        <is>
          <t>无</t>
        </is>
      </c>
      <c r="J50" s="51" t="inlineStr">
        <is>
          <t>无</t>
        </is>
      </c>
      <c r="K50" s="51" t="inlineStr">
        <is>
          <t>无碰撞体</t>
        </is>
      </c>
      <c r="L50" s="51" t="inlineStr">
        <is>
          <t>4枚冰晶＋薄霜面，冻结/命运减速期间跟随脚底</t>
        </is>
      </c>
      <c r="M50" s="51" t="inlineStr">
        <is>
          <t>原点=脚底</t>
        </is>
      </c>
      <c r="N50" s="51" t="inlineStr">
        <is>
          <t>Enemy3D</t>
        </is>
      </c>
      <c r="O50" s="51" t="inlineStr">
        <is>
          <t>已完成</t>
        </is>
      </c>
      <c r="P50" s="101" t="inlineStr">
        <is>
          <t>v001</t>
        </is>
      </c>
      <c r="Q50" s="51" t="inlineStr">
        <is>
          <t>机制/池化/接线与真实渲染；docs/v0.1/development/2026-10-18_fate_elements.md</t>
        </is>
      </c>
    </row>
    <row r="51" ht="15" customHeight="1" s="52">
      <c r="A51" s="100" t="inlineStr">
        <is>
          <t>FX01-31</t>
        </is>
      </c>
      <c r="B51" s="101" t="inlineStr">
        <is>
          <t>VFX-FATE-POISON-3D</t>
        </is>
      </c>
      <c r="C51" s="51" t="inlineStr">
        <is>
          <t>命运环绕毒雾</t>
        </is>
      </c>
      <c r="D51" s="101" t="inlineStr">
        <is>
          <t>assets/art/vfx/combat_3d/vfx_fate_poison_root_top3d.tscn</t>
        </is>
      </c>
      <c r="E51" s="51" t="inlineStr">
        <is>
          <t>无（Prefab几何）</t>
        </is>
      </c>
      <c r="F51" s="51" t="inlineStr">
        <is>
          <t>无（Prefab几何）</t>
        </is>
      </c>
      <c r="G51" s="51" t="inlineStr">
        <is>
          <t>4团半透明绿雾环绕，叠层不增加粒子</t>
        </is>
      </c>
      <c r="H51" s="101" t="inlineStr">
        <is>
          <t>src/vfx/VfxFatePoison3D.gd</t>
        </is>
      </c>
      <c r="I51" s="51" t="inlineStr">
        <is>
          <t>无</t>
        </is>
      </c>
      <c r="J51" s="51" t="inlineStr">
        <is>
          <t>无</t>
        </is>
      </c>
      <c r="K51" s="51" t="inlineStr">
        <is>
          <t>无碰撞体</t>
        </is>
      </c>
      <c r="L51" s="51" t="inlineStr">
        <is>
          <t>4团半透明绿雾环绕，叠层不增加粒子</t>
        </is>
      </c>
      <c r="M51" s="51" t="inlineStr">
        <is>
          <t>原点=脚底</t>
        </is>
      </c>
      <c r="N51" s="51" t="inlineStr">
        <is>
          <t>Enemy3D</t>
        </is>
      </c>
      <c r="O51" s="51" t="inlineStr">
        <is>
          <t>已完成</t>
        </is>
      </c>
      <c r="P51" s="101" t="inlineStr">
        <is>
          <t>v001</t>
        </is>
      </c>
      <c r="Q51" s="51" t="inlineStr">
        <is>
          <t>机制/池化/接线与真实渲染；docs/v0.1/development/2026-10-18_fate_elements.md</t>
        </is>
      </c>
    </row>
    <row r="52" ht="15" customHeight="1" s="52">
      <c r="A52" s="100" t="inlineStr">
        <is>
          <t>FX01-32</t>
        </is>
      </c>
      <c r="B52" s="101" t="inlineStr">
        <is>
          <t>VFX-FATE-LIGHTNING-3D</t>
        </is>
      </c>
      <c r="C52" s="51" t="inlineStr">
        <is>
          <t>命运连锁闪电</t>
        </is>
      </c>
      <c r="D52" s="101" t="inlineStr">
        <is>
          <t>assets/art/vfx/combat_3d/vfx_fate_lightning_root_top3d.tscn</t>
        </is>
      </c>
      <c r="E52" s="51" t="inlineStr">
        <is>
          <t>无（Prefab几何）</t>
        </is>
      </c>
      <c r="F52" s="51" t="inlineStr">
        <is>
          <t>无（Prefab几何）</t>
        </is>
      </c>
      <c r="G52" s="51" t="inlineStr">
        <is>
          <t>4枚火星（两端各2）＋6段电弧/光晕；0.045s飞出，0.20s收尾</t>
        </is>
      </c>
      <c r="H52" s="101" t="inlineStr">
        <is>
          <t>src/vfx/VfxFateLightning3D.gd</t>
        </is>
      </c>
      <c r="I52" s="51" t="inlineStr">
        <is>
          <t>无</t>
        </is>
      </c>
      <c r="J52" s="51" t="inlineStr">
        <is>
          <t>无</t>
        </is>
      </c>
      <c r="K52" s="51" t="inlineStr">
        <is>
          <t>无碰撞体</t>
        </is>
      </c>
      <c r="L52" s="51" t="inlineStr">
        <is>
          <t>4枚火星（两端各2）＋6段电弧/光晕；0.045s飞出，0.20s收尾</t>
        </is>
      </c>
      <c r="M52" s="51" t="inlineStr">
        <is>
          <t>原点=起点；context.end_position为世界终点</t>
        </is>
      </c>
      <c r="N52" s="51" t="inlineStr">
        <is>
          <t>Projectile3D</t>
        </is>
      </c>
      <c r="O52" s="51" t="inlineStr">
        <is>
          <t>已完成</t>
        </is>
      </c>
      <c r="P52" s="101" t="inlineStr">
        <is>
          <t>v001</t>
        </is>
      </c>
      <c r="Q52" s="51" t="inlineStr">
        <is>
          <t>机制/池化/接线与真实渲染；docs/v0.1/development/2026-10-18_fate_elements.md</t>
        </is>
      </c>
    </row>
    <row r="53" ht="15" customHeight="1" s="52">
      <c r="A53" s="100" t="inlineStr">
        <is>
          <t>FX01-33</t>
        </is>
      </c>
      <c r="B53" s="101" t="inlineStr">
        <is>
          <t>VFX-BOARD-DEBRIS-3D</t>
        </is>
      </c>
      <c r="C53" s="51" t="inlineStr">
        <is>
          <t>暗门木板碎块飞溅</t>
        </is>
      </c>
      <c r="D53" s="101" t="inlineStr">
        <is>
          <t>assets/art/vfx/combat_3d/vfx_board_debris_root_top3d.tscn</t>
        </is>
      </c>
      <c r="E53" s="51" t="inlineStr">
        <is>
          <t>无（Prefab几何）</t>
        </is>
      </c>
      <c r="F53" s="51" t="inlineStr">
        <is>
          <t>无（Prefab几何）</t>
        </is>
      </c>
      <c r="G53" s="51" t="inlineStr">
        <is>
          <t>暗门木板被打碎时，整面板崩成 8 块大木片 + 5 片小碎屑飞向房间侧，抛物落地、弹一下、贴地滑行后停住；自带 0.55s 暖色短灯照亮碎块</t>
        </is>
      </c>
      <c r="H53" s="101" t="inlineStr">
        <is>
          <t>src/vfx/VfxBoardDebris3D.gd</t>
        </is>
      </c>
      <c r="I53" s="51" t="inlineStr">
        <is>
          <t>无</t>
        </is>
      </c>
      <c r="J53" s="51" t="inlineStr">
        <is>
          <t>无</t>
        </is>
      </c>
      <c r="K53" s="51" t="inlineStr">
        <is>
          <t>无</t>
        </is>
      </c>
      <c r="L53" s="51" t="inlineStr">
        <is>
          <t>8 大块（0.36~0.58m 长 × 0.16~0.26m 宽 × 0.07~0.10m 厚）+ 5 片小碎屑（0.045~0.085m）；2.85s 寿命；散布 3~5m</t>
        </is>
      </c>
      <c r="M53" s="51" t="inlineStr">
        <is>
          <t>原点=门底中心（装配点），出生时抬高 1.25m 到门洞中部；局部 -Z 对齐 context.forward（门→房间侧），碎块朝房间内崩</t>
        </is>
      </c>
      <c r="N53" s="51" t="inlineStr">
        <is>
          <t>暗门木板被打碎时（SecretDoor3D._break_open → VfxPool3D.acquire）</t>
        </is>
      </c>
      <c r="O53" s="51" t="inlineStr">
        <is>
          <t>完成</t>
        </is>
      </c>
      <c r="P53" s="101" t="inlineStr">
        <is>
          <t>v001</t>
        </is>
      </c>
      <c r="Q53" s="51" t="inlineStr">
        <is>
          <t>2026-10-19 新建（业主：「做一个门被打碎的木头飞出来的特效，大块一点的」）。8 大块 + 5 片小碎屑，程序化抛物飞行 → 触地弹跳 1 次 → 贴地滑行 → 放平静止（不接物理引擎，无碰撞体）；自带 DebrisLight（峰值 1.5 / 范围 3.6m / 无阴影 / 0.55s 归零）——塔内夜间光，无灯就是黑剪影。材质：金属度 metallic=0.0 / 反光度 roughness=0.86（PER_PIXEL 受光）+ 自发光 0.38（暗房里保住「木头」读法）。确定性：脚本内无 randf()，散开由调用方给的 context.seed 派生（同 seed 逐位可复现）。调用方 SecretDoor3D._break_open()：只在真打破时播，读档恢复 / 静默打开不重播。验收 tests/verification/verify_board_debris_vfx.tscn（9 条，含大块下限 0.30m + 上限 0.65m 双向）。</t>
        </is>
      </c>
    </row>
    <row r="54" ht="15" customHeight="1" s="52">
      <c r="A54" s="97" t="inlineStr">
        <is>
          <t>▼ 01 战斗反馈（续）· 怪物位移表现（瞬移 / 消失）</t>
        </is>
      </c>
      <c r="B54" s="98" t="n"/>
      <c r="C54" s="98" t="n"/>
      <c r="D54" s="98" t="n"/>
      <c r="E54" s="98" t="n"/>
      <c r="F54" s="98" t="n"/>
      <c r="G54" s="98" t="n"/>
      <c r="H54" s="98" t="n"/>
      <c r="I54" s="98" t="n"/>
      <c r="J54" s="98" t="n"/>
      <c r="K54" s="98" t="n"/>
      <c r="L54" s="98" t="n"/>
      <c r="M54" s="98" t="n"/>
      <c r="N54" s="98" t="n"/>
      <c r="O54" s="98" t="n"/>
      <c r="P54" s="99" t="n"/>
      <c r="Q54" s="92" t="n"/>
    </row>
    <row r="55" ht="15" customHeight="1" s="52">
      <c r="A55" s="100" t="inlineStr">
        <is>
          <t>FX01-34</t>
        </is>
      </c>
      <c r="B55" s="101" t="inlineStr">
        <is>
          <t>VFX-TELEPORT-OUT-3D</t>
        </is>
      </c>
      <c r="C55" s="51" t="inlineStr">
        <is>
          <t>瞬移消失反馈特效</t>
        </is>
      </c>
      <c r="D55" s="101" t="inlineStr">
        <is>
          <t>assets/art/vfx/combat_3d/vfx_teleport_out_root_top3d.tscn</t>
        </is>
      </c>
      <c r="E55" s="51" t="n"/>
      <c r="F55" s="51" t="n"/>
      <c r="G55" s="51" t="inlineStr">
        <is>
          <t>怪物**凭空离场**时的位置反馈（业主 2026-10-31：「突然消失很奇怪」）。远征03 的 blink（空尖弹定时 / 枪法师出手后）与 `_vanish()`（逃跑型超时、抓握大师连抓空 3 次）都是直接改 transform，没有轨迹。视觉：水平能量环由 1.35 倍收拢到 0.15 倍（读作「被抽走」）+ 中心亮芯缩没 + 7 根竖直能量丝向上抽离并变短。0.22s。**纯视觉、无判定**：不改任何动画/状态机，不阻塞位移（位移在同一帧已完成）。</t>
        </is>
      </c>
      <c r="H55" s="101" t="inlineStr">
        <is>
          <t>src/vfx/VfxTeleport3D.gd</t>
        </is>
      </c>
      <c r="I55" s="51" t="inlineStr">
        <is>
          <t>无</t>
        </is>
      </c>
      <c r="J55" s="51" t="inlineStr">
        <is>
          <t>无</t>
        </is>
      </c>
      <c r="K55" s="51" t="inlineStr">
        <is>
          <t>无CollisionObject3D/CollisionShape3D</t>
        </is>
      </c>
      <c r="L55" s="51" t="inlineStr">
        <is>
          <t>环基线外径 0.72m × 尺度包络 1.35→0.15 × effect_size；亮芯 0.36m 球 ×(1−t)；竖直丝 7 根（截面 0.055m、长 0.62→0.20m、离地 0.10→1.15m）；lifetime 0.22s；无灯、不投影</t>
        </is>
      </c>
      <c r="M55" s="51" t="inlineStr">
        <is>
          <t>原点 = 怪物脚底 + 0.65m（`Enemy3D.EFFECT_SPAWN_LIFT`）；**无朝向契约（全向对称）**；环面平铺 XZ 平面、不随怪转身</t>
        </is>
      </c>
      <c r="N55" s="51" t="inlineStr">
        <is>
          <t>远征03 空尖弹 `egt_hollowpoint` / 枪法师 `egt_gunjurer` 的 blink **原点**；逃跑型 `egt_keybullet_kin` / `egt_chance_kin` 与抓握大师 `egt_gripmaster` 的 `_vanish()`</t>
        </is>
      </c>
      <c r="O55" s="51" t="inlineStr">
        <is>
          <t>已完成</t>
        </is>
      </c>
      <c r="P55" s="101" t="inlineStr">
        <is>
          <t>v001</t>
        </is>
      </c>
      <c r="Q55" s="51" t="inlineStr">
        <is>
          <t>已实装；与 FX01-35 成对使用（只有一端会读错意图）。池注册见 `VfxPool3D.FX01_TELEPORT_OUT`；门禁 `tools/_egt_teleport_fx_probe.gd`。其余关卡未接（塔楼怪没有 blink / vanishing）。</t>
        </is>
      </c>
    </row>
    <row r="56" ht="15" customHeight="1" s="52">
      <c r="A56" s="100" t="inlineStr">
        <is>
          <t>FX01-35</t>
        </is>
      </c>
      <c r="B56" s="101" t="inlineStr">
        <is>
          <t>VFX-TELEPORT-IN-3D</t>
        </is>
      </c>
      <c r="C56" s="51" t="inlineStr">
        <is>
          <t>瞬移出现反馈特效</t>
        </is>
      </c>
      <c r="D56" s="101" t="inlineStr">
        <is>
          <t>assets/art/vfx/combat_3d/vfx_teleport_in_root_top3d.tscn</t>
        </is>
      </c>
      <c r="E56" s="51" t="n"/>
      <c r="F56" s="51" t="n"/>
      <c r="G56" s="51" t="inlineStr">
        <is>
          <t>怪物**凭空抵达**时的位置反馈，与 FX01-34 成对。视觉：水平能量环由 0.15 倍炸开到 1.50 倍 + 中心亮芯在 35% 处弹到最大再收 + 7 根竖直能量丝向上冒出。0.26s。**只在 blink 落点播**；`_vanish()` 不播（那是真离场，播「出现」会误导）。</t>
        </is>
      </c>
      <c r="H56" s="101" t="inlineStr">
        <is>
          <t>src/vfx/VfxTeleport3D.gd</t>
        </is>
      </c>
      <c r="I56" s="51" t="inlineStr">
        <is>
          <t>无</t>
        </is>
      </c>
      <c r="J56" s="51" t="inlineStr">
        <is>
          <t>无</t>
        </is>
      </c>
      <c r="K56" s="51" t="inlineStr">
        <is>
          <t>无CollisionObject3D/CollisionShape3D</t>
        </is>
      </c>
      <c r="L56" s="51" t="inlineStr">
        <is>
          <t>环基线外径 0.72m × 尺度包络 0.15→1.50 × effect_size；亮芯 0.36m 球（sin 弹一下）；竖直丝 7 根（长 0.20→0.75m、离地 0.63→0.08m）；lifetime 0.26s；无灯、不投影</t>
        </is>
      </c>
      <c r="M56" s="51" t="inlineStr">
        <is>
          <t>原点 = 落点脚底 + 0.65m；**无朝向契约（全向对称）**；环面平铺 XZ 平面</t>
        </is>
      </c>
      <c r="N56" s="51" t="inlineStr">
        <is>
          <t>远征03 空尖弹 / 枪法师 blink 的**落点**（`Enemy3D._blink_to_random` 成功分支）</t>
        </is>
      </c>
      <c r="O56" s="51" t="inlineStr">
        <is>
          <t>已完成</t>
        </is>
      </c>
      <c r="P56" s="101" t="inlineStr">
        <is>
          <t>v001</t>
        </is>
      </c>
      <c r="Q56" s="51" t="inlineStr">
        <is>
          <t>已实装；拆成独立 AssetID 的理由见主表备注（池按 ID 分桶 / 账本按 ID 计件 / 时间方向相反）。</t>
        </is>
      </c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  <row r="31">
      <c r="A31" s="51" t="inlineStr">
        <is>
          <t>v0.1.star-r3</t>
        </is>
      </c>
      <c r="B31" s="51" t="inlineStr">
        <is>
          <t>2026-10-16</t>
        </is>
      </c>
      <c r="C31" s="51" t="inlineStr">
        <is>
          <t>新增</t>
        </is>
      </c>
      <c r="D31" s="51" t="inlineStr">
        <is>
          <t>FX01-22/23</t>
        </is>
      </c>
      <c r="E31" s="51" t="inlineStr">
        <is>
          <t>力量石头弹与碎裂独立Prefab；正式路由接入，验收中</t>
        </is>
      </c>
      <c r="F31" s="51" t="inlineStr">
        <is>
          <t>不改旧资产路径</t>
        </is>
      </c>
      <c r="G31" s="51" t="inlineStr">
        <is>
          <t>Codex</t>
        </is>
      </c>
    </row>
    <row r="32">
      <c r="A32" s="51" t="inlineStr">
        <is>
          <t>v0.1.24</t>
        </is>
      </c>
      <c r="B32" s="51" t="inlineStr">
        <is>
          <t>2026-10-16</t>
        </is>
      </c>
      <c r="C32" s="51" t="inlineStr">
        <is>
          <t>条目更新（样式重做 + P0 修复 + 调用方收口）</t>
        </is>
      </c>
      <c r="D32" s="51" t="inlineStr">
        <is>
          <t>特效 · 3D-特效（FX02-01 / FX02-02）</t>
        </is>
      </c>
      <c r="E32" s="51" t="inlineStr">
        <is>
          <t>数字飘字字体与样式重做（业主：「先收口，然后要修改字体和样式，走漫画风格的粗体+沟边的，大一点，然后字体飘起的力度感强一些，不要太整齐，带一些随机」）。① 收口四项：删 Enemy3D 里与 _spawn_damage_number 双发的 _spawn_effect("VFX-DAMAGE-NUMBER-3D")（无 context ⇒ 飘红字 0，2026-09-21 审计 P0-1）；治疗改走 VFX-HEAL-NUMBER-3D；字体口径收敛到新建单一真源 src/vfx/DamageNumberStyle.gd；verify_3d_enemy_behavior_flow 的字体断言改从池取生效实例。② 样式：漫画风超粗体（Impact 链 / 字重 900 / MSDF 128）+ 粗勾边（26/30/34 ≈ 字高 22%）+ 放大（世界字高 0.320 → 0.435/0.503/0.570 m，普通档 1.36×）。③ 力度：基线上升 0.60 → 0.90 m、改 ease-out cubic、出生弹出 [1.28,1.48] 后 0.14s 收束。④ 随机：五维全由调用方生成，特效脚本保持逐位确定性。⑤ P0：_on_tick 原以赋值写 position，出生坐标第一帧被清零（飘字跑到世界原点上方不到 1 米）；改为叠加出生点基准。</t>
        </is>
      </c>
      <c r="F32" s="51" t="inlineStr">
        <is>
          <t>AssetID / Prefab 路径 / 版本号（升 v002）稳定；Prefab .tscn 文件逐字未改（样式全在脚本侧）；VfxPool3D 注册表未动；碰撞/伤害/存档无影响。既有条目 AssetID / 路径 / 状态逐格保留。</t>
        </is>
      </c>
      <c r="G32" s="51" t="inlineStr">
        <is>
          <t>摩斯拉</t>
        </is>
      </c>
    </row>
    <row r="33">
      <c r="A33" s="51" t="inlineStr">
        <is>
          <t>v0.1.25</t>
        </is>
      </c>
      <c r="B33" s="51" t="inlineStr">
        <is>
          <t>2026-10-17</t>
        </is>
      </c>
      <c r="C33" s="51" t="inlineStr">
        <is>
          <t>条目更新（勾边修复）</t>
        </is>
      </c>
      <c r="D33" s="51" t="inlineStr">
        <is>
          <t>特效 · 3D-特效（FX02-01 / FX02-02）</t>
        </is>
      </c>
      <c r="E33" s="51" t="inlineStr">
        <is>
          <t>数字飘字黑色勾边修复（业主：「要带黑色描边，我说的是伤害飘字」）。上一轮 v003.9 把描边定到 26/30/34 并声称按字高 22%，但实机从来没画出来过：Godot 的 MSDF 字体下描边可达上限 ≈ msdf_pixel_range / 2，默认 16 只够到 8，26/30/34 远超上限被提前截断成约 1px 细丝（症状：不报错、不变红，且 outline_size 填 26 与填 116 渲染结果逐像素完全相同）。修法：DamageNumberStyle 新增 MSDF_PIXEL_RANGE = 64 并在 make_font() 赋值，VfxDamageNumber3D / VfxHealNumber3D / CombatDamageNumber3D 三条链路共用该工厂故一处即全覆盖。定档：需求 range = 2 × max(描边 × msdf_size / 字号) = 2 × (34 × 128 / 152) ≈ 57.4 ⇒ 取 64；实测 range 16 → 6px、48 → 21px、64/80 → 26px 足额、96 → 左右不对称（过大反崩）⇒ 护栏上界 80。验收新增常量钉子 + 下界不等式 + 上界护栏 + 逐档「实机实例真带该值」断言；反向对照三组（range→16 / range→96 / 删掉 make_font 里那行赋值）均精准变红后还原复绿。</t>
        </is>
      </c>
      <c r="F33" s="51" t="inlineStr">
        <is>
          <t>AssetID / Prefab 路径 / 版本号（升 v003）稳定；Prefab .tscn 文件逐字未改（纯脚本侧）；VfxPool3D 注册表未动；碰撞/伤害/存档无影响。既有条目 AssetID / 路径 / 状态逐格保留。</t>
        </is>
      </c>
      <c r="G33" s="51" t="inlineStr">
        <is>
          <t>摩斯拉</t>
        </is>
      </c>
    </row>
    <row r="34" ht="70" customHeight="1" s="52">
      <c r="A34" s="69" t="inlineStr">
        <is>
          <t>v0.1.26</t>
        </is>
      </c>
      <c r="B34" s="69" t="inlineStr">
        <is>
          <t>2026-10-16</t>
        </is>
      </c>
      <c r="C34" s="62" t="inlineStr">
        <is>
          <t>五种近战专属VFX</t>
        </is>
      </c>
      <c r="D34" s="62" t="inlineStr">
        <is>
          <t>近战差异 v041</t>
        </is>
      </c>
      <c r="E34" s="62" t="inlineStr">
        <is>
          <t>FX01-24至28；独立Prefab，池化跟随与显式结束，动作机唯一调用。</t>
        </is>
      </c>
      <c r="F34" s="62" t="inlineStr">
        <is>
          <t>docs/v0.1/development/2026-10-16_melee_styles_v041.md</t>
        </is>
      </c>
      <c r="G34" s="62" t="inlineStr">
        <is>
          <t>Codex</t>
        </is>
      </c>
    </row>
    <row r="35">
      <c r="A35" s="69" t="inlineStr">
        <is>
          <t>v0.1.27</t>
        </is>
      </c>
      <c r="B35" s="69" t="inlineStr">
        <is>
          <t>2026-10-17</t>
        </is>
      </c>
      <c r="C35" s="62" t="inlineStr">
        <is>
          <t>条目更新（描边减半）</t>
        </is>
      </c>
      <c r="D35" s="62" t="inlineStr">
        <is>
          <t>特效 · 3D-特效（FX02-01 / FX02-02）</t>
        </is>
      </c>
      <c r="E35" s="62" t="inlineStr">
        <is>
          <t>数字飘字描边减半（业主：「太粗了，缩小一半」）。v003 修好 msdf_pixel_range 后描边第一次足额渲染，实机反馈过粗 ⇒ 描边 26/30/34 → 13/15/17（占字高 22% → 11%）。真源 DamageNumberStyle 的 NORMAL/HEAVY/CRITICAL_OUTLINE_SIZE 一处改动即覆盖 VfxDamageNumber3D / VfxHealNumber3D / 兜底 CombatDamageNumber3D 三条链路。距离场宽度不动（仍 64）：需求 2 × max(描边 × msdf_size / 字号) 由 57.4 降到 28.7，64 依旧足额且支持描边到约 38 @ 字号 152，留余量以便后续微调不必重新定档。验收 verify_damage_number_style_flow 的硬编码期望同步为 13/15/17，下界不等式随之重算为 28.7；反向对照两组（range→16 下界红／真源描边偷偷改回 26 常量钉子红）均精准变红后还原复绿。实机同帧 A/B（红色字形像素恒为 5,105 ⇒ 字形本身未变）：近黑描边像素 12,613 → 6,392（×0.507）。</t>
        </is>
      </c>
      <c r="F35" s="62" t="inlineStr">
        <is>
          <t>AssetID / Prefab 路径 / 版本号（升 v004）稳定；Prefab .tscn 文件逐字未改（纯样式常量）；VfxPool3D 注册表未动；碰撞 / 伤害 / 存档无影响。既有条目 AssetID / 路径 / 状态逐格保留。</t>
        </is>
      </c>
      <c r="G35" s="62" t="inlineStr">
        <is>
          <t>摩斯拉</t>
        </is>
      </c>
    </row>
    <row r="36" s="52">
      <c r="A36" s="51" t="inlineStr">
        <is>
          <t>v0.1.28</t>
        </is>
      </c>
      <c r="B36" s="51" t="inlineStr">
        <is>
          <t>2026-10-18</t>
        </is>
      </c>
      <c r="C36" s="51" t="inlineStr">
        <is>
          <t>元素表现与数字升级</t>
        </is>
      </c>
      <c r="D36" s="51" t="inlineStr">
        <is>
          <t>FX01-29至32/FX02-01</t>
        </is>
      </c>
      <c r="E36" s="51" t="inlineStr">
        <is>
          <t>四个独立低粒子Prefab；伤害数字v005元素颜色与0.56秒；补齐既有3D数字主表登记</t>
        </is>
      </c>
      <c r="F36" s="51" t="inlineStr">
        <is>
          <t>稳定ID/运行路径不带版本；旧2D占位保留</t>
        </is>
      </c>
      <c r="G36" s="51" t="inlineStr">
        <is>
          <t>Codex</t>
        </is>
      </c>
    </row>
    <row r="37" s="52">
      <c r="A37" s="51" t="inlineStr">
        <is>
          <t>v0.1.29</t>
        </is>
      </c>
      <c r="B37" s="51" t="inlineStr">
        <is>
          <t>2026-10-19</t>
        </is>
      </c>
      <c r="C37" s="51" t="inlineStr">
        <is>
          <t>新增</t>
        </is>
      </c>
      <c r="D37" s="51" t="inlineStr">
        <is>
          <t>特效 · 资产主表 / 3D-特效</t>
        </is>
      </c>
      <c r="E37" s="51" t="inlineStr">
        <is>
          <t>新增 FX01-33 VFX-BOARD-DEBRIS-3D（暗门木板碎块飞溅）：8 大块木片（0.36~0.58m）+ 5 片小碎屑，程序化抛物/弹跳/滑行/静止，自带 DebrisLight 0.55s 短灯；调用方 SecretDoor3D._break_open()，读档恢复不重播。《资产主表》新增 r53，《3D-特效》新增 r53，《总览》区间由 $6:$52 扩到 $6:$53。</t>
        </is>
      </c>
      <c r="F37" s="51" t="inlineStr">
        <is>
          <t>新增资产行 ⇒ 既有 47 行内容未变，但《总览》区间与查重结果公式区间随之变化，属预期；AssetID / 既有 Prefab 路径 / 既有条目 SHA 均未改动。</t>
        </is>
      </c>
      <c r="G37" s="51" t="inlineStr">
        <is>
          <t>Codex</t>
        </is>
      </c>
    </row>
    <row r="38">
      <c r="A38" s="51" t="inlineStr">
        <is>
          <t>v0.1.30</t>
        </is>
      </c>
      <c r="B38" s="51" t="inlineStr">
        <is>
          <t>2026-10-31</t>
        </is>
      </c>
      <c r="C38" s="51" t="inlineStr">
        <is>
          <t>新增</t>
        </is>
      </c>
      <c r="D38" s="51" t="inlineStr">
        <is>
          <t>特效 · 资产主表 / 3D-特效（FX01-34 / FX01-35）</t>
        </is>
      </c>
      <c r="E38" s="51" t="inlineStr">
        <is>
          <t>新增两件瞬移位置反馈：`VFX-TELEPORT-OUT-3D`（消失，0.22s，环收拢 + 竖丝上抽）与 `VFX-TELEPORT-IN-3D`（出现，0.26s，环炸开 + 竖丝冒出）。触发点：远征03 的 blink 两端（空尖弹定时 / 枪法师出手后）与 `_vanish()`（逃跑型超时、抓握大师连抓空）。业主原话：「带有瞬移还有位移的一些怪物，出现消失的那个位置需要有一些反馈特效……不然怪物突然消失出现很奇怪」。</t>
        </is>
      </c>
      <c r="F38" s="51" t="inlineStr">
        <is>
          <t>新增资产行 ⇒ 既有 47 行内容未变，但《总览》区间与查重结果公式区间随之扩大（$53→$55）；AssetID / Prefab 路径 / 版本号一经发布不再变更</t>
        </is>
      </c>
      <c r="G38" s="5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2026-09-18T02:30:04Z</dcterms:created>
  <dcterms:modified xsi:type="dcterms:W3CDTF">2026-10-31T06:31:17Z</dcterms:modified>
  <cp:revision>0</cp:revision>
</cp:coreProperties>
</file>