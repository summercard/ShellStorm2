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特效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'资产主表'!$A$5:$X$22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 wrapText="1"/>
    </xf>
    <xf numFmtId="165" fontId="33" fillId="0" borderId="0" applyAlignment="1" pivotButton="0" quotePrefix="0" xfId="0">
      <alignment horizontal="general" vertical="bottom"/>
    </xf>
    <xf numFmtId="0" fontId="30" fillId="10" borderId="0" applyAlignment="1" pivotButton="0" quotePrefix="0" xfId="20">
      <alignment horizontal="center" vertical="top" wrapText="1"/>
    </xf>
    <xf numFmtId="0" fontId="3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COUNTA('资产主表'!$A$6:$A$22)</f>
        <v/>
      </c>
      <c r="B6" s="55" t="n"/>
      <c r="C6" s="57">
        <f>COUNTIF('资产主表'!$K$6:$K$22,"已完成")+COUNTIF('资产主表'!$K$6:$K$22,"原型已接入")+COUNTIF('资产主表'!$K$6:$K$22,"正式美术已接入")+COUNTIF('资产主表'!$K$6:$K$22,"已优化并正式接入")+COUNTIF('资产主表'!$K$6:$K$22,"Blender源已完成")+COUNTIF('资产主表'!$K$6:$K$22,"已导入；优化完成")+COUNTIF('资产主表'!$K$6:$K$22,"白模源已完成；QA PASS")</f>
        <v/>
      </c>
      <c r="D6" s="55" t="n"/>
      <c r="E6" s="57">
        <f>COUNTIF('资产主表'!$K$6:$K$22,"待制作")+COUNTIF('资产主表'!$K$6:$K$22,"程序占位")</f>
        <v/>
      </c>
      <c r="F6" s="55" t="n"/>
      <c r="G6" s="57">
        <f>COUNTIF('资产主表'!$S$6:$S$22,"重复")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COUNTIF('资产主表'!$C$6:$C$22,A10)</f>
        <v/>
      </c>
      <c r="C10" s="62">
        <f>SUMPRODUCT(('资产主表'!$C$6:$C$22=A10)*(('资产主表'!$K$6:$K$22="已完成")+('资产主表'!$K$6:$K$22="原型已接入")+('资产主表'!$K$6:$K$22="正式美术已接入")+('资产主表'!$K$6:$K$22="已优化并正式接入")+('资产主表'!$K$6:$K$22="Blender源已完成")+('资产主表'!$K$6:$K$22="已导入；优化完成")+('资产主表'!$K$6:$K$22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15" customHeight="1" s="52">
      <c r="A11" s="58" t="inlineStr">
        <is>
          <t>合计</t>
        </is>
      </c>
      <c r="B11" s="58">
        <f>COUNTIF('资产主表'!$C$6:$C$22,A11)</f>
        <v/>
      </c>
      <c r="C11" s="58">
        <f>SUMPRODUCT(('资产主表'!$C$6:$C$22=A11)*(('资产主表'!$K$6:$K$22="已完成")+('资产主表'!$K$6:$K$22="原型已接入")+('资产主表'!$K$6:$K$22="正式美术已接入")+('资产主表'!$K$6:$K$22="已优化并正式接入")+('资产主表'!$K$6:$K$22="Blender源已完成")+('资产主表'!$K$6:$K$22="已导入；优化完成")+('资产主表'!$K$6:$K$22="白模源已完成；QA PASS")))</f>
        <v/>
      </c>
      <c r="D11" s="58" t="n"/>
      <c r="E11" s="58" t="n"/>
      <c r="F11" s="58" t="n"/>
      <c r="G11" s="58" t="n"/>
      <c r="H11" s="58" t="n"/>
      <c r="I11" s="58" t="n"/>
      <c r="J11" s="58" t="n"/>
    </row>
    <row r="12" ht="15" customHeight="1" s="52">
      <c r="A12" s="63" t="n"/>
      <c r="B12" s="63" t="n"/>
      <c r="C12" s="63" t="n"/>
      <c r="D12" s="55" t="n"/>
      <c r="E12" s="64" t="n"/>
      <c r="F12" s="63" t="n"/>
      <c r="G12" s="63" t="n"/>
      <c r="H12" s="55" t="n"/>
      <c r="I12" s="55" t="n"/>
      <c r="J12" s="55" t="n"/>
    </row>
    <row r="13" ht="15" customHeight="1" s="52">
      <c r="A13" s="65" t="inlineStr">
        <is>
          <t>域内 3D Prefab 分页统计（快照口径与本账本分页一致；权威清单在各分页表）</t>
        </is>
      </c>
      <c r="B13" s="66" t="n"/>
      <c r="C13" s="66" t="n"/>
      <c r="D13" s="66" t="n"/>
      <c r="E13" s="66" t="n"/>
      <c r="F13" s="66" t="n"/>
      <c r="G13" s="66" t="n"/>
      <c r="H13" s="66" t="n"/>
      <c r="I13" s="66" t="n"/>
      <c r="J13" s="67" t="n"/>
    </row>
    <row r="14" ht="39.55" customHeight="1" s="52">
      <c r="A14" s="56" t="inlineStr">
        <is>
          <t>分页</t>
        </is>
      </c>
      <c r="B14" s="68" t="inlineStr">
        <is>
          <t>Prefab 数</t>
        </is>
      </c>
      <c r="C14" s="56" t="inlineStr">
        <is>
          <t>直接引用 GLB</t>
        </is>
      </c>
      <c r="D14" s="56" t="inlineStr">
        <is>
          <t>有功能脚本</t>
        </is>
      </c>
      <c r="E14" s="56" t="inlineStr">
        <is>
          <t>碰撞开启</t>
        </is>
      </c>
      <c r="F14" s="56" t="inlineStr">
        <is>
          <t>说明</t>
        </is>
      </c>
      <c r="G14" s="63" t="n"/>
      <c r="H14" s="55" t="n"/>
      <c r="I14" s="55" t="n"/>
      <c r="J14" s="55" t="n"/>
    </row>
    <row r="15" ht="15" customHeight="1" s="52">
      <c r="A15" s="69" t="inlineStr">
        <is>
          <t>3D-特效</t>
        </is>
      </c>
      <c r="B15" s="62">
        <f>COUNTA('3D-特效'!$A$5:$A$204)</f>
        <v/>
      </c>
      <c r="C15" s="62">
        <f>COUNTIF('3D-特效'!$D$5:$D$204,"&lt;&gt;")</f>
        <v/>
      </c>
      <c r="D15" s="62">
        <f>COUNTIF('3D-特效'!$G$5:$G$204,"&lt;&gt;")</f>
        <v/>
      </c>
      <c r="E15" s="62">
        <f>COUNTIF('3D-特效'!$H$5:$H$204,"开")</f>
        <v/>
      </c>
      <c r="F15" s="62" t="inlineStr">
        <is>
          <t>一行 = 一个实际存在的 Godot PackedScene</t>
        </is>
      </c>
      <c r="G15" s="62" t="n"/>
      <c r="H15" s="62" t="n"/>
      <c r="I15" s="62" t="n"/>
      <c r="J15" s="62" t="n"/>
    </row>
    <row r="16" ht="15" customHeight="1" s="52">
      <c r="A16" s="58" t="inlineStr">
        <is>
          <t>合计</t>
        </is>
      </c>
      <c r="B16" s="58">
        <f>SUM(B15)</f>
        <v/>
      </c>
      <c r="C16" s="58">
        <f>SUM(C15)</f>
        <v/>
      </c>
      <c r="D16" s="58">
        <f>SUM(D15)</f>
        <v/>
      </c>
      <c r="E16" s="58">
        <f>SUM(E15)</f>
        <v/>
      </c>
      <c r="F16" s="58" t="n"/>
      <c r="G16" s="58" t="n"/>
      <c r="H16" s="58" t="n"/>
      <c r="I16" s="58" t="n"/>
      <c r="J16" s="58" t="n"/>
    </row>
    <row r="17" ht="15" customHeight="1" s="52">
      <c r="A17" s="63" t="n"/>
      <c r="B17" s="63" t="n"/>
      <c r="C17" s="63" t="n"/>
      <c r="D17" s="55" t="n"/>
      <c r="E17" s="55" t="n"/>
      <c r="F17" s="55" t="n"/>
      <c r="G17" s="55" t="n"/>
      <c r="H17" s="55" t="n"/>
      <c r="I17" s="55" t="n"/>
      <c r="J17" s="55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4"/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IF(COUNTIF($R$6:$R$22,R6)&gt;1,"重复","唯一")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IF(COUNTIF($R$6:$R$22,R7)&gt;1,"重复","唯一")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IF(COUNTIF($R$6:$R$22,R8)&gt;1,"重复","唯一")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IF(COUNTIF($R$6:$R$22,R9)&gt;1,"重复","唯一")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IF(COUNTIF($R$6:$R$22,R10)&gt;1,"重复","唯一")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IF(COUNTIF($R$6:$R$22,R11)&gt;1,"重复","唯一")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IF(COUNTIF($R$6:$R$22,R12)&gt;1,"重复","唯一")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IF(COUNTIF($R$6:$R$22,R13)&gt;1,"重复","唯一")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IF(COUNTIF($R$6:$R$22,R14)&gt;1,"重复","唯一")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IF(COUNTIF($R$6:$R$22,R15)&gt;1,"重复","唯一")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IF(COUNTIF($R$6:$R$22,R16)&gt;1,"重复","唯一")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IF(COUNTIF($R$6:$R$22,R17)&gt;1,"重复","唯一")</f>
        <v/>
      </c>
      <c r="T17" s="79" t="inlineStr">
        <is>
          <t>66ab8d6bc0e2729ca56c7f3c46a588e5f74890cfdf02b90de1fdc46fd1a67648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IF(COUNTIF($R$6:$R$22,R18)&gt;1,"重复","唯一")</f>
        <v/>
      </c>
      <c r="T18" s="79" t="inlineStr">
        <is>
          <t>2ee5109b1876ea2114ac5c73b4bd0e2fc0348e1209a9d2ca16bc8ef9834ff357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IF(COUNTIF($R$6:$R$22,R19)&gt;1,"重复","唯一")</f>
        <v/>
      </c>
      <c r="T19" s="79" t="inlineStr">
        <is>
          <t>3405769a7da2c227a4ad0239e08963851ff8b739dcaff1f80fd8d5e35eb705ce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IF(COUNTIF($R$6:$R$22,R20)&gt;1,"重复","唯一")</f>
        <v/>
      </c>
      <c r="T20" s="79" t="inlineStr">
        <is>
          <t>b389efe1d1fcfd30087a6d3f3f2784effee95cf6c54769fde27ecb6806011a05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IF(COUNTIF($R$6:$R$22,R21)&gt;1,"重复","唯一")</f>
        <v/>
      </c>
      <c r="T21" s="79" t="inlineStr">
        <is>
          <t>a19f4266f8be8a302e5002fd118aa5e34a7de8a6dbd282807fb21522a8e12814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22" ht="120" customHeight="1" s="52">
      <c r="A22" s="79" t="inlineStr">
        <is>
          <t>VFX-ENV-CLOUD-SEA-3D</t>
        </is>
      </c>
      <c r="B22" s="55" t="inlineStr">
        <is>
          <t>主塔柔软体积云海与漂浮小云</t>
        </is>
      </c>
      <c r="C22" s="55" t="inlineStr">
        <is>
          <t>特效</t>
        </is>
      </c>
      <c r="D22" s="79" t="inlineStr">
        <is>
          <t>environment</t>
        </is>
      </c>
      <c r="E22" s="79" t="inlineStr">
        <is>
          <t>outdoor_cloud_sea</t>
        </is>
      </c>
      <c r="F22" s="79" t="inlineStr">
        <is>
          <t>root_3d</t>
        </is>
      </c>
      <c r="G22" s="79" t="n"/>
      <c r="H22" s="55" t="inlineStr">
        <is>
          <t>俯视3D</t>
        </is>
      </c>
      <c r="I22" s="79" t="inlineStr">
        <is>
          <t>slow_flow</t>
        </is>
      </c>
      <c r="J22" s="55" t="inlineStr">
        <is>
          <t>主塔与周边塔楼99F以下室外</t>
        </is>
      </c>
      <c r="K22" s="55" t="inlineStr">
        <is>
          <t>正式美术已接入</t>
        </is>
      </c>
      <c r="L22" s="79" t="inlineStr">
        <is>
          <t>P1</t>
        </is>
      </c>
      <c r="M22" s="79" t="inlineStr">
        <is>
          <t>v002</t>
        </is>
      </c>
      <c r="N22" s="79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O22" s="79" t="inlineStr">
        <is>
          <t>assets/art/vfx/environment_3d/cloud_sea/vfx_env_cloud_sea_root_top3d.tscn</t>
        </is>
      </c>
      <c r="P22" s="79" t="inlineStr">
        <is>
          <t>src/vfx/VfxCloudSea3D.gd; docs/v0.1/design/outdoor_cloud_sea.md; source/v002</t>
        </is>
      </c>
      <c r="Q22" s="55" t="inlineStr">
        <is>
          <t>云海;体积云;光遇风格;柔软;漂浮;薄雾;室外</t>
        </is>
      </c>
      <c r="R22" s="79">
        <f>LOWER(TRIM(C22)&amp;"|"&amp;TRIM(D22)&amp;"|"&amp;TRIM(E22)&amp;"|"&amp;TRIM(F22)&amp;"|"&amp;TRIM(H22)&amp;"|"&amp;TRIM(I22))</f>
        <v/>
      </c>
      <c r="S22" s="55">
        <f>IF(COUNTIF($R$6:$R$22,R22)&gt;1,"重复","唯一")</f>
        <v/>
      </c>
      <c r="T22" s="79" t="inlineStr">
        <is>
          <t>f7830ac829de78bdbf189b89ab16a2c5d8b8730e2cb0a694809e7472fa60d63c</t>
        </is>
      </c>
      <c r="U22" s="79" t="inlineStr">
        <is>
          <t>Codex</t>
        </is>
      </c>
      <c r="V22" s="104" t="n">
        <v>46295</v>
      </c>
      <c r="W22" s="55" t="inlineStr">
        <is>
          <t>项目原创Shader/三维程序密度；gpt-image-2原创灰度云贴图，用户参考图仅作风格参考</t>
        </is>
      </c>
      <c r="X22" s="78" t="inlineStr">
        <is>
          <t>FX03-02 / procedural_cloud_sea</t>
        </is>
      </c>
      <c r="Y22" s="55" t="inlineStr">
        <is>
          <t>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X22"/>
  <mergeCells count="2">
    <mergeCell ref="A1:X2"/>
    <mergeCell ref="A3:X3"/>
  </mergeCells>
  <conditionalFormatting sqref="S6:S22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22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2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22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2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12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</t>
        </is>
      </c>
    </row>
    <row r="3"/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51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受击伤害数字上升飘字；Label3D + 黑边 + 颜色编码（红/橙/暴击金）；参数 effect_color + context.text_value。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Label3D pixel_size=0.010；lifetime 0.72s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v001</t>
        </is>
      </c>
      <c r="Q16" s="51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绿色调（+ 白色描边）；参数 context.text_value。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pixel_size=0.010；lifetime 0.72s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v001</t>
        </is>
      </c>
      <c r="Q17" s="51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8" customHeight="1" s="52">
      <c r="A22" s="103" t="inlineStr">
        <is>
          <t>▼ 03 环境场（续）</t>
        </is>
      </c>
      <c r="B22" s="92" t="n"/>
      <c r="C22" s="92" t="n"/>
      <c r="D22" s="92" t="n"/>
      <c r="E22" s="92" t="n"/>
      <c r="F22" s="92" t="n"/>
      <c r="G22" s="92" t="n"/>
      <c r="H22" s="10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</row>
    <row r="23" ht="144" customHeight="1" s="52">
      <c r="A23" s="106" t="inlineStr">
        <is>
          <t>FX03-02</t>
        </is>
      </c>
      <c r="B23" s="107" t="inlineStr">
        <is>
          <t>VFX-ENV-CLOUD-SEA-3D</t>
        </is>
      </c>
      <c r="C23" s="108" t="inlineStr">
        <is>
          <t>主塔柔软体积云海与漂浮小云</t>
        </is>
      </c>
      <c r="D23" s="107" t="inlineStr">
        <is>
          <t>assets/art/vfx/environment_3d/cloud_sea/vfx_env_cloud_sea_root_top3d.tscn</t>
        </is>
      </c>
      <c r="E23" s="109" t="n"/>
      <c r="F23" s="109" t="n"/>
      <c r="G23" s="108" t="inlineStr">
        <is>
          <t>室外常驻连续云海、下沉雾层、柔软漂浮小云</t>
        </is>
      </c>
      <c r="H23" s="107" t="inlineStr">
        <is>
          <t>src/vfx/VfxCloudSea3D.gd</t>
        </is>
      </c>
      <c r="I23" s="108" t="inlineStr">
        <is>
          <t>无</t>
        </is>
      </c>
      <c r="J23" s="107" t="inlineStr">
        <is>
          <t>无</t>
        </is>
      </c>
      <c r="K23" s="108" t="inlineStr">
        <is>
          <t>无</t>
        </is>
      </c>
      <c r="L23" s="107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M23" s="108" t="inlineStr">
        <is>
          <t>项目原创Shader/三维程序密度；gpt-image-2原创灰度云贴图，用户参考图仅作风格参考</t>
        </is>
      </c>
      <c r="N23" s="108" t="inlineStr">
        <is>
          <t>主塔与周围大楼99F以下的室外空间</t>
        </is>
      </c>
      <c r="O23" s="108" t="inlineStr">
        <is>
          <t>正式美术已接入</t>
        </is>
      </c>
      <c r="P23" s="107" t="inlineStr">
        <is>
          <t>v002</t>
        </is>
      </c>
      <c r="Q23" s="108" t="inlineStr">
        <is>
          <t>源：assets/art/vfx/environment_3d/cloud_sea/source/v002；Manifest：assets/art/vfx/environment_3d/cloud_sea/asset_manifest.json；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4" ht="15" customHeight="1" s="52">
      <c r="H24" s="101" t="n"/>
      <c r="I24" s="51" t="n"/>
      <c r="N24" s="51" t="n"/>
    </row>
    <row r="25" ht="15" customHeight="1" s="52">
      <c r="H25" s="101" t="n"/>
      <c r="I25" s="51" t="n"/>
      <c r="N25" s="51" t="n"/>
    </row>
    <row r="26" ht="15" customHeight="1" s="52">
      <c r="H26" s="101" t="n"/>
      <c r="I26" s="51" t="n"/>
      <c r="N26" s="51" t="n"/>
    </row>
    <row r="27" ht="15" customHeight="1" s="52">
      <c r="H27" s="101" t="n"/>
      <c r="I27" s="51" t="n"/>
      <c r="N27" s="51" t="n"/>
    </row>
    <row r="28" ht="15" customHeight="1" s="52">
      <c r="H28" s="101" t="n"/>
      <c r="I28" s="51" t="n"/>
      <c r="N28" s="51" t="n"/>
    </row>
    <row r="29" ht="15" customHeight="1" s="52">
      <c r="H29" s="101" t="n"/>
      <c r="I29" s="51" t="n"/>
      <c r="N29" s="51" t="n"/>
    </row>
    <row r="30" ht="15" customHeight="1" s="52">
      <c r="H30" s="101" t="n"/>
      <c r="I30" s="51" t="n"/>
      <c r="N30" s="51" t="n"/>
    </row>
    <row r="31" ht="15" customHeight="1" s="52">
      <c r="H31" s="101" t="n"/>
      <c r="I31" s="51" t="n"/>
      <c r="N31" s="51" t="n"/>
    </row>
    <row r="32" ht="15" customHeight="1" s="52">
      <c r="H32" s="101" t="n"/>
      <c r="I32" s="51" t="n"/>
      <c r="N32" s="51" t="n"/>
    </row>
    <row r="33" ht="15" customHeight="1" s="52">
      <c r="H33" s="101" t="n"/>
      <c r="I33" s="51" t="n"/>
      <c r="N33" s="51" t="n"/>
    </row>
    <row r="34" ht="15" customHeight="1" s="52">
      <c r="H34" s="101" t="n"/>
      <c r="I34" s="51" t="n"/>
      <c r="N34" s="51" t="n"/>
    </row>
    <row r="35" ht="15" customHeight="1" s="52">
      <c r="H35" s="101" t="n"/>
      <c r="I35" s="51" t="n"/>
      <c r="N35" s="51" t="n"/>
    </row>
    <row r="36" ht="15" customHeight="1" s="52">
      <c r="H36" s="101" t="n"/>
      <c r="I36" s="51" t="n"/>
      <c r="N36" s="51" t="n"/>
    </row>
    <row r="37" ht="15" customHeight="1" s="52">
      <c r="H37" s="101" t="n"/>
      <c r="I37" s="51" t="n"/>
      <c r="N37" s="51" t="n"/>
    </row>
    <row r="38" ht="15" customHeight="1" s="52">
      <c r="H38" s="101" t="n"/>
      <c r="I38" s="51" t="n"/>
      <c r="N38" s="51" t="n"/>
    </row>
    <row r="39" ht="15" customHeight="1" s="52">
      <c r="H39" s="101" t="n"/>
      <c r="I39" s="51" t="n"/>
      <c r="N39" s="51" t="n"/>
    </row>
    <row r="40" ht="15" customHeight="1" s="52">
      <c r="H40" s="101" t="n"/>
      <c r="I40" s="51" t="n"/>
      <c r="N40" s="51" t="n"/>
    </row>
    <row r="41" ht="15" customHeight="1" s="52">
      <c r="H41" s="101" t="n"/>
      <c r="I41" s="51" t="n"/>
      <c r="N41" s="51" t="n"/>
    </row>
    <row r="42" ht="15" customHeight="1" s="52">
      <c r="H42" s="101" t="n"/>
      <c r="I42" s="51" t="n"/>
      <c r="N42" s="51" t="n"/>
    </row>
    <row r="43" ht="15" customHeight="1" s="52">
      <c r="H43" s="101" t="n"/>
      <c r="I43" s="51" t="n"/>
      <c r="N43" s="51" t="n"/>
    </row>
    <row r="44" ht="15" customHeight="1" s="52">
      <c r="H44" s="101" t="n"/>
      <c r="I44" s="51" t="n"/>
      <c r="N44" s="51" t="n"/>
    </row>
    <row r="45" ht="15" customHeight="1" s="52">
      <c r="H45" s="101" t="n"/>
      <c r="I45" s="51" t="n"/>
      <c r="N45" s="51" t="n"/>
    </row>
    <row r="46" ht="15" customHeight="1" s="52">
      <c r="H46" s="101" t="n"/>
      <c r="I46" s="51" t="n"/>
      <c r="N46" s="51" t="n"/>
    </row>
    <row r="47" ht="15" customHeight="1" s="52">
      <c r="H47" s="101" t="n"/>
      <c r="I47" s="51" t="n"/>
      <c r="N47" s="51" t="n"/>
    </row>
    <row r="48" ht="15" customHeight="1" s="52">
      <c r="H48" s="101" t="n"/>
      <c r="I48" s="51" t="n"/>
      <c r="N48" s="51" t="n"/>
    </row>
    <row r="49" ht="15" customHeight="1" s="52">
      <c r="H49" s="101" t="n"/>
      <c r="I49" s="51" t="n"/>
      <c r="N49" s="51" t="n"/>
    </row>
    <row r="50" ht="15" customHeight="1" s="52">
      <c r="H50" s="101" t="n"/>
      <c r="I50" s="51" t="n"/>
      <c r="N50" s="51" t="n"/>
    </row>
    <row r="51" ht="15" customHeight="1" s="52">
      <c r="H51" s="101" t="n"/>
      <c r="I51" s="51" t="n"/>
      <c r="N51" s="51" t="n"/>
    </row>
    <row r="52" ht="15" customHeight="1" s="52">
      <c r="H52" s="101" t="n"/>
      <c r="I52" s="51" t="n"/>
      <c r="N52" s="51" t="n"/>
    </row>
    <row r="53" ht="15" customHeight="1" s="52">
      <c r="H53" s="101" t="n"/>
      <c r="I53" s="51" t="n"/>
      <c r="N53" s="51" t="n"/>
    </row>
    <row r="54" ht="15" customHeight="1" s="52">
      <c r="H54" s="101" t="n"/>
      <c r="I54" s="51" t="n"/>
      <c r="N54" s="51" t="n"/>
    </row>
    <row r="55" ht="15" customHeight="1" s="52">
      <c r="H55" s="101" t="n"/>
      <c r="I55" s="51" t="n"/>
      <c r="N55" s="51" t="n"/>
    </row>
    <row r="56" ht="15" customHeight="1" s="52">
      <c r="H56" s="101" t="n"/>
      <c r="I56" s="51" t="n"/>
      <c r="N56" s="51" t="n"/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4"/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  <row r="12" ht="84" customHeight="1" s="52">
      <c r="A12" s="101" t="inlineStr">
        <is>
          <t>v0.1.6</t>
        </is>
      </c>
      <c r="B12" s="105" t="n">
        <v>46295</v>
      </c>
      <c r="C12" s="51" t="inlineStr">
        <is>
          <t>新增资产登记</t>
        </is>
      </c>
      <c r="D12" s="51" t="inlineStr">
        <is>
          <t>特效 · 资产主表</t>
        </is>
      </c>
      <c r="E12" s="101" t="inlineStr">
        <is>
          <t>新增 VFX-ENV-CLOUD-SEA-3D：主塔及周边楼群99F以下的室外卡通云海。独立Prefab、缓慢流动与分层半透明表现；避让建筑、桥面及室内。同步查重范围、总览与无损基线。</t>
        </is>
      </c>
      <c r="F12" s="101" t="inlineStr">
        <is>
          <t>新增一个稳定AssetID与Prefab路径；既有条目的身份、路径、状态及哈希保留。</t>
        </is>
      </c>
      <c r="G12" s="51" t="inlineStr">
        <is>
          <t>Codex</t>
        </is>
      </c>
    </row>
    <row r="13" ht="84" customHeight="1" s="52">
      <c r="A13" s="101" t="inlineStr">
        <is>
          <t>v0.1.7</t>
        </is>
      </c>
      <c r="B13" s="105" t="n">
        <v>46295</v>
      </c>
      <c r="C13" s="51" t="inlineStr">
        <is>
          <t>新增Prefab分页</t>
        </is>
      </c>
      <c r="D13" s="51" t="inlineStr">
        <is>
          <t>特效 · 3D-特效</t>
        </is>
      </c>
      <c r="E13" s="101" t="inlineStr">
        <is>
          <t>FX03-02 已登记独立 VFX-ENV-CLOUD-SEA-3D Prefab。记录生成脚本、Shader源、正式放置、建筑与室内避让，以及分层缓慢流动参数。Prefab分页采用独立事务更新对应sheet摘要。</t>
        </is>
      </c>
      <c r="F13" s="101" t="inlineStr">
        <is>
          <t>资产主表不变；特效无碰撞/伤害/交互逻辑，生命周期由所属场景持有。</t>
        </is>
      </c>
      <c r="G13" s="51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2026-09-18T02:30:04Z</dcterms:created>
  <dcterms:modified xmlns:dcterms="http://purl.org/dc/terms/" xmlns:xsi="http://www.w3.org/2001/XMLSchema-instance" xsi:type="dcterms:W3CDTF">2026-09-30T14:30:21Z</dcterms:modified>
  <cp:revision>0</cp:revision>
</cp:coreProperties>
</file>