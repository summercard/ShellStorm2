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'资产主表'!$A$5:$Y$25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COUNTA('资产主表'!$A$6:$A$25)</f>
        <v/>
      </c>
      <c r="B6" s="55" t="n"/>
      <c r="C6" s="57">
        <f>COUNTIF('资产主表'!$K$6:$K$25,"已完成")+COUNTIF('资产主表'!$K$6:$K$25,"原型已接入")+COUNTIF('资产主表'!$K$6:$K$25,"正式美术已接入")+COUNTIF('资产主表'!$K$6:$K$25,"已优化并正式接入")+COUNTIF('资产主表'!$K$6:$K$25,"Blender源已完成")+COUNTIF('资产主表'!$K$6:$K$25,"已导入；优化完成")+COUNTIF('资产主表'!$K$6:$K$25,"白模源已完成；QA PASS")</f>
        <v/>
      </c>
      <c r="D6" s="55" t="n"/>
      <c r="E6" s="57">
        <f>COUNTIF('资产主表'!$K$6:$K$25,"待制作")+COUNTIF('资产主表'!$K$6:$K$25,"程序占位")</f>
        <v/>
      </c>
      <c r="F6" s="55" t="n"/>
      <c r="G6" s="57">
        <f>COUNTIF('资产主表'!$S$6:$S$25,"重复")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COUNTIF('资产主表'!$C$6:$C$25,A10)</f>
        <v/>
      </c>
      <c r="C10" s="62">
        <f>SUMPRODUCT(('资产主表'!$C$6:$C$25=A10)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15" customHeight="1" s="52">
      <c r="A11" s="58" t="inlineStr">
        <is>
          <t>合计</t>
        </is>
      </c>
      <c r="B11" s="58">
        <f>COUNTIF('资产主表'!$C$6:$C$25,A11)</f>
        <v/>
      </c>
      <c r="C11" s="58">
        <f>SUMPRODUCT(('资产主表'!$C$6:$C$25=A11)*(('资产主表'!$K$6:$K$25="已完成")+('资产主表'!$K$6:$K$25="原型已接入")+('资产主表'!$K$6:$K$25="正式美术已接入")+('资产主表'!$K$6:$K$25="已优化并正式接入")+('资产主表'!$K$6:$K$25="Blender源已完成")+('资产主表'!$K$6:$K$25="已导入；优化完成")+('资产主表'!$K$6:$K$25="白模源已完成；QA PASS")))</f>
        <v/>
      </c>
      <c r="D11" s="58" t="n"/>
      <c r="E11" s="58" t="n"/>
      <c r="F11" s="58" t="n"/>
      <c r="G11" s="58" t="n"/>
      <c r="H11" s="58" t="n"/>
      <c r="I11" s="58" t="n"/>
      <c r="J11" s="58" t="n"/>
    </row>
    <row r="12" ht="15" customHeight="1" s="52">
      <c r="A12" s="63" t="n"/>
      <c r="B12" s="63" t="n"/>
      <c r="C12" s="63" t="n"/>
      <c r="D12" s="55" t="n"/>
      <c r="E12" s="64" t="n"/>
      <c r="F12" s="63" t="n"/>
      <c r="G12" s="63" t="n"/>
      <c r="H12" s="55" t="n"/>
      <c r="I12" s="55" t="n"/>
      <c r="J12" s="55" t="n"/>
    </row>
    <row r="13" ht="15" customHeight="1" s="52">
      <c r="A13" s="65" t="inlineStr">
        <is>
          <t>域内 3D Prefab 分页统计（快照口径与本账本分页一致；权威清单在各分页表）</t>
        </is>
      </c>
      <c r="B13" s="66" t="n"/>
      <c r="C13" s="66" t="n"/>
      <c r="D13" s="66" t="n"/>
      <c r="E13" s="66" t="n"/>
      <c r="F13" s="66" t="n"/>
      <c r="G13" s="66" t="n"/>
      <c r="H13" s="66" t="n"/>
      <c r="I13" s="66" t="n"/>
      <c r="J13" s="67" t="n"/>
    </row>
    <row r="14" ht="39.55" customHeight="1" s="52">
      <c r="A14" s="56" t="inlineStr">
        <is>
          <t>分页</t>
        </is>
      </c>
      <c r="B14" s="68" t="inlineStr">
        <is>
          <t>Prefab 数</t>
        </is>
      </c>
      <c r="C14" s="56" t="inlineStr">
        <is>
          <t>直接引用 GLB</t>
        </is>
      </c>
      <c r="D14" s="56" t="inlineStr">
        <is>
          <t>有功能脚本</t>
        </is>
      </c>
      <c r="E14" s="56" t="inlineStr">
        <is>
          <t>碰撞开启</t>
        </is>
      </c>
      <c r="F14" s="56" t="inlineStr">
        <is>
          <t>说明</t>
        </is>
      </c>
      <c r="G14" s="63" t="n"/>
      <c r="H14" s="55" t="n"/>
      <c r="I14" s="55" t="n"/>
      <c r="J14" s="55" t="n"/>
    </row>
    <row r="15" ht="15" customHeight="1" s="52">
      <c r="A15" s="69" t="inlineStr">
        <is>
          <t>3D-特效</t>
        </is>
      </c>
      <c r="B15" s="62">
        <f>COUNTA('3D-特效'!$A$5:$A$204)</f>
        <v/>
      </c>
      <c r="C15" s="62">
        <f>COUNTIF('3D-特效'!$D$5:$D$204,"&lt;&gt;")</f>
        <v/>
      </c>
      <c r="D15" s="62">
        <f>COUNTIF('3D-特效'!$G$5:$G$204,"&lt;&gt;")</f>
        <v/>
      </c>
      <c r="E15" s="62">
        <f>COUNTIF('3D-特效'!$H$5:$H$204,"开")</f>
        <v/>
      </c>
      <c r="F15" s="62" t="inlineStr">
        <is>
          <t>一行 = 一个实际存在的 Godot PackedScene</t>
        </is>
      </c>
      <c r="G15" s="62" t="n"/>
      <c r="H15" s="62" t="n"/>
      <c r="I15" s="62" t="n"/>
      <c r="J15" s="62" t="n"/>
    </row>
    <row r="16" ht="15" customHeight="1" s="52">
      <c r="A16" s="58" t="inlineStr">
        <is>
          <t>合计</t>
        </is>
      </c>
      <c r="B16" s="58">
        <f>SUM(B15)</f>
        <v/>
      </c>
      <c r="C16" s="58">
        <f>SUM(C15)</f>
        <v/>
      </c>
      <c r="D16" s="58">
        <f>SUM(D15)</f>
        <v/>
      </c>
      <c r="E16" s="58">
        <f>SUM(E15)</f>
        <v/>
      </c>
      <c r="F16" s="58" t="n"/>
      <c r="G16" s="58" t="n"/>
      <c r="H16" s="58" t="n"/>
      <c r="I16" s="58" t="n"/>
      <c r="J16" s="58" t="n"/>
    </row>
    <row r="17" ht="15" customHeight="1" s="52">
      <c r="A17" s="63" t="n"/>
      <c r="B17" s="63" t="n"/>
      <c r="C17" s="63" t="n"/>
      <c r="D17" s="55" t="n"/>
      <c r="E17" s="55" t="n"/>
      <c r="F17" s="55" t="n"/>
      <c r="G17" s="55" t="n"/>
      <c r="H17" s="55" t="n"/>
      <c r="I17" s="55" t="n"/>
      <c r="J17" s="55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4"/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IF(COUNTIF($R$6:$R$25,R6)&gt;1,"重复","唯一")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IF(COUNTIF($R$6:$R$25,R7)&gt;1,"重复","唯一")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IF(COUNTIF($R$6:$R$25,R8)&gt;1,"重复","唯一")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IF(COUNTIF($R$6:$R$25,R9)&gt;1,"重复","唯一")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IF(COUNTIF($R$6:$R$25,R10)&gt;1,"重复","唯一")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IF(COUNTIF($R$6:$R$25,R11)&gt;1,"重复","唯一")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IF(COUNTIF($R$6:$R$25,R12)&gt;1,"重复","唯一")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IF(COUNTIF($R$6:$R$25,R13)&gt;1,"重复","唯一")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IF(COUNTIF($R$6:$R$25,R14)&gt;1,"重复","唯一")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IF(COUNTIF($R$6:$R$25,R15)&gt;1,"重复","唯一")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IF(COUNTIF($R$6:$R$25,R16)&gt;1,"重复","唯一")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IF(COUNTIF($R$6:$R$25,R17)&gt;1,"重复","唯一")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IF(COUNTIF($R$6:$R$25,R18)&gt;1,"重复","唯一")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IF(COUNTIF($R$6:$R$25,R19)&gt;1,"重复","唯一")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IF(COUNTIF($R$6:$R$25,R20)&gt;1,"重复","唯一")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IF(COUNTIF($R$6:$R$25,R21)&gt;1,"重复","唯一")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IF(COUNTIF($R$6:$R$25,R22)&gt;1,"重复","唯一")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IF(COUNTIF($R$6:$R$25,R23)&gt;1,"重复","唯一")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IF(COUNTIF($R$6:$R$25,R24)&gt;1,"重复","唯一")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IF(COUNTIF($R$6:$R$25,R25)&gt;1,"重复","唯一")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25"/>
  <mergeCells count="2">
    <mergeCell ref="A1:X2"/>
    <mergeCell ref="A3:X3"/>
  </mergeCells>
  <conditionalFormatting sqref="S6:S22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22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5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25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5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12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51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15" customHeight="1" s="52">
      <c r="H25" s="101" t="n"/>
      <c r="I25" s="51" t="n"/>
      <c r="N25" s="51" t="n"/>
    </row>
    <row r="26" ht="15" customHeight="1" s="52">
      <c r="H26" s="101" t="n"/>
      <c r="I26" s="51" t="n"/>
      <c r="N26" s="51" t="n"/>
    </row>
    <row r="27" ht="15" customHeight="1" s="52">
      <c r="H27" s="101" t="n"/>
      <c r="I27" s="51" t="n"/>
      <c r="N27" s="51" t="n"/>
    </row>
    <row r="28" ht="15" customHeight="1" s="52">
      <c r="H28" s="101" t="n"/>
      <c r="I28" s="51" t="n"/>
      <c r="N28" s="51" t="n"/>
    </row>
    <row r="29" ht="15" customHeight="1" s="52">
      <c r="H29" s="101" t="n"/>
      <c r="I29" s="51" t="n"/>
      <c r="N29" s="51" t="n"/>
    </row>
    <row r="30" ht="15" customHeight="1" s="52">
      <c r="H30" s="101" t="n"/>
      <c r="I30" s="51" t="n"/>
      <c r="N30" s="51" t="n"/>
    </row>
    <row r="31" ht="15" customHeight="1" s="52">
      <c r="H31" s="101" t="n"/>
      <c r="I31" s="51" t="n"/>
      <c r="N31" s="51" t="n"/>
    </row>
    <row r="32" ht="15" customHeight="1" s="52">
      <c r="H32" s="101" t="n"/>
      <c r="I32" s="51" t="n"/>
      <c r="N32" s="51" t="n"/>
    </row>
    <row r="33" ht="15" customHeight="1" s="52">
      <c r="H33" s="101" t="n"/>
      <c r="I33" s="51" t="n"/>
      <c r="N33" s="51" t="n"/>
    </row>
    <row r="34" ht="15" customHeight="1" s="52">
      <c r="H34" s="101" t="n"/>
      <c r="I34" s="51" t="n"/>
      <c r="N34" s="51" t="n"/>
    </row>
    <row r="35" ht="15" customHeight="1" s="52">
      <c r="H35" s="101" t="n"/>
      <c r="I35" s="51" t="n"/>
      <c r="N35" s="51" t="n"/>
    </row>
    <row r="36" ht="15" customHeight="1" s="52">
      <c r="H36" s="101" t="n"/>
      <c r="I36" s="51" t="n"/>
      <c r="N36" s="51" t="n"/>
    </row>
    <row r="37" ht="15" customHeight="1" s="52">
      <c r="H37" s="101" t="n"/>
      <c r="I37" s="51" t="n"/>
      <c r="N37" s="51" t="n"/>
    </row>
    <row r="38" ht="15" customHeight="1" s="52">
      <c r="H38" s="101" t="n"/>
      <c r="I38" s="51" t="n"/>
      <c r="N38" s="51" t="n"/>
    </row>
    <row r="39" ht="15" customHeight="1" s="52">
      <c r="H39" s="101" t="n"/>
      <c r="I39" s="51" t="n"/>
      <c r="N39" s="51" t="n"/>
    </row>
    <row r="40" ht="15" customHeight="1" s="52">
      <c r="H40" s="101" t="n"/>
      <c r="I40" s="51" t="n"/>
      <c r="N40" s="51" t="n"/>
    </row>
    <row r="41" ht="15" customHeight="1" s="52">
      <c r="H41" s="101" t="n"/>
      <c r="I41" s="51" t="n"/>
      <c r="N41" s="51" t="n"/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4"/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t="inlineStr">
        <is>
          <t>v0.1.13</t>
        </is>
      </c>
      <c r="B19" s="110" t="n">
        <v>46307</v>
      </c>
      <c r="C19" t="inlineStr">
        <is>
          <t>鸟群尺寸与速度调整</t>
        </is>
      </c>
      <c r="D19" t="inlineStr">
        <is>
          <t>特效 / 资产主表</t>
        </is>
      </c>
      <c r="E19" t="inlineStr">
        <is>
          <t>尺寸比上版大50%，各鸟±10%变化；空中速度减半为200m/24s。</t>
        </is>
      </c>
      <c r="F19" t="inlineStr">
        <is>
          <t>运行包装v003；既有两个AssetID。</t>
        </is>
      </c>
      <c r="G19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2026-10-11T17:45:46Z</dcterms:modified>
  <cp:revision>0</cp:revision>
</cp:coreProperties>
</file>