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特效" sheetId="4" state="visible" r:id="rId4"/>
    <sheet xmlns:r="http://schemas.openxmlformats.org/officeDocument/2006/relationships" name="域变更日志" sheetId="5" state="visible" r:id="rId5"/>
  </sheets>
  <definedNames>
    <definedName name="_xlnm._FilterDatabase" localSheetId="2" hidden="1">'资产主表'!$A$5:$Y$52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34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7324D"/>
      <sz val="14"/>
    </font>
    <font>
      <name val="Linux Libertine G"/>
      <family val="2"/>
      <b val="1"/>
      <color rgb="FF17324D"/>
      <sz val="14"/>
    </font>
    <font>
      <name val="Linux Libertine G"/>
      <family val="2"/>
      <i val="1"/>
      <color rgb="FF555555"/>
      <sz val="11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1565C0"/>
      <sz val="11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E3F2FD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E3F2FD"/>
        <bgColor rgb="FFE8F5E9"/>
      </patternFill>
    </fill>
  </fills>
  <borders count="23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3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164" fontId="9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center" vertical="center"/>
    </xf>
    <xf numFmtId="0" fontId="27" fillId="9" borderId="0" applyAlignment="1" pivotButton="0" quotePrefix="0" xfId="20">
      <alignment horizontal="general" vertical="top" wrapText="1"/>
    </xf>
    <xf numFmtId="0" fontId="13" fillId="8" borderId="8" applyAlignment="1" pivotButton="0" quotePrefix="0" xfId="20">
      <alignment horizontal="center" vertical="bottom"/>
    </xf>
    <xf numFmtId="0" fontId="29" fillId="8" borderId="9" applyAlignment="1" pivotButton="0" quotePrefix="0" xfId="20">
      <alignment horizontal="center" vertical="bottom"/>
    </xf>
    <xf numFmtId="0" fontId="13" fillId="8" borderId="9" applyAlignment="1" pivotButton="0" quotePrefix="0" xfId="20">
      <alignment horizontal="center" vertical="bottom"/>
    </xf>
    <xf numFmtId="0" fontId="13" fillId="8" borderId="10" applyAlignment="1" pivotButton="0" quotePrefix="0" xfId="20">
      <alignment horizontal="center" vertical="bottom"/>
    </xf>
    <xf numFmtId="0" fontId="13" fillId="8" borderId="0" applyAlignment="1" pivotButton="0" quotePrefix="0" xfId="20">
      <alignment horizontal="center" vertical="bottom"/>
    </xf>
    <xf numFmtId="0" fontId="18" fillId="7" borderId="5" applyAlignment="1" pivotButton="0" quotePrefix="0" xfId="20">
      <alignment horizontal="general" vertical="top" wrapText="1"/>
    </xf>
    <xf numFmtId="0" fontId="17" fillId="0" borderId="11" applyAlignment="1" pivotButton="0" quotePrefix="0" xfId="20">
      <alignment horizontal="general" vertical="top" wrapText="1"/>
    </xf>
    <xf numFmtId="0" fontId="17" fillId="0" borderId="12" applyAlignment="1" pivotButton="0" quotePrefix="0" xfId="20">
      <alignment horizontal="general" vertical="top" wrapText="1"/>
    </xf>
    <xf numFmtId="0" fontId="17" fillId="0" borderId="0" applyAlignment="1" pivotButton="0" quotePrefix="0" xfId="20">
      <alignment horizontal="general" vertical="bottom"/>
    </xf>
    <xf numFmtId="0" fontId="30" fillId="10" borderId="13" applyAlignment="1" pivotButton="0" quotePrefix="0" xfId="20">
      <alignment horizontal="center" vertical="bottom"/>
    </xf>
    <xf numFmtId="0" fontId="31" fillId="0" borderId="14" applyAlignment="1" pivotButton="0" quotePrefix="0" xfId="20">
      <alignment horizontal="general" vertical="top" wrapText="1"/>
    </xf>
    <xf numFmtId="0" fontId="32" fillId="0" borderId="14" applyAlignment="1" pivotButton="0" quotePrefix="0" xfId="20">
      <alignment horizontal="general" vertical="top" wrapText="1"/>
    </xf>
    <xf numFmtId="0" fontId="31" fillId="0" borderId="15" applyAlignment="1" pivotButton="0" quotePrefix="0" xfId="20">
      <alignment horizontal="general" vertical="top" wrapText="1"/>
    </xf>
    <xf numFmtId="0" fontId="18" fillId="7" borderId="16" applyAlignment="1" pivotButton="0" quotePrefix="0" xfId="20">
      <alignment horizontal="general" vertical="top" wrapText="1"/>
    </xf>
    <xf numFmtId="0" fontId="17" fillId="0" borderId="17" applyAlignment="1" pivotButton="0" quotePrefix="0" xfId="20">
      <alignment horizontal="general" vertical="top" wrapText="1"/>
    </xf>
    <xf numFmtId="0" fontId="17" fillId="0" borderId="18" applyAlignment="1" pivotButton="0" quotePrefix="0" xfId="20">
      <alignment horizontal="general" vertical="top" wrapText="1"/>
    </xf>
    <xf numFmtId="0" fontId="30" fillId="10" borderId="0" applyAlignment="1" pivotButton="0" quotePrefix="0" xfId="20">
      <alignment horizontal="center" vertical="bottom"/>
    </xf>
    <xf numFmtId="0" fontId="3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8" fillId="7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20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22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164" fontId="9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center" vertical="center"/>
    </xf>
    <xf numFmtId="0" fontId="27" fillId="9" borderId="0" applyAlignment="1" pivotButton="0" quotePrefix="0" xfId="20">
      <alignment horizontal="general" vertical="top" wrapText="1"/>
    </xf>
    <xf numFmtId="0" fontId="13" fillId="8" borderId="8" applyAlignment="1" pivotButton="0" quotePrefix="0" xfId="20">
      <alignment horizontal="center" vertical="bottom"/>
    </xf>
    <xf numFmtId="0" fontId="29" fillId="8" borderId="9" applyAlignment="1" pivotButton="0" quotePrefix="0" xfId="20">
      <alignment horizontal="center" vertical="bottom"/>
    </xf>
    <xf numFmtId="0" fontId="13" fillId="8" borderId="9" applyAlignment="1" pivotButton="0" quotePrefix="0" xfId="20">
      <alignment horizontal="center" vertical="bottom"/>
    </xf>
    <xf numFmtId="0" fontId="13" fillId="8" borderId="10" applyAlignment="1" pivotButton="0" quotePrefix="0" xfId="20">
      <alignment horizontal="center" vertical="bottom"/>
    </xf>
    <xf numFmtId="0" fontId="13" fillId="8" borderId="0" applyAlignment="1" pivotButton="0" quotePrefix="0" xfId="20">
      <alignment horizontal="center" vertical="bottom"/>
    </xf>
    <xf numFmtId="0" fontId="18" fillId="7" borderId="5" applyAlignment="1" pivotButton="0" quotePrefix="0" xfId="20">
      <alignment horizontal="general" vertical="top" wrapText="1"/>
    </xf>
    <xf numFmtId="0" fontId="17" fillId="0" borderId="11" applyAlignment="1" pivotButton="0" quotePrefix="0" xfId="20">
      <alignment horizontal="general" vertical="top" wrapText="1"/>
    </xf>
    <xf numFmtId="0" fontId="17" fillId="0" borderId="12" applyAlignment="1" pivotButton="0" quotePrefix="0" xfId="20">
      <alignment horizontal="general" vertical="top" wrapText="1"/>
    </xf>
    <xf numFmtId="0" fontId="17" fillId="0" borderId="0" applyAlignment="1" pivotButton="0" quotePrefix="0" xfId="20">
      <alignment horizontal="general" vertical="bottom"/>
    </xf>
    <xf numFmtId="0" fontId="30" fillId="10" borderId="13" applyAlignment="1" pivotButton="0" quotePrefix="0" xfId="20">
      <alignment horizontal="center" vertical="bottom"/>
    </xf>
    <xf numFmtId="0" fontId="31" fillId="0" borderId="14" applyAlignment="1" pivotButton="0" quotePrefix="0" xfId="20">
      <alignment horizontal="general" vertical="top" wrapText="1"/>
    </xf>
    <xf numFmtId="0" fontId="32" fillId="0" borderId="14" applyAlignment="1" pivotButton="0" quotePrefix="0" xfId="20">
      <alignment horizontal="general" vertical="top" wrapText="1"/>
    </xf>
    <xf numFmtId="0" fontId="31" fillId="0" borderId="15" applyAlignment="1" pivotButton="0" quotePrefix="0" xfId="20">
      <alignment horizontal="general" vertical="top" wrapText="1"/>
    </xf>
    <xf numFmtId="0" fontId="18" fillId="7" borderId="16" applyAlignment="1" pivotButton="0" quotePrefix="0" xfId="20">
      <alignment horizontal="general" vertical="top" wrapText="1"/>
    </xf>
    <xf numFmtId="0" fontId="17" fillId="0" borderId="17" applyAlignment="1" pivotButton="0" quotePrefix="0" xfId="20">
      <alignment horizontal="general" vertical="top" wrapText="1"/>
    </xf>
    <xf numFmtId="0" fontId="17" fillId="0" borderId="18" applyAlignment="1" pivotButton="0" quotePrefix="0" xfId="20">
      <alignment horizontal="general" vertical="top" wrapText="1"/>
    </xf>
    <xf numFmtId="0" fontId="30" fillId="10" borderId="0" applyAlignment="1" pivotButton="0" quotePrefix="0" xfId="20">
      <alignment horizontal="center" vertical="bottom"/>
    </xf>
    <xf numFmtId="0" fontId="33" fillId="0" borderId="0" applyAlignment="1" pivotButton="0" quotePrefix="0" xfId="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8" fillId="7" borderId="0" applyAlignment="1" pivotButton="0" quotePrefix="0" xfId="20">
      <alignment horizontal="general" vertical="bottom"/>
    </xf>
    <xf numFmtId="165" fontId="4" fillId="0" borderId="0" applyAlignment="1" pivotButton="0" quotePrefix="0" xfId="20">
      <alignment horizontal="general" vertical="bottom" wrapText="1"/>
    </xf>
    <xf numFmtId="165" fontId="33" fillId="0" borderId="0" applyAlignment="1" pivotButton="0" quotePrefix="0" xfId="0">
      <alignment horizontal="general" vertical="bottom"/>
    </xf>
    <xf numFmtId="0" fontId="30" fillId="10" borderId="0" applyAlignment="1" pivotButton="0" quotePrefix="0" xfId="20">
      <alignment horizontal="center" vertical="top" wrapText="1"/>
    </xf>
    <xf numFmtId="0" fontId="33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0" fontId="4" fillId="0" borderId="0" applyAlignment="1" pivotButton="0" quotePrefix="0" xfId="20">
      <alignment vertical="top" wrapText="1"/>
    </xf>
    <xf numFmtId="0" fontId="19" fillId="0" borderId="4" applyAlignment="1" pivotButton="0" quotePrefix="0" xfId="2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555555"/>
      <rgbColor rgb="FF79D8E8"/>
      <rgbColor rgb="FF993366"/>
      <rgbColor rgb="FFFFF0D6"/>
      <rgbColor rgb="FFD9F3E8"/>
      <rgbColor rgb="FF660066"/>
      <rgbColor rgb="FFFF8080"/>
      <rgbColor rgb="FF1565C0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3F2FD"/>
      <rgbColor rgb="FFE8F5E9"/>
      <rgbColor rgb="FFE5E7EB"/>
      <rgbColor rgb="FF9FBAD0"/>
      <rgbColor rgb="FFDCE8EC"/>
      <rgbColor rgb="FFDCE6F1"/>
      <rgbColor rgb="FFFFD6D6"/>
      <rgbColor rgb="FF3366FF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1F5A78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51" min="1" max="1"/>
    <col width="16.71" customWidth="1" style="51" min="2" max="3"/>
    <col width="3.58" customWidth="1" style="51" min="4" max="4"/>
    <col width="9.550000000000001" customWidth="1" style="51" min="5" max="5"/>
    <col width="35.81" customWidth="1" style="51" min="6" max="6"/>
    <col width="50.13" customWidth="1" style="51" min="7" max="7"/>
    <col width="3.58" customWidth="1" style="51" min="8" max="8"/>
    <col width="25.07" customWidth="1" style="51" min="9" max="10"/>
  </cols>
  <sheetData>
    <row r="1" ht="24.75" customHeight="1" s="52">
      <c r="A1" s="53" t="inlineStr">
        <is>
          <t>SHELLSTORM 2 · 特效美术账本 v0.1</t>
        </is>
      </c>
    </row>
    <row r="2" ht="12" customHeight="1" s="52"/>
    <row r="3" ht="22.5" customHeight="1" s="52">
      <c r="A3" s="54" t="inlineStr">
        <is>
          <t>归属域=特效｜覆盖大类=特效｜AssetID 前缀=VFX / FX｜主账本（总目录）=assets/registry/ShellStorm2_美术资产台账_v001.xlsx；本账本可独立并行编辑，跨域契约见主账本</t>
        </is>
      </c>
    </row>
    <row r="4" ht="15" customHeight="1" s="52">
      <c r="A4" s="55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</row>
    <row r="5" ht="27.6" customHeight="1" s="52">
      <c r="A5" s="56" t="inlineStr">
        <is>
          <t>资产总数</t>
        </is>
      </c>
      <c r="B5" s="56" t="n"/>
      <c r="C5" s="56" t="inlineStr">
        <is>
          <t>已完成/已接入</t>
        </is>
      </c>
      <c r="D5" s="56" t="n"/>
      <c r="E5" s="56" t="inlineStr">
        <is>
          <t>待制作/程序占位</t>
        </is>
      </c>
      <c r="F5" s="56" t="n"/>
      <c r="G5" s="56" t="inlineStr">
        <is>
          <t>重复警报</t>
        </is>
      </c>
      <c r="H5" s="56" t="n"/>
      <c r="I5" s="56" t="inlineStr">
        <is>
          <t>域内专表 / 3D Prefab 分页</t>
        </is>
      </c>
      <c r="J5" s="56" t="n"/>
    </row>
    <row r="6" ht="42" customHeight="1" s="52">
      <c r="A6" s="57">
        <f>COUNTA('资产主表'!$A$6:$A$53)</f>
        <v/>
      </c>
      <c r="B6" s="55" t="n"/>
      <c r="C6" s="57">
        <f>COUNTIF('资产主表'!$K$6:$K$53,"已完成")+COUNTIF('资产主表'!$K$6:$K$53,"原型已接入")+COUNTIF('资产主表'!$K$6:$K$53,"正式美术已接入")+COUNTIF('资产主表'!$K$6:$K$53,"已优化并正式接入")+COUNTIF('资产主表'!$K$6:$K$53,"Blender源已完成")+COUNTIF('资产主表'!$K$6:$K$53,"已导入；优化完成")+COUNTIF('资产主表'!$K$6:$K$53,"白模源已完成；QA PASS")</f>
        <v/>
      </c>
      <c r="D6" s="55" t="n"/>
      <c r="E6" s="57">
        <f>COUNTIF('资产主表'!$K$6:$K$53,"待制作")+COUNTIF('资产主表'!$K$6:$K$53,"程序占位")</f>
        <v/>
      </c>
      <c r="F6" s="55" t="n"/>
      <c r="G6" s="57">
        <f>COUNTIF('资产主表'!$S$6:$S$53,"重复")</f>
        <v/>
      </c>
      <c r="H6" s="55" t="n"/>
      <c r="I6" s="56" t="inlineStr">
        <is>
          <t>域内专表：3D-特效　|　3D Prefab 分页：3D-特效</t>
        </is>
      </c>
    </row>
    <row r="7" ht="15" customHeight="1" s="52">
      <c r="A7" s="55" t="n"/>
      <c r="B7" s="55" t="n"/>
      <c r="C7" s="55" t="n"/>
      <c r="D7" s="55" t="n"/>
      <c r="E7" s="55" t="n"/>
      <c r="F7" s="55" t="n"/>
      <c r="G7" s="55" t="n"/>
      <c r="H7" s="55" t="n"/>
      <c r="I7" s="55" t="n"/>
      <c r="J7" s="55" t="n"/>
    </row>
    <row r="8" ht="15" customHeight="1" s="52">
      <c r="A8" s="55" t="n"/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</row>
    <row r="9" ht="31.5" customHeight="1" s="52">
      <c r="A9" s="58" t="inlineStr">
        <is>
          <t>大类</t>
        </is>
      </c>
      <c r="B9" s="58" t="inlineStr">
        <is>
          <t>资产数</t>
        </is>
      </c>
      <c r="C9" s="58" t="inlineStr">
        <is>
          <t>完成/接入</t>
        </is>
      </c>
      <c r="D9" s="58" t="n"/>
      <c r="E9" s="59" t="inlineStr">
        <is>
          <t>本账本只登记上列大类；跨域搬运资产须同步主账本《分类与编码》并重跑门禁</t>
        </is>
      </c>
      <c r="F9" s="60" t="n"/>
      <c r="G9" s="60" t="n"/>
      <c r="H9" s="60" t="n"/>
      <c r="I9" s="60" t="n"/>
      <c r="J9" s="61" t="n"/>
    </row>
    <row r="10" ht="21.75" customHeight="1" s="52">
      <c r="A10" s="62" t="inlineStr">
        <is>
          <t>特效</t>
        </is>
      </c>
      <c r="B10" s="62">
        <f>COUNTIF('资产主表'!$C$6:$C$53,A10)</f>
        <v/>
      </c>
      <c r="C10" s="62">
        <f>SUMPRODUCT(('资产主表'!$C$6:$C$53=A10)*(('资产主表'!$K$6:$K$53="已完成")+('资产主表'!$K$6:$K$53="原型已接入")+('资产主表'!$K$6:$K$53="正式美术已接入")+('资产主表'!$K$6:$K$53="已优化并正式接入")+('资产主表'!$K$6:$K$53="Blender源已完成")+('资产主表'!$K$6:$K$53="已导入；优化完成")+('资产主表'!$K$6:$K$53="白模源已完成；QA PASS")))</f>
        <v/>
      </c>
      <c r="D10" s="62" t="n"/>
      <c r="E10" s="62" t="n"/>
      <c r="F10" s="62" t="n"/>
      <c r="G10" s="62" t="n"/>
      <c r="H10" s="62" t="n"/>
      <c r="I10" s="62" t="n"/>
      <c r="J10" s="62" t="n"/>
    </row>
    <row r="11" ht="21.75" customHeight="1" s="52">
      <c r="A11" s="62" t="inlineStr">
        <is>
          <t>子弹特效</t>
        </is>
      </c>
      <c r="B11" s="62">
        <f>COUNTIF('资产主表'!$C$6:$C$53,A11)</f>
        <v/>
      </c>
      <c r="C11" s="62">
        <f>SUMPRODUCT(('资产主表'!$C$6:$C$53=A11)*(('资产主表'!$K$6:$K$53="已完成")+('资产主表'!$K$6:$K$53="原型已接入")+('资产主表'!$K$6:$K$53="正式美术已接入")+('资产主表'!$K$6:$K$53="已优化并正式接入")+('资产主表'!$K$6:$K$53="Blender源已完成")+('资产主表'!$K$6:$K$53="已导入；优化完成")+('资产主表'!$K$6:$K$53="白模源已完成；QA PASS")))</f>
        <v/>
      </c>
      <c r="D11" s="62" t="n"/>
      <c r="E11" s="62" t="n"/>
      <c r="F11" s="62" t="n"/>
      <c r="G11" s="62" t="n"/>
      <c r="H11" s="62" t="n"/>
      <c r="I11" s="62" t="n"/>
      <c r="J11" s="62" t="n"/>
    </row>
    <row r="12" ht="15" customHeight="1" s="52">
      <c r="A12" s="58" t="inlineStr">
        <is>
          <t>合计</t>
        </is>
      </c>
      <c r="B12" s="58">
        <f>SUM(B10:B11)</f>
        <v/>
      </c>
      <c r="C12" s="58">
        <f>SUM(C10:C11)</f>
        <v/>
      </c>
      <c r="D12" s="58" t="n"/>
      <c r="E12" s="58" t="n"/>
      <c r="F12" s="58" t="n"/>
      <c r="G12" s="58" t="n"/>
      <c r="H12" s="58" t="n"/>
      <c r="I12" s="58" t="n"/>
      <c r="J12" s="58" t="n"/>
    </row>
    <row r="13" ht="15" customHeight="1" s="52">
      <c r="A13" s="63" t="n"/>
      <c r="B13" s="63" t="n"/>
      <c r="C13" s="63" t="n"/>
      <c r="D13" s="55" t="n"/>
      <c r="E13" s="64" t="n"/>
      <c r="F13" s="63" t="n"/>
      <c r="G13" s="63" t="n"/>
      <c r="H13" s="55" t="n"/>
      <c r="I13" s="55" t="n"/>
      <c r="J13" s="55" t="n"/>
    </row>
    <row r="14" ht="15" customHeight="1" s="52">
      <c r="A14" s="65" t="inlineStr">
        <is>
          <t>域内 3D Prefab 分页统计（快照口径与本账本分页一致；权威清单在各分页表）</t>
        </is>
      </c>
      <c r="B14" s="66" t="n"/>
      <c r="C14" s="66" t="n"/>
      <c r="D14" s="66" t="n"/>
      <c r="E14" s="66" t="n"/>
      <c r="F14" s="66" t="n"/>
      <c r="G14" s="66" t="n"/>
      <c r="H14" s="66" t="n"/>
      <c r="I14" s="66" t="n"/>
      <c r="J14" s="67" t="n"/>
    </row>
    <row r="15" ht="39.55" customHeight="1" s="52">
      <c r="A15" s="56" t="inlineStr">
        <is>
          <t>分页</t>
        </is>
      </c>
      <c r="B15" s="68" t="inlineStr">
        <is>
          <t>Prefab 数</t>
        </is>
      </c>
      <c r="C15" s="56" t="inlineStr">
        <is>
          <t>直接引用 GLB</t>
        </is>
      </c>
      <c r="D15" s="56" t="inlineStr">
        <is>
          <t>有功能脚本</t>
        </is>
      </c>
      <c r="E15" s="56" t="inlineStr">
        <is>
          <t>碰撞开启</t>
        </is>
      </c>
      <c r="F15" s="56" t="inlineStr">
        <is>
          <t>说明</t>
        </is>
      </c>
      <c r="G15" s="63" t="n"/>
      <c r="H15" s="55" t="n"/>
      <c r="I15" s="55" t="n"/>
      <c r="J15" s="55" t="n"/>
    </row>
    <row r="16" ht="15" customHeight="1" s="52">
      <c r="A16" s="69" t="inlineStr">
        <is>
          <t>3D-特效</t>
        </is>
      </c>
      <c r="B16" s="62">
        <f>COUNTA('3D-特效'!$A$5:$A$204)</f>
        <v/>
      </c>
      <c r="C16" s="62">
        <f>COUNTIF('3D-特效'!$D$5:$D$204,"&lt;&gt;")</f>
        <v/>
      </c>
      <c r="D16" s="62">
        <f>COUNTIF('3D-特效'!$G$5:$G$204,"&lt;&gt;")</f>
        <v/>
      </c>
      <c r="E16" s="62">
        <f>COUNTIF('3D-特效'!$H$5:$H$204,"开")</f>
        <v/>
      </c>
      <c r="F16" s="62" t="inlineStr">
        <is>
          <t>一行 = 一个实际存在的 Godot PackedScene</t>
        </is>
      </c>
      <c r="G16" s="62" t="n"/>
      <c r="H16" s="62" t="n"/>
      <c r="I16" s="62" t="n"/>
      <c r="J16" s="62" t="n"/>
    </row>
    <row r="17" ht="15" customHeight="1" s="52">
      <c r="A17" s="58" t="inlineStr">
        <is>
          <t>合计</t>
        </is>
      </c>
      <c r="B17" s="58">
        <f>SUM(B16)</f>
        <v/>
      </c>
      <c r="C17" s="58">
        <f>SUM(C16)</f>
        <v/>
      </c>
      <c r="D17" s="58">
        <f>SUM(D16)</f>
        <v/>
      </c>
      <c r="E17" s="58">
        <f>SUM(E16)</f>
        <v/>
      </c>
      <c r="F17" s="58" t="n"/>
      <c r="G17" s="58" t="n"/>
      <c r="H17" s="58" t="n"/>
      <c r="I17" s="58" t="n"/>
      <c r="J17" s="58" t="n"/>
    </row>
    <row r="18" ht="15" customHeight="1" s="52">
      <c r="A18" s="63" t="n"/>
      <c r="B18" s="63" t="n"/>
      <c r="C18" s="63" t="n"/>
      <c r="D18" s="55" t="n"/>
      <c r="E18" s="55" t="n"/>
      <c r="F18" s="55" t="n"/>
      <c r="G18" s="55" t="n"/>
      <c r="H18" s="55" t="n"/>
      <c r="I18" s="55" t="n"/>
      <c r="J18" s="55" t="n"/>
    </row>
    <row r="19" ht="15" customHeight="1" s="52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</row>
    <row r="20" ht="15" customHeight="1" s="52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</row>
  </sheetData>
  <mergeCells count="5">
    <mergeCell ref="A1:J2"/>
    <mergeCell ref="I6:J6"/>
    <mergeCell ref="A14:J14"/>
    <mergeCell ref="A3:J3"/>
    <mergeCell ref="E9:J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51" min="1" max="1"/>
    <col width="74" customWidth="1" style="51" min="2" max="2"/>
    <col width="40.58" customWidth="1" style="51" min="3" max="3"/>
    <col width="28.65" customWidth="1" style="51" min="4" max="6"/>
  </cols>
  <sheetData>
    <row r="1" ht="15" customHeight="1" s="52">
      <c r="A1" s="70" t="inlineStr">
        <is>
          <t>本账本说明 · 特效</t>
        </is>
      </c>
    </row>
    <row r="2" ht="15" customHeight="1" s="52"/>
    <row r="3" ht="15" customHeight="1" s="52">
      <c r="A3" s="54" t="inlineStr">
        <is>
          <t>本表是分账本自描述；机器可读真源为 assets/registry/ledger_index.json，二者不一致时以 JSON 为准</t>
        </is>
      </c>
    </row>
    <row r="5" ht="15" customHeight="1" s="52">
      <c r="A5" s="58" t="inlineStr">
        <is>
          <t>项</t>
        </is>
      </c>
      <c r="B5" s="58" t="inlineStr">
        <is>
          <t>值</t>
        </is>
      </c>
      <c r="C5" s="58" t="n"/>
      <c r="D5" s="58" t="n"/>
      <c r="E5" s="58" t="n"/>
      <c r="F5" s="58" t="n"/>
    </row>
    <row r="6" ht="30" customHeight="1" s="52">
      <c r="A6" s="62" t="inlineStr">
        <is>
          <t>账本归属域</t>
        </is>
      </c>
      <c r="B6" s="62" t="inlineStr">
        <is>
          <t>特效</t>
        </is>
      </c>
      <c r="C6" s="62" t="n"/>
      <c r="D6" s="62" t="n"/>
      <c r="E6" s="62" t="n"/>
      <c r="F6" s="62" t="n"/>
    </row>
    <row r="7" ht="30" customHeight="1" s="52">
      <c r="A7" s="62" t="inlineStr">
        <is>
          <t>分账本文件</t>
        </is>
      </c>
      <c r="B7" s="69" t="inlineStr">
        <is>
          <t>assets/registry/ledgers/ShellStorm2_特效账本_v001.xlsx</t>
        </is>
      </c>
      <c r="C7" s="62" t="n"/>
      <c r="D7" s="62" t="n"/>
      <c r="E7" s="62" t="n"/>
      <c r="F7" s="62" t="n"/>
    </row>
    <row r="8" ht="30" customHeight="1" s="52">
      <c r="A8" s="62" t="inlineStr">
        <is>
          <t>覆盖大类</t>
        </is>
      </c>
      <c r="B8" s="62" t="inlineStr">
        <is>
          <t>特效 / 子弹特效</t>
        </is>
      </c>
      <c r="C8" s="62" t="n"/>
      <c r="D8" s="62" t="n"/>
      <c r="E8" s="62" t="n"/>
      <c r="F8" s="62" t="n"/>
    </row>
    <row r="9" ht="30" customHeight="1" s="52">
      <c r="A9" s="69" t="inlineStr">
        <is>
          <t>AssetID 前缀</t>
        </is>
      </c>
      <c r="B9" s="69" t="inlineStr">
        <is>
          <t>VFX / FX</t>
        </is>
      </c>
      <c r="C9" s="62" t="n"/>
      <c r="D9" s="62" t="n"/>
      <c r="E9" s="62" t="n"/>
      <c r="F9" s="62" t="n"/>
    </row>
    <row r="10" ht="30" customHeight="1" s="52">
      <c r="A10" s="62" t="inlineStr">
        <is>
          <t>域内专表</t>
        </is>
      </c>
      <c r="B10" s="69" t="inlineStr">
        <is>
          <t>3D-特效</t>
        </is>
      </c>
      <c r="C10" s="62" t="n"/>
      <c r="D10" s="62" t="n"/>
      <c r="E10" s="62" t="n"/>
      <c r="F10" s="62" t="n"/>
    </row>
    <row r="11" ht="30" customHeight="1" s="52">
      <c r="A11" s="69" t="inlineStr">
        <is>
          <t>3D Prefab 分页</t>
        </is>
      </c>
      <c r="B11" s="69" t="inlineStr">
        <is>
          <t>3D-特效</t>
        </is>
      </c>
      <c r="C11" s="62" t="n"/>
      <c r="D11" s="62" t="n"/>
      <c r="E11" s="62" t="n"/>
      <c r="F11" s="62" t="n"/>
    </row>
    <row r="12" ht="30" customHeight="1" s="52">
      <c r="A12" s="62" t="inlineStr">
        <is>
          <t>动画登记表</t>
        </is>
      </c>
      <c r="B12" s="62" t="inlineStr">
        <is>
          <t>无</t>
        </is>
      </c>
      <c r="C12" s="62" t="n"/>
      <c r="D12" s="62" t="n"/>
      <c r="E12" s="62" t="n"/>
      <c r="F12" s="62" t="n"/>
    </row>
    <row r="13" ht="30" customHeight="1" s="52">
      <c r="A13" s="62" t="inlineStr">
        <is>
          <t>主账本（总目录）</t>
        </is>
      </c>
      <c r="B13" s="69" t="inlineStr">
        <is>
          <t>assets/registry/ShellStorm2_美术资产台账_v001.xlsx</t>
        </is>
      </c>
      <c r="C13" s="62" t="n"/>
      <c r="D13" s="62" t="n"/>
      <c r="E13" s="62" t="n"/>
      <c r="F13" s="62" t="n"/>
    </row>
    <row r="14" ht="30" customHeight="1" s="52">
      <c r="A14" s="62" t="inlineStr">
        <is>
          <t>跨域契约</t>
        </is>
      </c>
      <c r="B14" s="62" t="inlineStr">
        <is>
          <t>分类与编码 / 命名与查重 / 版本记录 / Skill 清单 / 3D Prefab 总控 —— 全部只在主账本维护</t>
        </is>
      </c>
      <c r="C14" s="62" t="n"/>
      <c r="D14" s="62" t="n"/>
      <c r="E14" s="62" t="n"/>
      <c r="F14" s="62" t="n"/>
    </row>
    <row r="15" ht="30" customHeight="1" s="52">
      <c r="A15" s="62" t="inlineStr">
        <is>
          <t>首选制作 Skill</t>
        </is>
      </c>
      <c r="B15" s="69" t="inlineStr">
        <is>
          <t>godot-model-asset-import-standard</t>
        </is>
      </c>
      <c r="C15" s="62" t="n"/>
      <c r="D15" s="62" t="n"/>
      <c r="E15" s="62" t="n"/>
      <c r="F15" s="62" t="n"/>
    </row>
    <row r="16" ht="30" customHeight="1" s="52">
      <c r="A16" s="62" t="inlineStr">
        <is>
          <t>协作 Skill</t>
        </is>
      </c>
      <c r="B16" s="62" t="inlineStr">
        <is>
          <t>无</t>
        </is>
      </c>
      <c r="C16" s="62" t="n"/>
      <c r="D16" s="62" t="n"/>
      <c r="E16" s="62" t="n"/>
      <c r="F16" s="62" t="n"/>
    </row>
    <row r="17" ht="30" customHeight="1" s="52">
      <c r="A17" s="62" t="inlineStr">
        <is>
          <t>负责人</t>
        </is>
      </c>
      <c r="B17" s="62" t="inlineStr">
        <is>
          <t>待分配</t>
        </is>
      </c>
      <c r="C17" s="62" t="n"/>
      <c r="D17" s="62" t="n"/>
      <c r="E17" s="62" t="n"/>
      <c r="F17" s="62" t="n"/>
    </row>
    <row r="18" ht="30" customHeight="1" s="52">
      <c r="A18" s="62" t="inlineStr">
        <is>
          <t>登记范围</t>
        </is>
      </c>
      <c r="B18" s="62" t="inlineStr">
        <is>
          <t>可独立实例化的3D战斗、环境与可见性特效。每个特效一个独立 Prefab，遵循 14.6 特效系统与制作规范。</t>
        </is>
      </c>
      <c r="C18" s="62" t="n"/>
      <c r="D18" s="62" t="n"/>
      <c r="E18" s="62" t="n"/>
      <c r="F18" s="62" t="n"/>
    </row>
    <row r="19" ht="30" customHeight="1" s="52">
      <c r="A19" s="62" t="inlineStr">
        <is>
          <t>编辑边界</t>
        </is>
      </c>
      <c r="B19" s="62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2" t="n"/>
      <c r="D19" s="62" t="n"/>
      <c r="E19" s="62" t="n"/>
      <c r="F19" s="62" t="n"/>
    </row>
    <row r="20" ht="30" customHeight="1" s="52">
      <c r="A20" s="62" t="inlineStr">
        <is>
          <t>登记口径</t>
        </is>
      </c>
      <c r="B20" s="62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2" t="n"/>
      <c r="D20" s="62" t="n"/>
      <c r="E20" s="62" t="n"/>
      <c r="F20" s="62" t="n"/>
    </row>
    <row r="21" ht="30" customHeight="1" s="52">
      <c r="A21" s="62" t="inlineStr">
        <is>
          <t>门禁</t>
        </is>
      </c>
      <c r="B21" s="69" t="inlineStr">
        <is>
          <t>python3 scripts/check_asset_registry.py --scope structure（需 venv python + openpyxl，且在 /tmp 下跑）</t>
        </is>
      </c>
      <c r="C21" s="62" t="n"/>
      <c r="D21" s="62" t="n"/>
      <c r="E21" s="62" t="n"/>
      <c r="F21" s="62" t="n"/>
    </row>
    <row r="22" ht="30" customHeight="1" s="52">
      <c r="A22" s="62" t="inlineStr">
        <is>
          <t>无损基线</t>
        </is>
      </c>
      <c r="B22" s="69" t="inlineStr">
        <is>
          <t>assets/registry/ledger_split_baseline.json；python3 tools/asset_pipeline/verify_ledger_split.py 断言并集与拆分前逐格一致</t>
        </is>
      </c>
      <c r="C22" s="62" t="n"/>
      <c r="D22" s="62" t="n"/>
      <c r="E22" s="62" t="n"/>
      <c r="F22" s="62" t="n"/>
    </row>
    <row r="23" ht="30" customHeight="1" s="52">
      <c r="A23" s="62" t="inlineStr">
        <is>
          <t>快照日期</t>
        </is>
      </c>
      <c r="B23" s="69" t="inlineStr">
        <is>
          <t>2026-09-18</t>
        </is>
      </c>
      <c r="C23" s="62" t="n"/>
      <c r="D23" s="62" t="n"/>
      <c r="E23" s="62" t="n"/>
      <c r="F23" s="62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51" min="1" max="1"/>
    <col width="21.48" customWidth="1" style="51" min="2" max="2"/>
    <col width="11.94" customWidth="1" style="51" min="3" max="3"/>
    <col width="21.48" customWidth="1" style="51" min="4" max="4"/>
    <col width="26.26" customWidth="1" style="51" min="5" max="5"/>
    <col width="14.33" customWidth="1" style="51" min="6" max="6"/>
    <col width="29.84" customWidth="1" style="51" min="7" max="7"/>
    <col width="22.68" customWidth="1" style="51" min="8" max="8"/>
    <col width="17.9" customWidth="1" style="51" min="9" max="9"/>
    <col width="21.48" customWidth="1" style="51" min="10" max="10"/>
    <col width="14.33" customWidth="1" style="51" min="11" max="11"/>
    <col width="9.550000000000001" customWidth="1" style="51" min="12" max="12"/>
    <col width="10.74" customWidth="1" style="51" min="13" max="13"/>
    <col width="19.1" customWidth="1" style="51" min="14" max="14"/>
    <col width="42.97" customWidth="1" style="51" min="15" max="15"/>
    <col width="40.58" customWidth="1" style="51" min="16" max="16"/>
    <col width="31.03" customWidth="1" style="51" min="17" max="17"/>
    <col width="50.13" customWidth="1" style="51" min="18" max="18"/>
    <col width="14.33" customWidth="1" style="51" min="19" max="19"/>
    <col width="35.81" customWidth="1" style="51" min="20" max="20"/>
    <col width="14.33" customWidth="1" style="51" min="21" max="21"/>
    <col width="15.51" customWidth="1" style="51" min="22" max="22"/>
    <col width="19.1" customWidth="1" style="51" min="23" max="23"/>
    <col width="62.06" customWidth="1" style="51" min="24" max="24"/>
  </cols>
  <sheetData>
    <row r="1" ht="24.75" customHeight="1" s="52">
      <c r="A1" s="70" t="inlineStr">
        <is>
          <t>资产主表 · 唯一登记源</t>
        </is>
      </c>
    </row>
    <row r="2" ht="12" customHeight="1" s="52"/>
    <row r="3" ht="22.5" customHeight="1" s="52">
      <c r="A3" s="54" t="inlineStr">
        <is>
          <t>查重键由公式生成；S 列出现“重复”时禁止制作，先合并或建立变体父子关系</t>
        </is>
      </c>
    </row>
    <row r="4" ht="15" customHeight="1" s="52">
      <c r="A4" s="55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Y4" s="55" t="n"/>
    </row>
    <row r="5" ht="31.5" customHeight="1" s="52">
      <c r="A5" s="71" t="inlineStr">
        <is>
          <t>AssetID</t>
        </is>
      </c>
      <c r="B5" s="72" t="inlineStr">
        <is>
          <t>中文名</t>
        </is>
      </c>
      <c r="C5" s="72" t="inlineStr">
        <is>
          <t>大类</t>
        </is>
      </c>
      <c r="D5" s="72" t="inlineStr">
        <is>
          <t>子类</t>
        </is>
      </c>
      <c r="E5" s="72" t="inlineStr">
        <is>
          <t>逻辑ID/源键</t>
        </is>
      </c>
      <c r="F5" s="72" t="inlineStr">
        <is>
          <t>组件槽</t>
        </is>
      </c>
      <c r="G5" s="72" t="inlineStr">
        <is>
          <t>变体父ID</t>
        </is>
      </c>
      <c r="H5" s="72" t="inlineStr">
        <is>
          <t>视角</t>
        </is>
      </c>
      <c r="I5" s="72" t="inlineStr">
        <is>
          <t>状态/动画</t>
        </is>
      </c>
      <c r="J5" s="72" t="inlineStr">
        <is>
          <t>复用范围</t>
        </is>
      </c>
      <c r="K5" s="72" t="inlineStr">
        <is>
          <t>制作状态</t>
        </is>
      </c>
      <c r="L5" s="72" t="inlineStr">
        <is>
          <t>优先级</t>
        </is>
      </c>
      <c r="M5" s="72" t="inlineStr">
        <is>
          <t>版本</t>
        </is>
      </c>
      <c r="N5" s="72" t="inlineStr">
        <is>
          <t>规格(px)</t>
        </is>
      </c>
      <c r="O5" s="72" t="inlineStr">
        <is>
          <t>文件路径</t>
        </is>
      </c>
      <c r="P5" s="72" t="inlineStr">
        <is>
          <t>源码/策划依据</t>
        </is>
      </c>
      <c r="Q5" s="72" t="inlineStr">
        <is>
          <t>关键词/别名</t>
        </is>
      </c>
      <c r="R5" s="72" t="inlineStr">
        <is>
          <t>查重键</t>
        </is>
      </c>
      <c r="S5" s="72" t="inlineStr">
        <is>
          <t>查重结果</t>
        </is>
      </c>
      <c r="T5" s="73" t="inlineStr">
        <is>
          <t>SHA-256</t>
        </is>
      </c>
      <c r="U5" s="72" t="inlineStr">
        <is>
          <t>负责人</t>
        </is>
      </c>
      <c r="V5" s="72" t="inlineStr">
        <is>
          <t>更新时间</t>
        </is>
      </c>
      <c r="W5" s="72" t="inlineStr">
        <is>
          <t>来源/许可</t>
        </is>
      </c>
      <c r="X5" s="74" t="inlineStr">
        <is>
          <t>源编号（Blender collection）</t>
        </is>
      </c>
      <c r="Y5" s="75" t="inlineStr">
        <is>
          <t>备注</t>
        </is>
      </c>
    </row>
    <row r="6" ht="98.5" customHeight="1" s="52">
      <c r="A6" s="76" t="inlineStr">
        <is>
          <t>VFX-PLY-DASH-TRAIL</t>
        </is>
      </c>
      <c r="B6" s="63" t="inlineStr">
        <is>
          <t>玩家冲刺尾迹</t>
        </is>
      </c>
      <c r="C6" s="63" t="inlineStr">
        <is>
          <t>特效</t>
        </is>
      </c>
      <c r="D6" s="76" t="inlineStr">
        <is>
          <t>player_state</t>
        </is>
      </c>
      <c r="E6" s="76" t="inlineStr">
        <is>
          <t>player_dash</t>
        </is>
      </c>
      <c r="F6" s="76" t="inlineStr">
        <is>
          <t>root</t>
        </is>
      </c>
      <c r="G6" s="63" t="n"/>
      <c r="H6" s="63" t="inlineStr">
        <is>
          <t>侧面朝右（可水平翻转）</t>
        </is>
      </c>
      <c r="I6" s="76" t="inlineStr">
        <is>
          <t>dashing</t>
        </is>
      </c>
      <c r="J6" s="63" t="inlineStr">
        <is>
          <t>玩家状态</t>
        </is>
      </c>
      <c r="K6" s="63" t="inlineStr">
        <is>
          <t>弃用</t>
        </is>
      </c>
      <c r="L6" s="76" t="inlineStr">
        <is>
          <t>P1</t>
        </is>
      </c>
      <c r="M6" s="76" t="inlineStr">
        <is>
          <t>v001</t>
        </is>
      </c>
      <c r="N6" s="63" t="inlineStr">
        <is>
          <t>待定</t>
        </is>
      </c>
      <c r="O6" s="63" t="n"/>
      <c r="P6" s="63" t="n"/>
      <c r="Q6" s="63" t="n"/>
      <c r="R6" s="63">
        <f>LOWER(TRIM(C6)&amp;"|"&amp;TRIM(D6)&amp;"|"&amp;TRIM(E6)&amp;"|"&amp;TRIM(F6)&amp;"|"&amp;TRIM(H6)&amp;"|"&amp;TRIM(I6))</f>
        <v/>
      </c>
      <c r="S6" s="63">
        <f>IF(COUNTIF($R$6:$R$53,R6)&gt;1,"重复","唯一")</f>
        <v/>
      </c>
      <c r="T6" s="63" t="n"/>
      <c r="U6" s="63" t="inlineStr">
        <is>
          <t>待分配</t>
        </is>
      </c>
      <c r="V6" s="77" t="n">
        <v>46243</v>
      </c>
      <c r="W6" s="63" t="inlineStr">
        <is>
          <t>原创/待确认</t>
        </is>
      </c>
      <c r="X6" s="78" t="inlineStr">
        <is>
          <t>—</t>
        </is>
      </c>
      <c r="Y6" s="76" t="inlineStr">
        <is>
          <t>2026-08-09：旧2D PlayerAvatarRenderer专用表现已删除；当前3D状态表现由 PlayerAvatar3D / WeaponModel3D 持有。</t>
        </is>
      </c>
    </row>
    <row r="7" ht="98.5" customHeight="1" s="52">
      <c r="A7" s="76" t="inlineStr">
        <is>
          <t>VFX-PLY-HURT-FLASH</t>
        </is>
      </c>
      <c r="B7" s="63" t="inlineStr">
        <is>
          <t>玩家受击闪光</t>
        </is>
      </c>
      <c r="C7" s="63" t="inlineStr">
        <is>
          <t>特效</t>
        </is>
      </c>
      <c r="D7" s="76" t="inlineStr">
        <is>
          <t>player_state</t>
        </is>
      </c>
      <c r="E7" s="76" t="inlineStr">
        <is>
          <t>player_hurt</t>
        </is>
      </c>
      <c r="F7" s="76" t="inlineStr">
        <is>
          <t>root</t>
        </is>
      </c>
      <c r="G7" s="63" t="n"/>
      <c r="H7" s="63" t="inlineStr">
        <is>
          <t>侧面朝右（可水平翻转）</t>
        </is>
      </c>
      <c r="I7" s="76" t="inlineStr">
        <is>
          <t>hurt</t>
        </is>
      </c>
      <c r="J7" s="63" t="inlineStr">
        <is>
          <t>玩家状态</t>
        </is>
      </c>
      <c r="K7" s="63" t="inlineStr">
        <is>
          <t>弃用</t>
        </is>
      </c>
      <c r="L7" s="76" t="inlineStr">
        <is>
          <t>P1</t>
        </is>
      </c>
      <c r="M7" s="76" t="inlineStr">
        <is>
          <t>v001</t>
        </is>
      </c>
      <c r="N7" s="63" t="inlineStr">
        <is>
          <t>待定</t>
        </is>
      </c>
      <c r="O7" s="63" t="n"/>
      <c r="P7" s="63" t="n"/>
      <c r="Q7" s="63" t="n"/>
      <c r="R7" s="63">
        <f>LOWER(TRIM(C7)&amp;"|"&amp;TRIM(D7)&amp;"|"&amp;TRIM(E7)&amp;"|"&amp;TRIM(F7)&amp;"|"&amp;TRIM(H7)&amp;"|"&amp;TRIM(I7))</f>
        <v/>
      </c>
      <c r="S7" s="63">
        <f>IF(COUNTIF($R$6:$R$53,R7)&gt;1,"重复","唯一")</f>
        <v/>
      </c>
      <c r="T7" s="63" t="n"/>
      <c r="U7" s="63" t="inlineStr">
        <is>
          <t>待分配</t>
        </is>
      </c>
      <c r="V7" s="77" t="n">
        <v>46243</v>
      </c>
      <c r="W7" s="63" t="inlineStr">
        <is>
          <t>原创/待确认</t>
        </is>
      </c>
      <c r="X7" s="78" t="inlineStr">
        <is>
          <t>—</t>
        </is>
      </c>
      <c r="Y7" s="76" t="inlineStr">
        <is>
          <t>2026-08-09：旧2D PlayerAvatarRenderer专用表现已删除；当前3D状态表现由 PlayerAvatar3D / WeaponModel3D 持有。</t>
        </is>
      </c>
    </row>
    <row r="8" ht="98.5" customHeight="1" s="52">
      <c r="A8" s="76" t="inlineStr">
        <is>
          <t>VFX-PLY-LOWHP-RING</t>
        </is>
      </c>
      <c r="B8" s="63" t="inlineStr">
        <is>
          <t>玩家低血环</t>
        </is>
      </c>
      <c r="C8" s="63" t="inlineStr">
        <is>
          <t>特效</t>
        </is>
      </c>
      <c r="D8" s="76" t="inlineStr">
        <is>
          <t>player_overlay</t>
        </is>
      </c>
      <c r="E8" s="76" t="inlineStr">
        <is>
          <t>player_low_hp</t>
        </is>
      </c>
      <c r="F8" s="76" t="inlineStr">
        <is>
          <t>root</t>
        </is>
      </c>
      <c r="G8" s="63" t="n"/>
      <c r="H8" s="63" t="inlineStr">
        <is>
          <t>侧面朝右（可水平翻转）</t>
        </is>
      </c>
      <c r="I8" s="76" t="inlineStr">
        <is>
          <t>low_health</t>
        </is>
      </c>
      <c r="J8" s="63" t="inlineStr">
        <is>
          <t>叠加状态</t>
        </is>
      </c>
      <c r="K8" s="63" t="inlineStr">
        <is>
          <t>弃用</t>
        </is>
      </c>
      <c r="L8" s="76" t="inlineStr">
        <is>
          <t>P2</t>
        </is>
      </c>
      <c r="M8" s="76" t="inlineStr">
        <is>
          <t>v001</t>
        </is>
      </c>
      <c r="N8" s="63" t="inlineStr">
        <is>
          <t>待定</t>
        </is>
      </c>
      <c r="O8" s="63" t="n"/>
      <c r="P8" s="63" t="n"/>
      <c r="Q8" s="63" t="n"/>
      <c r="R8" s="63">
        <f>LOWER(TRIM(C8)&amp;"|"&amp;TRIM(D8)&amp;"|"&amp;TRIM(E8)&amp;"|"&amp;TRIM(F8)&amp;"|"&amp;TRIM(H8)&amp;"|"&amp;TRIM(I8))</f>
        <v/>
      </c>
      <c r="S8" s="63">
        <f>IF(COUNTIF($R$6:$R$53,R8)&gt;1,"重复","唯一")</f>
        <v/>
      </c>
      <c r="T8" s="63" t="n"/>
      <c r="U8" s="63" t="inlineStr">
        <is>
          <t>待分配</t>
        </is>
      </c>
      <c r="V8" s="77" t="n">
        <v>46243</v>
      </c>
      <c r="W8" s="63" t="inlineStr">
        <is>
          <t>原创/待确认</t>
        </is>
      </c>
      <c r="X8" s="78" t="inlineStr">
        <is>
          <t>—</t>
        </is>
      </c>
      <c r="Y8" s="76" t="inlineStr">
        <is>
          <t>2026-08-09：旧2D PlayerAvatarRenderer专用表现已删除；当前3D状态表现由 PlayerAvatar3D / WeaponModel3D 持有。</t>
        </is>
      </c>
    </row>
    <row r="9" ht="98.5" customHeight="1" s="52">
      <c r="A9" s="76" t="inlineStr">
        <is>
          <t>VFX-PLY-SILENCED-RING</t>
        </is>
      </c>
      <c r="B9" s="63" t="inlineStr">
        <is>
          <t>玩家沉默干扰环</t>
        </is>
      </c>
      <c r="C9" s="63" t="inlineStr">
        <is>
          <t>特效</t>
        </is>
      </c>
      <c r="D9" s="76" t="inlineStr">
        <is>
          <t>player_overlay</t>
        </is>
      </c>
      <c r="E9" s="76" t="inlineStr">
        <is>
          <t>player_silenced</t>
        </is>
      </c>
      <c r="F9" s="76" t="inlineStr">
        <is>
          <t>root</t>
        </is>
      </c>
      <c r="G9" s="63" t="n"/>
      <c r="H9" s="63" t="inlineStr">
        <is>
          <t>侧面朝右（可水平翻转）</t>
        </is>
      </c>
      <c r="I9" s="76" t="inlineStr">
        <is>
          <t>silenced</t>
        </is>
      </c>
      <c r="J9" s="63" t="inlineStr">
        <is>
          <t>叠加状态</t>
        </is>
      </c>
      <c r="K9" s="63" t="inlineStr">
        <is>
          <t>弃用</t>
        </is>
      </c>
      <c r="L9" s="76" t="inlineStr">
        <is>
          <t>P2</t>
        </is>
      </c>
      <c r="M9" s="76" t="inlineStr">
        <is>
          <t>v001</t>
        </is>
      </c>
      <c r="N9" s="63" t="inlineStr">
        <is>
          <t>待定</t>
        </is>
      </c>
      <c r="O9" s="63" t="n"/>
      <c r="P9" s="63" t="n"/>
      <c r="Q9" s="63" t="n"/>
      <c r="R9" s="63">
        <f>LOWER(TRIM(C9)&amp;"|"&amp;TRIM(D9)&amp;"|"&amp;TRIM(E9)&amp;"|"&amp;TRIM(F9)&amp;"|"&amp;TRIM(H9)&amp;"|"&amp;TRIM(I9))</f>
        <v/>
      </c>
      <c r="S9" s="63">
        <f>IF(COUNTIF($R$6:$R$53,R9)&gt;1,"重复","唯一")</f>
        <v/>
      </c>
      <c r="T9" s="63" t="n"/>
      <c r="U9" s="63" t="inlineStr">
        <is>
          <t>待分配</t>
        </is>
      </c>
      <c r="V9" s="77" t="n">
        <v>46243</v>
      </c>
      <c r="W9" s="63" t="inlineStr">
        <is>
          <t>原创/待确认</t>
        </is>
      </c>
      <c r="X9" s="78" t="inlineStr">
        <is>
          <t>—</t>
        </is>
      </c>
      <c r="Y9" s="76" t="inlineStr">
        <is>
          <t>2026-08-09：旧2D PlayerAvatarRenderer专用表现已删除；当前3D状态表现由 PlayerAvatar3D / WeaponModel3D 持有。</t>
        </is>
      </c>
    </row>
    <row r="10" ht="22.35" customHeight="1" s="52">
      <c r="A10" s="76" t="inlineStr">
        <is>
          <t>VFX-EXPLOSION</t>
        </is>
      </c>
      <c r="B10" s="63" t="inlineStr">
        <is>
          <t>爆炸</t>
        </is>
      </c>
      <c r="C10" s="63" t="inlineStr">
        <is>
          <t>特效</t>
        </is>
      </c>
      <c r="D10" s="76" t="inlineStr">
        <is>
          <t>gameplay_vfx</t>
        </is>
      </c>
      <c r="E10" s="76" t="inlineStr">
        <is>
          <t>explosion</t>
        </is>
      </c>
      <c r="F10" s="76" t="inlineStr">
        <is>
          <t>root</t>
        </is>
      </c>
      <c r="G10" s="63" t="n"/>
      <c r="H10" s="63" t="inlineStr">
        <is>
          <t>顶视/屏幕空间</t>
        </is>
      </c>
      <c r="I10" s="76" t="inlineStr">
        <is>
          <t>default</t>
        </is>
      </c>
      <c r="J10" s="63" t="inlineStr">
        <is>
          <t>跨武器/跨场景</t>
        </is>
      </c>
      <c r="K10" s="63" t="inlineStr">
        <is>
          <t>程序占位</t>
        </is>
      </c>
      <c r="L10" s="76" t="inlineStr">
        <is>
          <t>P1</t>
        </is>
      </c>
      <c r="M10" s="76" t="inlineStr">
        <is>
          <t>v001</t>
        </is>
      </c>
      <c r="N10" s="63" t="inlineStr">
        <is>
          <t>粒子或 8–16 帧序列</t>
        </is>
      </c>
      <c r="O10" s="63" t="n"/>
      <c r="P10" s="76" t="inlineStr">
        <is>
          <t>scenes/ExplosionEffect.tscn</t>
        </is>
      </c>
      <c r="Q10" s="63" t="n"/>
      <c r="R10" s="63">
        <f>LOWER(TRIM(C10)&amp;"|"&amp;TRIM(D10)&amp;"|"&amp;TRIM(E10)&amp;"|"&amp;TRIM(F10)&amp;"|"&amp;TRIM(H10)&amp;"|"&amp;TRIM(I10))</f>
        <v/>
      </c>
      <c r="S10" s="63">
        <f>IF(COUNTIF($R$6:$R$53,R10)&gt;1,"重复","唯一")</f>
        <v/>
      </c>
      <c r="T10" s="63" t="n"/>
      <c r="U10" s="63" t="inlineStr">
        <is>
          <t>待分配</t>
        </is>
      </c>
      <c r="V10" s="77" t="n">
        <v>46224</v>
      </c>
      <c r="W10" s="63" t="inlineStr">
        <is>
          <t>原创/待确认</t>
        </is>
      </c>
      <c r="X10" s="78" t="inlineStr">
        <is>
          <t>—</t>
        </is>
      </c>
      <c r="Y10" s="63" t="inlineStr">
        <is>
          <t>颜色/尺寸作参数变体，禁止复制整套</t>
        </is>
      </c>
    </row>
    <row r="11" ht="22.35" customHeight="1" s="52">
      <c r="A11" s="76" t="inlineStr">
        <is>
          <t>VFX-MUZZLE-FLASH</t>
        </is>
      </c>
      <c r="B11" s="63" t="inlineStr">
        <is>
          <t>枪口火焰</t>
        </is>
      </c>
      <c r="C11" s="63" t="inlineStr">
        <is>
          <t>特效</t>
        </is>
      </c>
      <c r="D11" s="76" t="inlineStr">
        <is>
          <t>gameplay_vfx</t>
        </is>
      </c>
      <c r="E11" s="76" t="inlineStr">
        <is>
          <t>muzzle_flash</t>
        </is>
      </c>
      <c r="F11" s="76" t="inlineStr">
        <is>
          <t>root</t>
        </is>
      </c>
      <c r="G11" s="63" t="n"/>
      <c r="H11" s="63" t="inlineStr">
        <is>
          <t>顶视/屏幕空间</t>
        </is>
      </c>
      <c r="I11" s="76" t="inlineStr">
        <is>
          <t>default</t>
        </is>
      </c>
      <c r="J11" s="63" t="inlineStr">
        <is>
          <t>跨武器/跨场景</t>
        </is>
      </c>
      <c r="K11" s="63" t="inlineStr">
        <is>
          <t>程序占位</t>
        </is>
      </c>
      <c r="L11" s="76" t="inlineStr">
        <is>
          <t>P1</t>
        </is>
      </c>
      <c r="M11" s="76" t="inlineStr">
        <is>
          <t>v001</t>
        </is>
      </c>
      <c r="N11" s="63" t="inlineStr">
        <is>
          <t>粒子或 8–16 帧序列</t>
        </is>
      </c>
      <c r="O11" s="63" t="n"/>
      <c r="P11" s="76" t="inlineStr">
        <is>
          <t>src/weapon/WeaponDisplay.gd</t>
        </is>
      </c>
      <c r="Q11" s="63" t="n"/>
      <c r="R11" s="63">
        <f>LOWER(TRIM(C11)&amp;"|"&amp;TRIM(D11)&amp;"|"&amp;TRIM(E11)&amp;"|"&amp;TRIM(F11)&amp;"|"&amp;TRIM(H11)&amp;"|"&amp;TRIM(I11))</f>
        <v/>
      </c>
      <c r="S11" s="63">
        <f>IF(COUNTIF($R$6:$R$53,R11)&gt;1,"重复","唯一")</f>
        <v/>
      </c>
      <c r="T11" s="63" t="n"/>
      <c r="U11" s="63" t="inlineStr">
        <is>
          <t>待分配</t>
        </is>
      </c>
      <c r="V11" s="77" t="n">
        <v>46224</v>
      </c>
      <c r="W11" s="63" t="inlineStr">
        <is>
          <t>原创/待确认</t>
        </is>
      </c>
      <c r="X11" s="78" t="inlineStr">
        <is>
          <t>—</t>
        </is>
      </c>
      <c r="Y11" s="63" t="inlineStr">
        <is>
          <t>颜色/尺寸作参数变体，禁止复制整套</t>
        </is>
      </c>
    </row>
    <row r="12" ht="22.35" customHeight="1" s="52">
      <c r="A12" s="76" t="inlineStr">
        <is>
          <t>VFX-DAMAGE-NUMBER</t>
        </is>
      </c>
      <c r="B12" s="63" t="inlineStr">
        <is>
          <t>伤害数字</t>
        </is>
      </c>
      <c r="C12" s="63" t="inlineStr">
        <is>
          <t>特效</t>
        </is>
      </c>
      <c r="D12" s="76" t="inlineStr">
        <is>
          <t>gameplay_vfx</t>
        </is>
      </c>
      <c r="E12" s="76" t="inlineStr">
        <is>
          <t>damage_number</t>
        </is>
      </c>
      <c r="F12" s="76" t="inlineStr">
        <is>
          <t>root</t>
        </is>
      </c>
      <c r="G12" s="63" t="n"/>
      <c r="H12" s="63" t="inlineStr">
        <is>
          <t>顶视/屏幕空间</t>
        </is>
      </c>
      <c r="I12" s="76" t="inlineStr">
        <is>
          <t>default</t>
        </is>
      </c>
      <c r="J12" s="63" t="inlineStr">
        <is>
          <t>跨武器/跨场景</t>
        </is>
      </c>
      <c r="K12" s="63" t="inlineStr">
        <is>
          <t>程序占位</t>
        </is>
      </c>
      <c r="L12" s="76" t="inlineStr">
        <is>
          <t>P2</t>
        </is>
      </c>
      <c r="M12" s="76" t="inlineStr">
        <is>
          <t>v001</t>
        </is>
      </c>
      <c r="N12" s="63" t="inlineStr">
        <is>
          <t>粒子或 8–16 帧序列</t>
        </is>
      </c>
      <c r="O12" s="63" t="n"/>
      <c r="P12" s="76" t="inlineStr">
        <is>
          <t>scenes/DamageNumber.tscn</t>
        </is>
      </c>
      <c r="Q12" s="63" t="n"/>
      <c r="R12" s="63">
        <f>LOWER(TRIM(C12)&amp;"|"&amp;TRIM(D12)&amp;"|"&amp;TRIM(E12)&amp;"|"&amp;TRIM(F12)&amp;"|"&amp;TRIM(H12)&amp;"|"&amp;TRIM(I12))</f>
        <v/>
      </c>
      <c r="S12" s="63">
        <f>IF(COUNTIF($R$6:$R$53,R12)&gt;1,"重复","唯一")</f>
        <v/>
      </c>
      <c r="T12" s="63" t="n"/>
      <c r="U12" s="63" t="inlineStr">
        <is>
          <t>待分配</t>
        </is>
      </c>
      <c r="V12" s="77" t="n">
        <v>46224</v>
      </c>
      <c r="W12" s="63" t="inlineStr">
        <is>
          <t>原创/待确认</t>
        </is>
      </c>
      <c r="X12" s="78" t="inlineStr">
        <is>
          <t>—</t>
        </is>
      </c>
      <c r="Y12" s="63" t="inlineStr">
        <is>
          <t>颜色/尺寸作参数变体，禁止复制整套</t>
        </is>
      </c>
    </row>
    <row r="13" ht="22.35" customHeight="1" s="52">
      <c r="A13" s="76" t="inlineStr">
        <is>
          <t>VFX-SPARK</t>
        </is>
      </c>
      <c r="B13" s="63" t="inlineStr">
        <is>
          <t>火花</t>
        </is>
      </c>
      <c r="C13" s="63" t="inlineStr">
        <is>
          <t>特效</t>
        </is>
      </c>
      <c r="D13" s="76" t="inlineStr">
        <is>
          <t>gameplay_vfx</t>
        </is>
      </c>
      <c r="E13" s="76" t="inlineStr">
        <is>
          <t>spark</t>
        </is>
      </c>
      <c r="F13" s="76" t="inlineStr">
        <is>
          <t>root</t>
        </is>
      </c>
      <c r="G13" s="63" t="n"/>
      <c r="H13" s="63" t="inlineStr">
        <is>
          <t>顶视/屏幕空间</t>
        </is>
      </c>
      <c r="I13" s="76" t="inlineStr">
        <is>
          <t>default</t>
        </is>
      </c>
      <c r="J13" s="63" t="inlineStr">
        <is>
          <t>跨武器/跨场景</t>
        </is>
      </c>
      <c r="K13" s="63" t="inlineStr">
        <is>
          <t>程序占位</t>
        </is>
      </c>
      <c r="L13" s="76" t="inlineStr">
        <is>
          <t>P2</t>
        </is>
      </c>
      <c r="M13" s="76" t="inlineStr">
        <is>
          <t>v001</t>
        </is>
      </c>
      <c r="N13" s="63" t="inlineStr">
        <is>
          <t>粒子或 8–16 帧序列</t>
        </is>
      </c>
      <c r="O13" s="63" t="n"/>
      <c r="P13" s="76" t="inlineStr">
        <is>
          <t>src/fx/SparkParticles.gd</t>
        </is>
      </c>
      <c r="Q13" s="63" t="n"/>
      <c r="R13" s="63">
        <f>LOWER(TRIM(C13)&amp;"|"&amp;TRIM(D13)&amp;"|"&amp;TRIM(E13)&amp;"|"&amp;TRIM(F13)&amp;"|"&amp;TRIM(H13)&amp;"|"&amp;TRIM(I13))</f>
        <v/>
      </c>
      <c r="S13" s="63">
        <f>IF(COUNTIF($R$6:$R$53,R13)&gt;1,"重复","唯一")</f>
        <v/>
      </c>
      <c r="T13" s="63" t="n"/>
      <c r="U13" s="63" t="inlineStr">
        <is>
          <t>待分配</t>
        </is>
      </c>
      <c r="V13" s="77" t="n">
        <v>46224</v>
      </c>
      <c r="W13" s="63" t="inlineStr">
        <is>
          <t>原创/待确认</t>
        </is>
      </c>
      <c r="X13" s="78" t="inlineStr">
        <is>
          <t>—</t>
        </is>
      </c>
      <c r="Y13" s="63" t="inlineStr">
        <is>
          <t>颜色/尺寸作参数变体，禁止复制整套</t>
        </is>
      </c>
    </row>
    <row r="14" ht="22.35" customHeight="1" s="52">
      <c r="A14" s="76" t="inlineStr">
        <is>
          <t>VFX-ROOM-TRANSITION</t>
        </is>
      </c>
      <c r="B14" s="63" t="inlineStr">
        <is>
          <t>房间转场</t>
        </is>
      </c>
      <c r="C14" s="63" t="inlineStr">
        <is>
          <t>特效</t>
        </is>
      </c>
      <c r="D14" s="76" t="inlineStr">
        <is>
          <t>gameplay_vfx</t>
        </is>
      </c>
      <c r="E14" s="76" t="inlineStr">
        <is>
          <t>room_transition</t>
        </is>
      </c>
      <c r="F14" s="76" t="inlineStr">
        <is>
          <t>root</t>
        </is>
      </c>
      <c r="G14" s="63" t="n"/>
      <c r="H14" s="63" t="inlineStr">
        <is>
          <t>顶视/屏幕空间</t>
        </is>
      </c>
      <c r="I14" s="76" t="inlineStr">
        <is>
          <t>default</t>
        </is>
      </c>
      <c r="J14" s="63" t="inlineStr">
        <is>
          <t>跨武器/跨场景</t>
        </is>
      </c>
      <c r="K14" s="63" t="inlineStr">
        <is>
          <t>程序占位</t>
        </is>
      </c>
      <c r="L14" s="76" t="inlineStr">
        <is>
          <t>P2</t>
        </is>
      </c>
      <c r="M14" s="76" t="inlineStr">
        <is>
          <t>v001</t>
        </is>
      </c>
      <c r="N14" s="63" t="inlineStr">
        <is>
          <t>粒子或 8–16 帧序列</t>
        </is>
      </c>
      <c r="O14" s="63" t="n"/>
      <c r="P14" s="76" t="inlineStr">
        <is>
          <t>src/fx/RoomTransitionFX.gd</t>
        </is>
      </c>
      <c r="Q14" s="63" t="n"/>
      <c r="R14" s="63">
        <f>LOWER(TRIM(C14)&amp;"|"&amp;TRIM(D14)&amp;"|"&amp;TRIM(E14)&amp;"|"&amp;TRIM(F14)&amp;"|"&amp;TRIM(H14)&amp;"|"&amp;TRIM(I14))</f>
        <v/>
      </c>
      <c r="S14" s="63">
        <f>IF(COUNTIF($R$6:$R$53,R14)&gt;1,"重复","唯一")</f>
        <v/>
      </c>
      <c r="T14" s="63" t="n"/>
      <c r="U14" s="63" t="inlineStr">
        <is>
          <t>待分配</t>
        </is>
      </c>
      <c r="V14" s="77" t="n">
        <v>46224</v>
      </c>
      <c r="W14" s="63" t="inlineStr">
        <is>
          <t>原创/待确认</t>
        </is>
      </c>
      <c r="X14" s="78" t="inlineStr">
        <is>
          <t>—</t>
        </is>
      </c>
      <c r="Y14" s="63" t="inlineStr">
        <is>
          <t>颜色/尺寸作参数变体，禁止复制整套</t>
        </is>
      </c>
    </row>
    <row r="15" ht="62.65" customHeight="1" s="52">
      <c r="A15" s="76" t="inlineStr">
        <is>
          <t>VFX-VISIBILITY-LIGHT</t>
        </is>
      </c>
      <c r="B15" s="63" t="inlineStr">
        <is>
          <t>视野光锥</t>
        </is>
      </c>
      <c r="C15" s="63" t="inlineStr">
        <is>
          <t>特效</t>
        </is>
      </c>
      <c r="D15" s="76" t="inlineStr">
        <is>
          <t>gameplay_vfx</t>
        </is>
      </c>
      <c r="E15" s="76" t="inlineStr">
        <is>
          <t>visibility_light</t>
        </is>
      </c>
      <c r="F15" s="76" t="inlineStr">
        <is>
          <t>root</t>
        </is>
      </c>
      <c r="G15" s="63" t="n"/>
      <c r="H15" s="63" t="inlineStr">
        <is>
          <t>顶视/屏幕空间</t>
        </is>
      </c>
      <c r="I15" s="76" t="inlineStr">
        <is>
          <t>default</t>
        </is>
      </c>
      <c r="J15" s="63" t="inlineStr">
        <is>
          <t>跨武器/跨场景</t>
        </is>
      </c>
      <c r="K15" s="63" t="inlineStr">
        <is>
          <t>程序占位</t>
        </is>
      </c>
      <c r="L15" s="76" t="inlineStr">
        <is>
          <t>P2</t>
        </is>
      </c>
      <c r="M15" s="76" t="inlineStr">
        <is>
          <t>v001</t>
        </is>
      </c>
      <c r="N15" s="63" t="inlineStr">
        <is>
          <t>粒子或 8–16 帧序列</t>
        </is>
      </c>
      <c r="O15" s="63" t="n"/>
      <c r="P15" s="76" t="inlineStr">
        <is>
          <t>src/fx/VisibilityLight2D.gd</t>
        </is>
      </c>
      <c r="Q15" s="63" t="n"/>
      <c r="R15" s="63">
        <f>LOWER(TRIM(C15)&amp;"|"&amp;TRIM(D15)&amp;"|"&amp;TRIM(E15)&amp;"|"&amp;TRIM(F15)&amp;"|"&amp;TRIM(H15)&amp;"|"&amp;TRIM(I15))</f>
        <v/>
      </c>
      <c r="S15" s="63">
        <f>IF(COUNTIF($R$6:$R$53,R15)&gt;1,"重复","唯一")</f>
        <v/>
      </c>
      <c r="T15" s="63" t="n"/>
      <c r="U15" s="63" t="inlineStr">
        <is>
          <t>待分配</t>
        </is>
      </c>
      <c r="V15" s="77" t="n">
        <v>46225</v>
      </c>
      <c r="W15" s="63" t="inlineStr">
        <is>
          <t>原创/待确认</t>
        </is>
      </c>
      <c r="X15" s="78" t="inlineStr">
        <is>
          <t>—</t>
        </is>
      </c>
      <c r="Y15" s="76" t="inlineStr">
        <is>
          <t>2D视野表现根；3D真实判定与地面网格登记为 VFX-VISIBILITY-FIELD-3D，禁止用灯光替代</t>
        </is>
      </c>
    </row>
    <row r="16" ht="22.35" customHeight="1" s="52">
      <c r="A16" s="76" t="inlineStr">
        <is>
          <t>VFX-EXTRACTION-BEACON</t>
        </is>
      </c>
      <c r="B16" s="63" t="inlineStr">
        <is>
          <t>撤离信标效果</t>
        </is>
      </c>
      <c r="C16" s="63" t="inlineStr">
        <is>
          <t>特效</t>
        </is>
      </c>
      <c r="D16" s="76" t="inlineStr">
        <is>
          <t>gameplay_vfx</t>
        </is>
      </c>
      <c r="E16" s="76" t="inlineStr">
        <is>
          <t>extraction_beacon</t>
        </is>
      </c>
      <c r="F16" s="76" t="inlineStr">
        <is>
          <t>root</t>
        </is>
      </c>
      <c r="G16" s="63" t="n"/>
      <c r="H16" s="63" t="inlineStr">
        <is>
          <t>顶视/屏幕空间</t>
        </is>
      </c>
      <c r="I16" s="76" t="inlineStr">
        <is>
          <t>default</t>
        </is>
      </c>
      <c r="J16" s="63" t="inlineStr">
        <is>
          <t>跨武器/跨场景</t>
        </is>
      </c>
      <c r="K16" s="63" t="inlineStr">
        <is>
          <t>程序占位</t>
        </is>
      </c>
      <c r="L16" s="76" t="inlineStr">
        <is>
          <t>P2</t>
        </is>
      </c>
      <c r="M16" s="76" t="inlineStr">
        <is>
          <t>v001</t>
        </is>
      </c>
      <c r="N16" s="63" t="inlineStr">
        <is>
          <t>粒子或 8–16 帧序列</t>
        </is>
      </c>
      <c r="O16" s="63" t="n"/>
      <c r="P16" s="76" t="inlineStr">
        <is>
          <t>src/map/ExtractionDirector.gd</t>
        </is>
      </c>
      <c r="Q16" s="63" t="n"/>
      <c r="R16" s="63">
        <f>LOWER(TRIM(C16)&amp;"|"&amp;TRIM(D16)&amp;"|"&amp;TRIM(E16)&amp;"|"&amp;TRIM(F16)&amp;"|"&amp;TRIM(H16)&amp;"|"&amp;TRIM(I16))</f>
        <v/>
      </c>
      <c r="S16" s="63">
        <f>IF(COUNTIF($R$6:$R$53,R16)&gt;1,"重复","唯一")</f>
        <v/>
      </c>
      <c r="T16" s="63" t="n"/>
      <c r="U16" s="63" t="inlineStr">
        <is>
          <t>待分配</t>
        </is>
      </c>
      <c r="V16" s="77" t="n">
        <v>46224</v>
      </c>
      <c r="W16" s="63" t="inlineStr">
        <is>
          <t>原创/待确认</t>
        </is>
      </c>
      <c r="X16" s="78" t="inlineStr">
        <is>
          <t>—</t>
        </is>
      </c>
      <c r="Y16" s="63" t="inlineStr">
        <is>
          <t>颜色/尺寸作参数变体，禁止复制整套</t>
        </is>
      </c>
    </row>
    <row r="17" ht="35.05" customHeight="1" s="52">
      <c r="A17" s="79" t="inlineStr">
        <is>
          <t>VFX-HAZARD-FIELD-3D</t>
        </is>
      </c>
      <c r="B17" s="55" t="inlineStr">
        <is>
          <t>房间危险场3D特效</t>
        </is>
      </c>
      <c r="C17" s="55" t="inlineStr">
        <is>
          <t>特效</t>
        </is>
      </c>
      <c r="D17" s="79" t="inlineStr">
        <is>
          <t>environment</t>
        </is>
      </c>
      <c r="E17" s="79" t="inlineStr">
        <is>
          <t>hazard_field</t>
        </is>
      </c>
      <c r="F17" s="79" t="inlineStr">
        <is>
          <t>root_3d</t>
        </is>
      </c>
      <c r="G17" s="79" t="inlineStr">
        <is>
          <t>ENV-DUNGEON-RUNTIME-3D</t>
        </is>
      </c>
      <c r="H17" s="55" t="inlineStr">
        <is>
          <t>俯视3D</t>
        </is>
      </c>
      <c r="I17" s="79" t="inlineStr">
        <is>
          <t>active</t>
        </is>
      </c>
      <c r="J17" s="55" t="inlineStr">
        <is>
          <t>陷阱房</t>
        </is>
      </c>
      <c r="K17" s="55" t="inlineStr">
        <is>
          <t>原型已接入</t>
        </is>
      </c>
      <c r="L17" s="79" t="inlineStr">
        <is>
          <t>P0</t>
        </is>
      </c>
      <c r="M17" s="79" t="inlineStr">
        <is>
          <t>v001</t>
        </is>
      </c>
      <c r="N17" s="79" t="inlineStr">
        <is>
          <t>PackedScene/程序环形特效</t>
        </is>
      </c>
      <c r="O17" s="79" t="inlineStr">
        <is>
          <t>assets/art/vfx/environment_3d/vfx_hazard_field_root_top3d.tscn</t>
        </is>
      </c>
      <c r="P17" s="79" t="inlineStr">
        <is>
          <t>src/world3d/HazardField3D.gd</t>
        </is>
      </c>
      <c r="Q17" s="55" t="inlineStr">
        <is>
          <t>危险区;陷阱;范围伤害;3D</t>
        </is>
      </c>
      <c r="R17" s="79">
        <f>LOWER(TRIM(C17)&amp;"|"&amp;TRIM(D17)&amp;"|"&amp;TRIM(E17)&amp;"|"&amp;TRIM(F17)&amp;"|"&amp;TRIM(H17)&amp;"|"&amp;TRIM(I17))</f>
        <v/>
      </c>
      <c r="S17" s="55">
        <f>IF(COUNTIF($R$6:$R$53,R17)&gt;1,"重复","唯一")</f>
        <v/>
      </c>
      <c r="T17" s="79" t="inlineStr">
        <is>
          <t>9457d360dc6529e42502980b94188d13f76da5efb581b261cfb9b8adbd0f5ff6</t>
        </is>
      </c>
      <c r="U17" s="79" t="inlineStr">
        <is>
          <t>Codex</t>
        </is>
      </c>
      <c r="V17" s="80" t="n">
        <v>46224</v>
      </c>
      <c r="W17" s="55" t="inlineStr">
        <is>
          <t>原创程序特效</t>
        </is>
      </c>
      <c r="X17" s="78" t="inlineStr">
        <is>
          <t>—</t>
        </is>
      </c>
      <c r="Y17" s="55" t="inlineStr">
        <is>
          <t>颜色、半径与伤害可按主题配置</t>
        </is>
      </c>
    </row>
    <row r="18" ht="149.25" customHeight="1" s="52">
      <c r="A18" s="79" t="inlineStr">
        <is>
          <t>VFX-COMBAT-KIT-3D</t>
        </is>
      </c>
      <c r="B18" s="55" t="inlineStr">
        <is>
          <t>战斗反馈3D通用特效套件</t>
        </is>
      </c>
      <c r="C18" s="55" t="inlineStr">
        <is>
          <t>特效</t>
        </is>
      </c>
      <c r="D18" s="79" t="inlineStr">
        <is>
          <t>combat</t>
        </is>
      </c>
      <c r="E18" s="79" t="inlineStr">
        <is>
          <t>combat_feedback</t>
        </is>
      </c>
      <c r="F18" s="79" t="inlineStr">
        <is>
          <t>root_3d</t>
        </is>
      </c>
      <c r="G18" s="79" t="n"/>
      <c r="H18" s="55" t="inlineStr">
        <is>
          <t>俯视3D</t>
        </is>
      </c>
      <c r="I18" s="79" t="inlineStr">
        <is>
          <t>muzzle_impact_damage_explosion_slash_melee_impact</t>
        </is>
      </c>
      <c r="J18" s="55" t="inlineStr">
        <is>
          <t>枪械/近战/敌人/关卡</t>
        </is>
      </c>
      <c r="K18" s="55" t="inlineStr">
        <is>
          <t>原型已接入</t>
        </is>
      </c>
      <c r="L18" s="79" t="inlineStr">
        <is>
          <t>P0</t>
        </is>
      </c>
      <c r="M18" s="79" t="inlineStr">
        <is>
          <t>v001</t>
        </is>
      </c>
      <c r="N18" s="79" t="inlineStr">
        <is>
          <t>PackedScene/参数化特效</t>
        </is>
      </c>
      <c r="O18" s="79" t="inlineStr">
        <is>
          <t>assets/art/vfx/combat_3d/vfx_combat_kit_root_top3d.tscn</t>
        </is>
      </c>
      <c r="P18" s="79" t="inlineStr">
        <is>
          <t>src/combat3d/CombatEffect3D.gd; src/combat3d/CombatEffectPool3D.gd; src/player3d/melee/PlayerMeleeCombat3D.gd</t>
        </is>
      </c>
      <c r="Q18" s="55" t="inlineStr">
        <is>
          <t>枪口;命中;伤害;爆炸;挥砍;近战冲击;slash;melee_impact;3D</t>
        </is>
      </c>
      <c r="R18" s="79">
        <f>LOWER(TRIM(C18)&amp;"|"&amp;TRIM(D18)&amp;"|"&amp;TRIM(E18)&amp;"|"&amp;TRIM(F18)&amp;"|"&amp;TRIM(H18)&amp;"|"&amp;TRIM(I18))</f>
        <v/>
      </c>
      <c r="S18" s="55">
        <f>IF(COUNTIF($R$6:$R$53,R18)&gt;1,"重复","唯一")</f>
        <v/>
      </c>
      <c r="T18" s="79" t="inlineStr">
        <is>
          <t>59cd5409b33ff9fae9c541b357699249d8f0574bc21add6fec2d1fdfd89a098e</t>
        </is>
      </c>
      <c r="U18" s="79" t="inlineStr">
        <is>
          <t>Codex</t>
        </is>
      </c>
      <c r="V18" s="80" t="n">
        <v>46224</v>
      </c>
      <c r="W18" s="55" t="inlineStr">
        <is>
          <t>原创程序特效</t>
        </is>
      </c>
      <c r="X18" s="78" t="inlineStr">
        <is>
          <t>—</t>
        </is>
      </c>
      <c r="Y18" s="79" t="inlineStr">
        <is>
          <t>effect kind、颜色、尺寸、方向与连段参数化；新增slash/melee_impact无碰撞池化种类，复用同一战斗VFX根；近战专项验证一段一弧光、逐目标爆点。</t>
        </is>
      </c>
    </row>
    <row r="19" ht="429.1" customHeight="1" s="52">
      <c r="A19" s="79" t="inlineStr">
        <is>
          <t>VFX-VISIBILITY-FIELD-3D</t>
        </is>
      </c>
      <c r="B19" s="55" t="inlineStr">
        <is>
          <t>柔边真实单位视野场3D</t>
        </is>
      </c>
      <c r="C19" s="55" t="inlineStr">
        <is>
          <t>特效</t>
        </is>
      </c>
      <c r="D19" s="79" t="inlineStr">
        <is>
          <t>gameplay_vfx</t>
        </is>
      </c>
      <c r="E19" s="79" t="inlineStr">
        <is>
          <t>visibility_field</t>
        </is>
      </c>
      <c r="F19" s="79" t="inlineStr">
        <is>
          <t>field_mesh_3d</t>
        </is>
      </c>
      <c r="G19" s="79" t="inlineStr">
        <is>
          <t>VFX-VISIBILITY-LIGHT</t>
        </is>
      </c>
      <c r="H19" s="55" t="inlineStr">
        <is>
          <t>俯视3D</t>
        </is>
      </c>
      <c r="I19" s="79" t="inlineStr">
        <is>
          <t>default</t>
        </is>
      </c>
      <c r="J19" s="79" t="inlineStr">
        <is>
          <t>3D行动区/靶场/基地</t>
        </is>
      </c>
      <c r="K19" s="55" t="inlineStr">
        <is>
          <t>原型已接入</t>
        </is>
      </c>
      <c r="L19" s="79" t="inlineStr">
        <is>
          <t>P0</t>
        </is>
      </c>
      <c r="M19" s="79" t="inlineStr">
        <is>
          <t>v001</t>
        </is>
      </c>
      <c r="N19" s="79" t="inlineStr">
        <is>
          <t>360°逻辑射线 + ImmediateMesh 49+28表现射线</t>
        </is>
      </c>
      <c r="O19" s="79" t="inlineStr">
        <is>
          <t>src/player3d/PlayerVision3D.gd</t>
        </is>
      </c>
      <c r="P19" s="79" t="inlineStr">
        <is>
          <t>scenes/Player3D.tscn</t>
        </is>
      </c>
      <c r="Q19" s="79" t="inlineStr">
        <is>
          <t>360度逻辑视野;96度目光表现;柔边;墙体遮挡;无描边;非灯光判定</t>
        </is>
      </c>
      <c r="R19" s="79">
        <f>LOWER(TRIM(C19)&amp;"|"&amp;TRIM(D19)&amp;"|"&amp;TRIM(E19)&amp;"|"&amp;TRIM(F19)&amp;"|"&amp;TRIM(H19)&amp;"|"&amp;TRIM(I19))</f>
        <v/>
      </c>
      <c r="S19" s="55">
        <f>IF(COUNTIF($R$6:$R$53,R19)&gt;1,"重复","唯一")</f>
        <v/>
      </c>
      <c r="T19" s="79" t="inlineStr">
        <is>
          <t>3a5f9e551802a19e6415e15ee32cea76fe74545bf64af0fcb847c54d3972e740</t>
        </is>
      </c>
      <c r="U19" s="79" t="inlineStr">
        <is>
          <t>Codex</t>
        </is>
      </c>
      <c r="V19" s="79" t="n">
        <v>46264</v>
      </c>
      <c r="W19" s="55" t="inlineStr">
        <is>
          <t>原创程序几何</t>
        </is>
      </c>
      <c r="X19" s="78" t="inlineStr">
        <is>
          <t>—</t>
        </is>
      </c>
      <c r="Y19" s="55" t="inlineStr">
        <is>
          <t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t>
        </is>
      </c>
    </row>
    <row r="20" ht="582.8" customHeight="1" s="52">
      <c r="A20" s="79" t="inlineStr">
        <is>
          <t>VFX-PLAYER-FLASHLIGHT-3D</t>
        </is>
      </c>
      <c r="B20" s="55" t="inlineStr">
        <is>
          <t>玩家真实探照灯组件3D</t>
        </is>
      </c>
      <c r="C20" s="55" t="inlineStr">
        <is>
          <t>特效</t>
        </is>
      </c>
      <c r="D20" s="79" t="inlineStr">
        <is>
          <t>gameplay_vfx</t>
        </is>
      </c>
      <c r="E20" s="79" t="inlineStr">
        <is>
          <t>player_flashlight</t>
        </is>
      </c>
      <c r="F20" s="79" t="inlineStr">
        <is>
          <t>light_rig_3d</t>
        </is>
      </c>
      <c r="G20" s="79" t="inlineStr">
        <is>
          <t>VFX-VISIBILITY-FIELD-3D</t>
        </is>
      </c>
      <c r="H20" s="55" t="inlineStr">
        <is>
          <t>俯视3D</t>
        </is>
      </c>
      <c r="I20" s="79" t="inlineStr">
        <is>
          <t>default</t>
        </is>
      </c>
      <c r="J20" s="79" t="inlineStr">
        <is>
          <t>3D行动区/靶场/基地</t>
        </is>
      </c>
      <c r="K20" s="55" t="inlineStr">
        <is>
          <t>原型已接入</t>
        </is>
      </c>
      <c r="L20" s="79" t="inlineStr">
        <is>
          <t>P0</t>
        </is>
      </c>
      <c r="M20" s="79" t="inlineStr">
        <is>
          <t>v001</t>
        </is>
      </c>
      <c r="N20" s="79" t="inlineStr">
        <is>
          <t>PackedScene/2 SpotLight3D+1 OmniLight3D</t>
        </is>
      </c>
      <c r="O20" s="79" t="inlineStr">
        <is>
          <t>assets/art/vfx/visibility_3d/vfx_player_flashlight_root_top3d.tscn</t>
        </is>
      </c>
      <c r="P20" s="79" t="inlineStr">
        <is>
          <t>src/player3d/PlayerFlashlight3D.gd</t>
        </is>
      </c>
      <c r="Q20" s="55" t="inlineStr">
        <is>
          <t>真实探照灯;玩家灯光;前向聚光;角色补光;可调灯光</t>
        </is>
      </c>
      <c r="R20" s="79">
        <f>LOWER(TRIM(C20)&amp;"|"&amp;TRIM(D20)&amp;"|"&amp;TRIM(E20)&amp;"|"&amp;TRIM(F20)&amp;"|"&amp;TRIM(H20)&amp;"|"&amp;TRIM(I20))</f>
        <v/>
      </c>
      <c r="S20" s="55">
        <f>IF(COUNTIF($R$6:$R$53,R20)&gt;1,"重复","唯一")</f>
        <v/>
      </c>
      <c r="T20" s="79" t="inlineStr">
        <is>
          <t>66d910c4fbcfd63176427c8012d3b6dbb11c4e0999587b34a3a66d6202920017</t>
        </is>
      </c>
      <c r="U20" s="79" t="inlineStr">
        <is>
          <t>Codex</t>
        </is>
      </c>
      <c r="V20" s="80" t="n">
        <v>46225</v>
      </c>
      <c r="W20" s="81" t="inlineStr">
        <is>
          <t>原创程序几何</t>
        </is>
      </c>
      <c r="X20" s="78" t="inlineStr">
        <is>
          <t>—</t>
        </is>
      </c>
      <c r="Y20" s="79" t="inlineStr">
        <is>
          <t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t>
        </is>
      </c>
    </row>
    <row r="21" ht="931.3" customHeight="1" s="52">
      <c r="A21" s="79" t="inlineStr">
        <is>
          <t>VFX-SHELL-CASING-3D</t>
        </is>
      </c>
      <c r="B21" s="55" t="inlineStr">
        <is>
          <t>抛壳落地特效</t>
        </is>
      </c>
      <c r="C21" s="55" t="inlineStr">
        <is>
          <t>特效</t>
        </is>
      </c>
      <c r="D21" s="55" t="inlineStr">
        <is>
          <t>战斗反馈</t>
        </is>
      </c>
      <c r="E21" s="79" t="inlineStr">
        <is>
          <t>FX01-07</t>
        </is>
      </c>
      <c r="F21" s="79" t="n"/>
      <c r="G21" s="79" t="n"/>
      <c r="H21" s="55" t="inlineStr">
        <is>
          <t>俯视3D</t>
        </is>
      </c>
      <c r="I21" s="55" t="inlineStr">
        <is>
          <t>开火抛壳/落地</t>
        </is>
      </c>
      <c r="J21" s="55" t="inlineStr">
        <is>
          <t>玩家/敌人远程枪械</t>
        </is>
      </c>
      <c r="K21" s="55" t="inlineStr">
        <is>
          <t>已完成</t>
        </is>
      </c>
      <c r="L21" s="79" t="inlineStr">
        <is>
          <t>P1</t>
        </is>
      </c>
      <c r="M21" s="79" t="inlineStr">
        <is>
          <t>v001</t>
        </is>
      </c>
      <c r="N21" s="79" t="inlineStr">
        <is>
          <t>PackedScene/程序运动</t>
        </is>
      </c>
      <c r="O21" s="79" t="inlineStr">
        <is>
          <t>assets/art/vfx/combat_3d/vfx_shell_casing_root_top3d.tscn</t>
        </is>
      </c>
      <c r="P21" s="79" t="inlineStr">
        <is>
          <t>src/vfx/VfxShellCasing3D.gd</t>
        </is>
      </c>
      <c r="Q21" s="55" t="inlineStr">
        <is>
          <t>弹壳,抛壳,落地,枪械反馈</t>
        </is>
      </c>
      <c r="R21" s="79">
        <f>LOWER(TRIM(C21)&amp;"|"&amp;TRIM(D21)&amp;"|"&amp;TRIM(E21)&amp;"|"&amp;TRIM(F21)&amp;"|"&amp;TRIM(H21)&amp;"|"&amp;TRIM(I21))</f>
        <v/>
      </c>
      <c r="S21" s="55">
        <f>IF(COUNTIF($R$6:$R$53,R21)&gt;1,"重复","唯一")</f>
        <v/>
      </c>
      <c r="T21" s="79" t="inlineStr">
        <is>
          <t>df2cb64e06aa312f19a4c330a13c37b8c36f6884308c900181a7597a051fbf93</t>
        </is>
      </c>
      <c r="U21" s="55" t="inlineStr">
        <is>
          <t>摩斯拉</t>
        </is>
      </c>
      <c r="V21" s="80" t="n">
        <v>46287</v>
      </c>
      <c r="W21" s="81" t="inlineStr">
        <is>
          <t>原创程序几何</t>
        </is>
      </c>
      <c r="X21" s="78" t="inlineStr">
        <is>
          <t>—</t>
        </is>
      </c>
      <c r="Y21" s="55" t="inlineStr">
        <is>
          <t>独立纯视觉 Prefab，无碰撞体；每次成功开火生成 1 枚；从枪械右侧抛出，重力 9.8m/s²，命中地板最多 2 次小弹跳后静止，3.2s 回收；验收 verify_combat_vfx_toon_v002。 PBR 定档：金属度 metallic=0.8 / 反光度（roughness）=0.6，壳体/底缘/底火三件统一（2026-09-22 指定）。 【模拟碰撞】落地改为**纯程序化模拟碰撞**（解析式越线，不做任何物理射线/空间查询，Prefab 无碰撞体）：弹壳中心 y 越过「地面高度 + 贴地半径」即视为碰撞；运动为 飞行(弹跳) → 贴地滚动 → 躺平静止 三阶段；触地带挤压包络。视觉尺寸缩到原基准 **80%**（WeaponModel3D.SHELL_CASING_SIZE=0.8）。⚠️ context.floor_y 必须由调用方按真实世界给，禁以 0 兜底 —— 塔楼楼层向下建（98F ≈ -1176m），兜底 0 会让弹壳出生即判触地、瞬移到世界原点而看不见（2026-09-22 实机缺陷）；调用方口径 = 射击者站立面 y，见 WeaponModel3D._resolve_shell_floor_y()。贴地半径取三件最大径向半展 0.058（底缘），非壳体 0.045。</t>
        </is>
      </c>
    </row>
    <row r="22" ht="120" customHeight="1" s="52">
      <c r="A22" s="79" t="inlineStr">
        <is>
          <t>VFX-ENV-CLOUD-SEA-3D</t>
        </is>
      </c>
      <c r="B22" s="55" t="inlineStr">
        <is>
          <t>主塔柔软体积云海与漂浮小云</t>
        </is>
      </c>
      <c r="C22" s="55" t="inlineStr">
        <is>
          <t>特效</t>
        </is>
      </c>
      <c r="D22" s="79" t="inlineStr">
        <is>
          <t>environment</t>
        </is>
      </c>
      <c r="E22" s="79" t="inlineStr">
        <is>
          <t>outdoor_cloud_sea</t>
        </is>
      </c>
      <c r="F22" s="79" t="inlineStr">
        <is>
          <t>root_3d</t>
        </is>
      </c>
      <c r="G22" s="79" t="n"/>
      <c r="H22" s="55" t="inlineStr">
        <is>
          <t>俯视3D</t>
        </is>
      </c>
      <c r="I22" s="79" t="inlineStr">
        <is>
          <t>slow_flow</t>
        </is>
      </c>
      <c r="J22" s="55" t="inlineStr">
        <is>
          <t>主塔与周边塔楼99F以下室外</t>
        </is>
      </c>
      <c r="K22" s="55" t="inlineStr">
        <is>
          <t>正式美术已接入</t>
        </is>
      </c>
      <c r="L22" s="79" t="inlineStr">
        <is>
          <t>P1</t>
        </is>
      </c>
      <c r="M22" s="79" t="inlineStr">
        <is>
          <t>v002</t>
        </is>
      </c>
      <c r="N22" s="79" t="inlineStr">
        <is>
          <t>连续世界密度云海476×90×536m，Y=-105～-15，云顶圆润起伏、云内遮光、下层薄雾、楼边透出下方楼层。24块漂浮小云，低档12块；高/中/低96/64/40步体积采样、4/3/2步定向透射。image-2原创1024²灰度密度，128³ RGB周期云结构，256×80×288 R8建筑避让；无碰撞。</t>
        </is>
      </c>
      <c r="O22" s="79" t="inlineStr">
        <is>
          <t>assets/art/vfx/environment_3d/cloud_sea/vfx_env_cloud_sea_root_top3d.tscn</t>
        </is>
      </c>
      <c r="P22" s="79" t="inlineStr">
        <is>
          <t>src/vfx/VfxCloudSea3D.gd; docs/v0.1/design/outdoor_cloud_sea.md; source/v002</t>
        </is>
      </c>
      <c r="Q22" s="55" t="inlineStr">
        <is>
          <t>云海;体积云;光遇风格;柔软;漂浮;薄雾;室外</t>
        </is>
      </c>
      <c r="R22" s="79">
        <f>LOWER(TRIM(C22)&amp;"|"&amp;TRIM(D22)&amp;"|"&amp;TRIM(E22)&amp;"|"&amp;TRIM(F22)&amp;"|"&amp;TRIM(H22)&amp;"|"&amp;TRIM(I22))</f>
        <v/>
      </c>
      <c r="S22" s="55">
        <f>IF(COUNTIF($R$6:$R$53,R22)&gt;1,"重复","唯一")</f>
        <v/>
      </c>
      <c r="T22" s="79" t="inlineStr">
        <is>
          <t>f7830ac829de78bdbf189b89ab16a2c5d8b8730e2cb0a694809e7472fa60d63c</t>
        </is>
      </c>
      <c r="U22" s="79" t="inlineStr">
        <is>
          <t>Codex</t>
        </is>
      </c>
      <c r="V22" s="104" t="n">
        <v>46295</v>
      </c>
      <c r="W22" s="55" t="inlineStr">
        <is>
          <t>项目原创Shader/三维程序密度；gpt-image-2原创灰度云贴图，用户参考图仅作风格参考</t>
        </is>
      </c>
      <c r="X22" s="78" t="inlineStr">
        <is>
          <t>FX03-02 / procedural_cloud_sea</t>
        </is>
      </c>
      <c r="Y22" s="55" t="inlineStr">
        <is>
          <t>v002品质优先版，尚未专项优化。主场景OutdoorClouds持有；主塔全高度禁云，700建筑边界随最新布局重烘焙；建筑改变时用最多16个保守解析区域单独避让，不再隐藏整套云。正式西北楼角、天台520m及99F145m视距均验证云可见、亮部有余量；GPU纹理与实际兜底参数、暂停、60秒流动及变动建筑继续避让通过。原AssetID原行更新。</t>
        </is>
      </c>
    </row>
    <row r="23" ht="120" customHeight="1" s="52">
      <c r="A23" s="79" t="inlineStr">
        <is>
          <t>VFX-RADIO-MUSIC-NOTES-3D</t>
        </is>
      </c>
      <c r="B23" s="55" t="inlineStr">
        <is>
          <t>收音机音乐上飘音符</t>
        </is>
      </c>
      <c r="C23" s="55" t="inlineStr">
        <is>
          <t>特效</t>
        </is>
      </c>
      <c r="D23" s="79" t="inlineStr">
        <is>
          <t>environment</t>
        </is>
      </c>
      <c r="E23" s="79" t="inlineStr">
        <is>
          <t>base99_radio_music_notes</t>
        </is>
      </c>
      <c r="F23" s="79" t="inlineStr">
        <is>
          <t>root_3d</t>
        </is>
      </c>
      <c r="G23" s="79" t="n"/>
      <c r="H23" s="55" t="inlineStr">
        <is>
          <t>俯视3D</t>
        </is>
      </c>
      <c r="I23" s="79" t="inlineStr">
        <is>
          <t>continuous_music</t>
        </is>
      </c>
      <c r="J23" s="55" t="inlineStr">
        <is>
          <t>99F收音机/复用radio附件</t>
        </is>
      </c>
      <c r="K23" s="55" t="inlineStr">
        <is>
          <t>正式美术已接入</t>
        </is>
      </c>
      <c r="L23" s="79" t="inlineStr">
        <is>
          <t>P1</t>
        </is>
      </c>
      <c r="M23" s="79" t="inlineStr">
        <is>
          <t>v001</t>
        </is>
      </c>
      <c r="N23" s="79" t="inlineStr">
        <is>
          <t>独立radio child纯视觉持续附件；5预制QuadMesh槽位/10三角形；Godot生成四分/八分/双八分音符纹理，无字体依赖；billboard当前相机；淡青绿/暖金unshaded无emission；2.5发/s、寿命1.8s、上飘1.1m、横摆0.09m、尺度0.88~1.06、淡入0.16s、末0.45s淡出；本地挂点Y1.42m；无碰撞/灯光/音频；真实playing驱动，A/B连续，off/离99/exit同步清空；不进任何战斗池。 单符Quad最终0.46×0.52m、出生横向偏移±0.22m。</t>
        </is>
      </c>
      <c r="O23" s="79" t="inlineStr">
        <is>
          <t>assets/art/vfx/environment_3d/radio_music_notes/vfx_radio_music_notes_root_top3d.tscn</t>
        </is>
      </c>
      <c r="P23" s="79" t="inlineStr">
        <is>
          <t>src/vfx/VfxRadioMusicNotes3D.gd; src/base3d/Base99Radio3D.gd; tests/verification/verify_base99_radio_music_notes.tscn</t>
        </is>
      </c>
      <c r="Q23" s="55" t="inlineStr">
        <is>
          <t>音符;音乐;收音机;八分;双八分;billboard</t>
        </is>
      </c>
      <c r="R23" s="79">
        <f>LOWER(TRIM(C23)&amp;"|"&amp;TRIM(D23)&amp;"|"&amp;TRIM(E23)&amp;"|"&amp;TRIM(F23)&amp;"|"&amp;TRIM(H23)&amp;"|"&amp;TRIM(I23))</f>
        <v/>
      </c>
      <c r="S23" s="55">
        <f>IF(COUNTIF($R$6:$R$53,R23)&gt;1,"重复","唯一")</f>
        <v/>
      </c>
      <c r="T23" s="79" t="inlineStr">
        <is>
          <t>f4f3382a58135ff5aafd394d7360f5a2f1e084fb5731519f05f2c18648f77a12</t>
        </is>
      </c>
      <c r="U23" s="79" t="inlineStr">
        <is>
          <t>CodeBuddy</t>
        </is>
      </c>
      <c r="V23" s="104" t="n">
        <v>46303</v>
      </c>
      <c r="W23" s="55" t="inlineStr">
        <is>
          <t>原创Godot ImageTexture/QuadMesh；无第三方字体</t>
        </is>
      </c>
      <c r="X23" s="78" t="inlineStr">
        <is>
          <t>FX03-03</t>
        </is>
      </c>
      <c r="Y23" s="55" t="inlineStr">
        <is>
          <t>宿主唯一生命周期；固定槽位非live节点增殖；off全部槽位隐藏、alpha=0、age=-1；主体599面独立统计。</t>
        </is>
      </c>
    </row>
    <row r="24" ht="120" customHeight="1" s="52">
      <c r="A24" s="79" t="inlineStr">
        <is>
          <t>VFX-ENV-BIRDS-FLYBY-3D</t>
        </is>
      </c>
      <c r="B24" s="55" t="inlineStr">
        <is>
          <t>鸟群空中掠过</t>
        </is>
      </c>
      <c r="C24" s="55" t="inlineStr">
        <is>
          <t>特效</t>
        </is>
      </c>
      <c r="D24" s="79" t="inlineStr">
        <is>
          <t>environment</t>
        </is>
      </c>
      <c r="E24" s="79" t="inlineStr">
        <is>
          <t>env_birds_flyby</t>
        </is>
      </c>
      <c r="F24" s="79" t="inlineStr">
        <is>
          <t>flock_root</t>
        </is>
      </c>
      <c r="G24" s="79" t="n"/>
      <c r="H24" s="55" t="inlineStr">
        <is>
          <t>3D</t>
        </is>
      </c>
      <c r="I24" s="79" t="inlineStr">
        <is>
          <t>flyby</t>
        </is>
      </c>
      <c r="J24" s="55" t="inlineStr">
        <is>
          <t>室外场景环境氛围</t>
        </is>
      </c>
      <c r="K24" s="55" t="inlineStr">
        <is>
          <t>正式美术已接入</t>
        </is>
      </c>
      <c r="L24" s="79" t="inlineStr">
        <is>
          <t>P1</t>
        </is>
      </c>
      <c r="M24" s="79" t="inlineStr">
        <is>
          <t>v003</t>
        </is>
      </c>
      <c r="N24" s="79" t="inlineStr">
        <is>
          <t>7只；每鸟296三角面/11骨骼；导入尺度75%（上版150%），每鸟±10%错落；共享场景哑光材质/PaletteUV R10C10冷白；无碰撞；200m/24s，速度8.33m/s为上版50%；错落编队；振翅135%保持</t>
        </is>
      </c>
      <c r="O24" s="79" t="inlineStr">
        <is>
          <t>assets/art/vfx/environment_3d/bird_flocks/runtime/flyby/vfx_env_birds_flyby_root_top3d.tscn</t>
        </is>
      </c>
      <c r="P24" s="79" t="inlineStr">
        <is>
          <t>art_source/vfx/environment_3d/bird_flocks/source/flyby/v001/asset_manifest.json; GLB; Godot PackedScene</t>
        </is>
      </c>
      <c r="Q24" s="55" t="inlineStr">
        <is>
          <t>鸟群;场景特效;低模;白色;拍翼;落地;啄地</t>
        </is>
      </c>
      <c r="R24" s="79">
        <f>LOWER(TRIM(C24)&amp;"|"&amp;TRIM(D24)&amp;"|"&amp;TRIM(E24)&amp;"|"&amp;TRIM(F24)&amp;"|"&amp;TRIM(H24)&amp;"|"&amp;TRIM(I24))</f>
        <v/>
      </c>
      <c r="S24" s="55">
        <f>IF(COUNTIF($R$6:$R$53,R24)&gt;1,"重复","唯一")</f>
        <v/>
      </c>
      <c r="T24" s="79" t="inlineStr">
        <is>
          <t>f2f77648bad2e897294293474faaedf3a0777d8ca662bd9d3aae8a9c5e4c4413</t>
        </is>
      </c>
      <c r="U24" s="79" t="inlineStr">
        <is>
          <t>Codex</t>
        </is>
      </c>
      <c r="V24" s="104" t="n">
        <v>46307</v>
      </c>
      <c r="W24" s="55" t="inlineStr">
        <is>
          <t>原创程序建模与人工动作编排；项目共享材质</t>
        </is>
      </c>
      <c r="X24" s="78" t="inlineStr">
        <is>
          <t>02_游戏输出_鸟群资产包</t>
        </is>
      </c>
      <c r="Y24" s="55" t="inlineStr">
        <is>
          <t>运行包装v003，Blender/GLB母版v001；24秒+间隔20秒；桥上(20,1.6,-64.5)，桥下塔2屋顶上方(20,-9,-70)，后一组延迟5秒；独立实例裁剪动画，不改GLB资源。；按吊桥玩家摄像机红框纠正位置，路线移近桥边，穿过左右两侧空域。；本轮各鸟比上版大50%并±10%错落，空中速度减半，航程200m/24s。</t>
        </is>
      </c>
    </row>
    <row r="25" ht="120" customHeight="1" s="52">
      <c r="A25" s="79" t="inlineStr">
        <is>
          <t>VFX-ENV-BIRDS-GROUND-3D</t>
        </is>
      </c>
      <c r="B25" s="55" t="inlineStr">
        <is>
          <t>鸟群落地停留再起飞</t>
        </is>
      </c>
      <c r="C25" s="55" t="inlineStr">
        <is>
          <t>特效</t>
        </is>
      </c>
      <c r="D25" s="79" t="inlineStr">
        <is>
          <t>environment</t>
        </is>
      </c>
      <c r="E25" s="79" t="inlineStr">
        <is>
          <t>env_birds_ground</t>
        </is>
      </c>
      <c r="F25" s="79" t="inlineStr">
        <is>
          <t>flock_root</t>
        </is>
      </c>
      <c r="G25" s="79" t="n"/>
      <c r="H25" s="55" t="inlineStr">
        <is>
          <t>3D</t>
        </is>
      </c>
      <c r="I25" s="79" t="inlineStr">
        <is>
          <t>land_walk_peck_takeoff</t>
        </is>
      </c>
      <c r="J25" s="55" t="inlineStr">
        <is>
          <t>室外场景环境氛围</t>
        </is>
      </c>
      <c r="K25" s="55" t="inlineStr">
        <is>
          <t>正式美术已接入</t>
        </is>
      </c>
      <c r="L25" s="79" t="inlineStr">
        <is>
          <t>P1</t>
        </is>
      </c>
      <c r="M25" s="79" t="inlineStr">
        <is>
          <t>v003</t>
        </is>
      </c>
      <c r="N25" s="79" t="inlineStr">
        <is>
          <t>7只；每鸟296三角面/11骨骼；导入尺度75%（上版150%），每鸟±10%错落；共享场景哑光材质/PaletteUV R10C10冷白；无碰撞；24秒落地/啄地/起飞演出；尺寸变化补偿脚底高度</t>
        </is>
      </c>
      <c r="O25" s="79" t="inlineStr">
        <is>
          <t>assets/art/vfx/environment_3d/bird_flocks/runtime/ground/vfx_env_birds_ground_root_top3d.tscn</t>
        </is>
      </c>
      <c r="P25" s="79" t="inlineStr">
        <is>
          <t>art_source/vfx/environment_3d/bird_flocks/source/ground/v001/asset_manifest.json; GLB; Godot PackedScene</t>
        </is>
      </c>
      <c r="Q25" s="55" t="inlineStr">
        <is>
          <t>鸟群;场景特效;低模;白色;拍翼;落地;啄地</t>
        </is>
      </c>
      <c r="R25" s="79">
        <f>LOWER(TRIM(C25)&amp;"|"&amp;TRIM(D25)&amp;"|"&amp;TRIM(E25)&amp;"|"&amp;TRIM(F25)&amp;"|"&amp;TRIM(H25)&amp;"|"&amp;TRIM(I25))</f>
        <v/>
      </c>
      <c r="S25" s="55">
        <f>IF(COUNTIF($R$6:$R$53,R25)&gt;1,"重复","唯一")</f>
        <v/>
      </c>
      <c r="T25" s="79" t="inlineStr">
        <is>
          <t>0c2584b52972808854c94e9885a1550538eba47cc52b2ea076afb00fa7edd666</t>
        </is>
      </c>
      <c r="U25" s="79" t="inlineStr">
        <is>
          <t>Codex</t>
        </is>
      </c>
      <c r="V25" s="104" t="n">
        <v>46307</v>
      </c>
      <c r="W25" s="55" t="inlineStr">
        <is>
          <t>原创程序建模与人工动作编排；项目共享材质</t>
        </is>
      </c>
      <c r="X25" s="78" t="inlineStr">
        <is>
          <t>02_游戏输出_鸟群资产包</t>
        </is>
      </c>
      <c r="Y25" s="55" t="inlineStr">
        <is>
          <t>运行包装v003，Blender/GLB母版v001；24秒+间隔30秒；100F天台局部(25,0,-31)；尺寸75%±10%，路径保持，补偿脚底高度。；本轮各鸟比上版大50%并±10%错落，空中速度减半，航程200m/24s。</t>
        </is>
      </c>
    </row>
    <row r="26" ht="931.3" customHeight="1" s="52">
      <c r="A26" s="79" t="inlineStr">
        <is>
          <t>VFX-BULLET-VISUAL-3D</t>
        </is>
      </c>
      <c r="B26" s="79" t="inlineStr">
        <is>
          <t>飞行子弹通用弹体视觉（共用父体）</t>
        </is>
      </c>
      <c r="C26" s="79" t="inlineStr">
        <is>
          <t>子弹特效</t>
        </is>
      </c>
      <c r="D26" s="79" t="inlineStr">
        <is>
          <t>bullet_shared</t>
        </is>
      </c>
      <c r="E26" s="79" t="inlineStr">
        <is>
          <t>FX01-06</t>
        </is>
      </c>
      <c r="F26" s="79" t="inlineStr">
        <is>
          <t>root_3d</t>
        </is>
      </c>
      <c r="G26" s="79" t="n"/>
      <c r="H26" s="79" t="inlineStr">
        <is>
          <t>俯视3D</t>
        </is>
      </c>
      <c r="I26" s="79" t="inlineStr">
        <is>
          <t>flight</t>
        </is>
      </c>
      <c r="J26" s="79" t="inlineStr">
        <is>
          <t>玩家/敌人飞行子弹</t>
        </is>
      </c>
      <c r="K26" s="79" t="inlineStr">
        <is>
          <t>已完成</t>
        </is>
      </c>
      <c r="L26" s="79" t="inlineStr">
        <is>
          <t>P0</t>
        </is>
      </c>
      <c r="M26" s="79" t="inlineStr">
        <is>
          <t>v001</t>
        </is>
      </c>
      <c r="N26" s="79" t="inlineStr">
        <is>
          <t>PackedScene/程序几何（铂金亮芯胶囊 + 弹色半透明外壳 + 沿弹道拖尾锥 + 跟随灯）</t>
        </is>
      </c>
      <c r="O26" s="79" t="inlineStr">
        <is>
          <t>assets/art/vfx/combat_3d/vfx_bullet_visual_root_top3d.tscn</t>
        </is>
      </c>
      <c r="P26" s="79" t="inlineStr">
        <is>
          <t>src/vfx/VfxBulletVisual3D.gd; src/combat3d/Projectile3D.gd</t>
        </is>
      </c>
      <c r="Q26" s="79" t="inlineStr">
        <is>
          <t>子弹;弹体;尾迹;飞行;投射物;projectile;bullet;3D;共用弹体</t>
        </is>
      </c>
      <c r="R26" s="79">
        <f>LOWER(TRIM(C26)&amp;"|"&amp;TRIM(D26)&amp;"|"&amp;TRIM(E26)&amp;"|"&amp;TRIM(F26)&amp;"|"&amp;TRIM(H26)&amp;"|"&amp;TRIM(I26))</f>
        <v/>
      </c>
      <c r="S26" s="79">
        <f>IF(COUNTIF($R$6:$R$53,R26)&gt;1,"重复","唯一")</f>
        <v/>
      </c>
      <c r="T26" s="79" t="inlineStr">
        <is>
          <t>2293c574f80d5d6103c0088c5fc385c1b9bd72600cc71c61bf2e4748d9f6b2d2</t>
        </is>
      </c>
      <c r="U26" s="79" t="inlineStr">
        <is>
          <t>摩斯拉</t>
        </is>
      </c>
      <c r="V26" s="79" t="inlineStr">
        <is>
          <t>2026-10-13 00:00:00</t>
        </is>
      </c>
      <c r="W26" s="79" t="inlineStr">
        <is>
          <t>原创程序几何</t>
        </is>
      </c>
      <c r="X26" s="79" t="inlineStr">
        <is>
          <t>FX01-06</t>
        </is>
      </c>
      <c r="Y26" s="111" t="inlineStr">
        <is>
          <t>由《3D-特效》分页 FX01-06 补登进《资产主表》——该 Prefab 此前只登记在分页，主表缺行，与「《资产主表》＝唯一登记源」的口径不符。宿主唯一生命周期：由 Projectile3D 作为子节点持有，随 ProjectilePool3D 回收；刻意不进 VfxPool3D 注册表，避免弹体池与特效池双重所有权（见 14.6 §1.3/§3.5 与 skill vfx-combat-effect-authoring）。本行同时是 8 个弹种专属弹体特效的变体父体（G 列指向本 AssetID），弹种专属 Prefab 落地后仍复用本行的弹芯/外壳/拖尾几何分层，仅按弹种替换外观与行为段。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27" ht="931.3" customHeight="1" s="52">
      <c r="A27" s="76" t="inlineStr">
        <is>
          <t>VFX-BULLET-STANDARD-3D</t>
        </is>
      </c>
      <c r="B27" s="76" t="inlineStr">
        <is>
          <t>标准子弹弹体与尾迹特效</t>
        </is>
      </c>
      <c r="C27" s="76" t="inlineStr">
        <is>
          <t>子弹特效</t>
        </is>
      </c>
      <c r="D27" s="76" t="inlineStr">
        <is>
          <t>bullet_standard</t>
        </is>
      </c>
      <c r="E27" s="76" t="inlineStr">
        <is>
          <t>mod_bullet_standard</t>
        </is>
      </c>
      <c r="F27" s="76" t="inlineStr">
        <is>
          <t>root_3d</t>
        </is>
      </c>
      <c r="G27" s="76" t="inlineStr">
        <is>
          <t>VFX-BULLET-VISUAL-3D</t>
        </is>
      </c>
      <c r="H27" s="76" t="inlineStr">
        <is>
          <t>俯视3D</t>
        </is>
      </c>
      <c r="I27" s="76" t="inlineStr">
        <is>
          <t>flight_neutral</t>
        </is>
      </c>
      <c r="J27" s="76" t="inlineStr">
        <is>
          <t>标准子弹模块（mod_bullet_standard）</t>
        </is>
      </c>
      <c r="K27" s="76" t="inlineStr">
        <is>
          <t>已完成</t>
        </is>
      </c>
      <c r="L27" s="76" t="inlineStr">
        <is>
          <t>P1</t>
        </is>
      </c>
      <c r="M27" s="76" t="inlineStr">
        <is>
          <t>v001</t>
        </is>
      </c>
      <c r="N27" s="76" t="inlineStr">
        <is>
          <t>弹芯胶囊 r=0.045/h=0.20；外壳 r=0.075/h=0.18；单锥尾迹 底0.055/长0.46；灯 energy1.15/range1.75m</t>
        </is>
      </c>
      <c r="O27" s="76" t="inlineStr">
        <is>
          <t>assets/art/vfx/combat_3d/vfx_bullet_standard_root_top3d.tscn</t>
        </is>
      </c>
      <c r="P27" s="76" t="inlineStr">
        <is>
          <t>docs/v0.1/04_技术施工_战斗与局内成长.md §6.2（子弹模块必填 visual_id）; docs/v0.1/data/ShellStorm2_游戏内容数据库_v010.xlsx#武器 S17/T17; src/base/BlueprintRegistry.gd（mod_bullet_standard）</t>
        </is>
      </c>
      <c r="Q27" s="76" t="inlineStr">
        <is>
          <t>子弹特效;标准子弹;标准弹;中性弹体;尾迹;kinetic;standard;3D</t>
        </is>
      </c>
      <c r="R27" s="76">
        <f>LOWER(TRIM(C27)&amp;"|"&amp;TRIM(D27)&amp;"|"&amp;TRIM(E27)&amp;"|"&amp;TRIM(F27)&amp;"|"&amp;TRIM(H27)&amp;"|"&amp;TRIM(I27))</f>
        <v/>
      </c>
      <c r="S27" s="76">
        <f>IF(COUNTIF($R$6:$R$53,R27)&gt;1,"重复","唯一")</f>
        <v/>
      </c>
      <c r="T27" s="76" t="inlineStr">
        <is>
          <t>4568edb503262d863cb17629936935e4b1f02678de623f67776667c41df8f455</t>
        </is>
      </c>
      <c r="U27" s="76" t="inlineStr">
        <is>
          <t>摩斯拉</t>
        </is>
      </c>
      <c r="V27" s="76" t="inlineStr">
        <is>
          <t>2026-10-13 00:00:00</t>
        </is>
      </c>
      <c r="W27" s="76" t="inlineStr">
        <is>
          <t>原创程序几何</t>
        </is>
      </c>
      <c r="X27" s="76" t="n"/>
      <c r="Y27" s="112" t="inlineStr">
        <is>
          <t>已制成并实装：Prefab=assets/art/vfx/combat_3d/vfx_bullet_standard_root_top3d.tscn + 脚本=src/vfx/VfxBulletStandard3D.gd；根节点=VfxBulletStandard3D(Node3D)；《3D-特效》分页编号见该页（FX01-06 系列）。变体父体 VFX-BULLET-VISUAL-3D（复用其弹芯/外壳/拖尾几何分层，仅按弹种换外观与行为段）。调用方 Projectile3D._build_visual() 经 BULLET_VISUAL_REGISTRY 按 visual_id 路由，作为子节点持有、生命周期随 ProjectilePool3D，刻意不进 VfxPool3D；纯视觉无碰撞体。验收：verify_bullet_vfx_profiles（8 profile 可区分 + AssetID 路由 + 尺寸线性 + 端到端开火 + 无碰撞 + 反向对照）。设计依据：内容库《武器》S17「使用清晰中性弹体、尾迹和命中；不附加误导性的元素效果」。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28" ht="931.3" customHeight="1" s="52">
      <c r="A28" s="76" t="inlineStr">
        <is>
          <t>VFX-BULLET-STICKY-3D</t>
        </is>
      </c>
      <c r="B28" s="76" t="inlineStr">
        <is>
          <t>黏黏弹附着与倒计时特效</t>
        </is>
      </c>
      <c r="C28" s="76" t="inlineStr">
        <is>
          <t>子弹特效</t>
        </is>
      </c>
      <c r="D28" s="76" t="inlineStr">
        <is>
          <t>bullet_sticky</t>
        </is>
      </c>
      <c r="E28" s="76" t="inlineStr">
        <is>
          <t>mod_bullet_sticky</t>
        </is>
      </c>
      <c r="F28" s="76" t="inlineStr">
        <is>
          <t>root_3d</t>
        </is>
      </c>
      <c r="G28" s="76" t="inlineStr">
        <is>
          <t>VFX-BULLET-VISUAL-3D</t>
        </is>
      </c>
      <c r="H28" s="76" t="inlineStr">
        <is>
          <t>俯视3D</t>
        </is>
      </c>
      <c r="I28" s="76" t="inlineStr">
        <is>
          <t>attach_countdown</t>
        </is>
      </c>
      <c r="J28" s="76" t="inlineStr">
        <is>
          <t>黏黏弹模块（mod_bullet_sticky）</t>
        </is>
      </c>
      <c r="K28" s="76" t="inlineStr">
        <is>
          <t>已完成</t>
        </is>
      </c>
      <c r="L28" s="76" t="inlineStr">
        <is>
          <t>P1</t>
        </is>
      </c>
      <c r="M28" s="76" t="inlineStr">
        <is>
          <t>v001</t>
        </is>
      </c>
      <c r="N28" s="76" t="inlineStr">
        <is>
          <t>弹芯胶囊 r=0.050/h=0.16；外壳 r=0.086/h=0.16；锥尾迹 底0.062/长0.34 + 3 滴落珠；灯 energy1.20/range1.80m</t>
        </is>
      </c>
      <c r="O28" s="76" t="inlineStr">
        <is>
          <t>assets/art/vfx/combat_3d/vfx_bullet_sticky_root_top3d.tscn</t>
        </is>
      </c>
      <c r="P28" s="76" t="inlineStr">
        <is>
          <t>docs/v0.1/04_技术施工_战斗与局内成长.md §6.2（子弹模块必填 visual_id）; docs/v0.1/data/ShellStorm2_游戏内容数据库_v010.xlsx#武器 S18/T18; src/base/BlueprintRegistry.gd（mod_bullet_sticky）</t>
        </is>
      </c>
      <c r="Q28" s="76" t="inlineStr">
        <is>
          <t>子弹特效;黏黏弹;附着;倒计时;持续伤害;sticky;dot;3D</t>
        </is>
      </c>
      <c r="R28" s="76">
        <f>LOWER(TRIM(C28)&amp;"|"&amp;TRIM(D28)&amp;"|"&amp;TRIM(E28)&amp;"|"&amp;TRIM(F28)&amp;"|"&amp;TRIM(H28)&amp;"|"&amp;TRIM(I28))</f>
        <v/>
      </c>
      <c r="S28" s="76">
        <f>IF(COUNTIF($R$6:$R$53,R28)&gt;1,"重复","唯一")</f>
        <v/>
      </c>
      <c r="T28" s="76" t="inlineStr">
        <is>
          <t>778be3a1a693e11c1bed08c51c511df742e8502c74c60fc6c3d9919f00141c8b</t>
        </is>
      </c>
      <c r="U28" s="76" t="inlineStr">
        <is>
          <t>摩斯拉</t>
        </is>
      </c>
      <c r="V28" s="76" t="inlineStr">
        <is>
          <t>2026-10-13 00:00:00</t>
        </is>
      </c>
      <c r="W28" s="76" t="inlineStr">
        <is>
          <t>原创程序几何</t>
        </is>
      </c>
      <c r="X28" s="76" t="n"/>
      <c r="Y28" s="112" t="inlineStr">
        <is>
          <t>已制成并实装：Prefab=assets/art/vfx/combat_3d/vfx_bullet_sticky_root_top3d.tscn + 脚本=src/vfx/VfxBulletSticky3D.gd；根节点=VfxBulletSticky3D(Node3D)；《3D-特效》分页编号见该页（FX01-06 系列）。变体父体 VFX-BULLET-VISUAL-3D（复用其弹芯/外壳/拖尾几何分层，仅按弹种换外观与行为段）。调用方 Projectile3D._build_visual() 经 BULLET_VISUAL_REGISTRY 按 visual_id 路由，作为子节点持有、生命周期随 ProjectilePool3D，刻意不进 VfxPool3D；纯视觉无碰撞体。验收：verify_bullet_vfx_profiles（8 profile 可区分 + AssetID 路由 + 尺寸线性 + 端到端开火 + 无碰撞 + 反向对照）。设计依据：内容库《武器》S18「命中后弹体留在表面并显示倒计时/状态，结束时反馈与结算同步」。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29" ht="931.3" customHeight="1" s="52">
      <c r="A29" s="76" t="inlineStr">
        <is>
          <t>VFX-BULLET-BOUNCE-3D</t>
        </is>
      </c>
      <c r="B29" s="76" t="inlineStr">
        <is>
          <t>回旋镖弹反弹折线与计数特效</t>
        </is>
      </c>
      <c r="C29" s="76" t="inlineStr">
        <is>
          <t>子弹特效</t>
        </is>
      </c>
      <c r="D29" s="76" t="inlineStr">
        <is>
          <t>bullet_bounce</t>
        </is>
      </c>
      <c r="E29" s="76" t="inlineStr">
        <is>
          <t>mod_bullet_bounce</t>
        </is>
      </c>
      <c r="F29" s="76" t="inlineStr">
        <is>
          <t>root_3d</t>
        </is>
      </c>
      <c r="G29" s="76" t="inlineStr">
        <is>
          <t>VFX-BULLET-VISUAL-3D</t>
        </is>
      </c>
      <c r="H29" s="76" t="inlineStr">
        <is>
          <t>俯视3D</t>
        </is>
      </c>
      <c r="I29" s="76" t="inlineStr">
        <is>
          <t>bounce_ricochet</t>
        </is>
      </c>
      <c r="J29" s="76" t="inlineStr">
        <is>
          <t>回旋镖弹模块（mod_bullet_bounce）</t>
        </is>
      </c>
      <c r="K29" s="76" t="inlineStr">
        <is>
          <t>已完成</t>
        </is>
      </c>
      <c r="L29" s="76" t="inlineStr">
        <is>
          <t>P1</t>
        </is>
      </c>
      <c r="M29" s="76" t="inlineStr">
        <is>
          <t>v001</t>
        </is>
      </c>
      <c r="N29" s="76" t="inlineStr">
        <is>
          <t>弹芯胶囊 r=0.048/h=0.14；外壳 r=0.072/h=0.13；三段折线锥 底0.052/0.040/0.030；灯 energy1.20/range1.80m</t>
        </is>
      </c>
      <c r="O29" s="76" t="inlineStr">
        <is>
          <t>assets/art/vfx/combat_3d/vfx_bullet_bounce_root_top3d.tscn</t>
        </is>
      </c>
      <c r="P29" s="76" t="inlineStr">
        <is>
          <t>docs/v0.1/04_技术施工_战斗与局内成长.md §6.2（子弹模块必填 visual_id）; docs/v0.1/data/ShellStorm2_游戏内容数据库_v010.xlsx#武器 S13/T13; src/base/BlueprintRegistry.gd（mod_bullet_bounce）</t>
        </is>
      </c>
      <c r="Q29" s="76" t="inlineStr">
        <is>
          <t>子弹特效;回旋镖弹;反弹;弹跳;折线闪光;计数递减;ricochet;3D</t>
        </is>
      </c>
      <c r="R29" s="76">
        <f>LOWER(TRIM(C29)&amp;"|"&amp;TRIM(D29)&amp;"|"&amp;TRIM(E29)&amp;"|"&amp;TRIM(F29)&amp;"|"&amp;TRIM(H29)&amp;"|"&amp;TRIM(I29))</f>
        <v/>
      </c>
      <c r="S29" s="76">
        <f>IF(COUNTIF($R$6:$R$53,R29)&gt;1,"重复","唯一")</f>
        <v/>
      </c>
      <c r="T29" s="76" t="inlineStr">
        <is>
          <t>c31373aa7b45d6539702f03f12f5536ee5a5766e694e2612f82b9887c1280517</t>
        </is>
      </c>
      <c r="U29" s="76" t="inlineStr">
        <is>
          <t>摩斯拉</t>
        </is>
      </c>
      <c r="V29" s="76" t="inlineStr">
        <is>
          <t>2026-10-13 00:00:00</t>
        </is>
      </c>
      <c r="W29" s="76" t="inlineStr">
        <is>
          <t>原创程序几何</t>
        </is>
      </c>
      <c r="X29" s="76" t="n"/>
      <c r="Y29" s="112" t="inlineStr">
        <is>
          <t>已制成并实装：Prefab=assets/art/vfx/combat_3d/vfx_bullet_bounce_root_top3d.tscn + 脚本=src/vfx/VfxBulletBounce3D.gd；根节点=VfxBulletBounce3D(Node3D)；《3D-特效》分页编号见该页（FX01-06 系列）。变体父体 VFX-BULLET-VISUAL-3D（复用其弹芯/外壳/拖尾几何分层，仅按弹种换外观与行为段）。调用方 Projectile3D._build_visual() 经 BULLET_VISUAL_REGISTRY 按 visual_id 路由，作为子节点持有、生命周期随 ProjectilePool3D，刻意不进 VfxPool3D；纯视觉无碰撞体。验收：verify_bullet_vfx_profiles（8 profile 可区分 + AssetID 路由 + 尺寸线性 + 端到端开火 + 无碰撞 + 反向对照）。设计依据：内容库《武器》S13「反弹点有折线闪光与计数递减，飞行方向变化清楚可读」。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0" ht="931.3" customHeight="1" s="52">
      <c r="A30" s="76" t="inlineStr">
        <is>
          <t>VFX-BULLET-PIERCING-3D</t>
        </is>
      </c>
      <c r="B30" s="76" t="inlineStr">
        <is>
          <t>穿甲弹贯穿线与层数特效</t>
        </is>
      </c>
      <c r="C30" s="76" t="inlineStr">
        <is>
          <t>子弹特效</t>
        </is>
      </c>
      <c r="D30" s="76" t="inlineStr">
        <is>
          <t>bullet_piercing</t>
        </is>
      </c>
      <c r="E30" s="76" t="inlineStr">
        <is>
          <t>mod_bullet_piercing</t>
        </is>
      </c>
      <c r="F30" s="76" t="inlineStr">
        <is>
          <t>root_3d</t>
        </is>
      </c>
      <c r="G30" s="76" t="inlineStr">
        <is>
          <t>VFX-BULLET-VISUAL-3D</t>
        </is>
      </c>
      <c r="H30" s="76" t="inlineStr">
        <is>
          <t>俯视3D</t>
        </is>
      </c>
      <c r="I30" s="76" t="inlineStr">
        <is>
          <t>pierce_through</t>
        </is>
      </c>
      <c r="J30" s="76" t="inlineStr">
        <is>
          <t>穿甲弹模块（mod_bullet_piercing）</t>
        </is>
      </c>
      <c r="K30" s="76" t="inlineStr">
        <is>
          <t>已完成</t>
        </is>
      </c>
      <c r="L30" s="76" t="inlineStr">
        <is>
          <t>P1</t>
        </is>
      </c>
      <c r="M30" s="76" t="inlineStr">
        <is>
          <t>v001</t>
        </is>
      </c>
      <c r="N30" s="76" t="inlineStr">
        <is>
          <t>弹芯胶囊 r=0.028/h=0.30；外壳 r=0.044/h=0.28；两段针形尾迹 底0.036/0.022；灯 energy1.35/range1.95m</t>
        </is>
      </c>
      <c r="O30" s="76" t="inlineStr">
        <is>
          <t>assets/art/vfx/combat_3d/vfx_bullet_piercing_root_top3d.tscn</t>
        </is>
      </c>
      <c r="P30" s="76" t="inlineStr">
        <is>
          <t>docs/v0.1/04_技术施工_战斗与局内成长.md §6.2（子弹模块必填 visual_id）; docs/v0.1/data/ShellStorm2_游戏内容数据库_v010.xlsx#武器 S16/T16; src/base/BlueprintRegistry.gd（mod_bullet_piercing）</t>
        </is>
      </c>
      <c r="Q30" s="76" t="inlineStr">
        <is>
          <t>子弹特效;穿甲弹;穿透;贯穿线;剩余层数;piercing;armor;3D</t>
        </is>
      </c>
      <c r="R30" s="76">
        <f>LOWER(TRIM(C30)&amp;"|"&amp;TRIM(D30)&amp;"|"&amp;TRIM(E30)&amp;"|"&amp;TRIM(F30)&amp;"|"&amp;TRIM(H30)&amp;"|"&amp;TRIM(I30))</f>
        <v/>
      </c>
      <c r="S30" s="76">
        <f>IF(COUNTIF($R$6:$R$53,R30)&gt;1,"重复","唯一")</f>
        <v/>
      </c>
      <c r="T30" s="76" t="inlineStr">
        <is>
          <t>7dac07ff53a03e159245a033af9cd01cde83837d57c1cc8d96e0fdd2aa13aed3</t>
        </is>
      </c>
      <c r="U30" s="76" t="inlineStr">
        <is>
          <t>摩斯拉</t>
        </is>
      </c>
      <c r="V30" s="76" t="inlineStr">
        <is>
          <t>2026-10-13 00:00:00</t>
        </is>
      </c>
      <c r="W30" s="76" t="inlineStr">
        <is>
          <t>原创程序几何</t>
        </is>
      </c>
      <c r="X30" s="76" t="n"/>
      <c r="Y30" s="112" t="inlineStr">
        <is>
          <t>已制成并实装：Prefab=assets/art/vfx/combat_3d/vfx_bullet_piercing_root_top3d.tscn + 脚本=src/vfx/VfxBulletPiercing3D.gd；根节点=VfxBulletPiercing3D(Node3D)；《3D-特效》分页编号见该页（FX01-06 系列）。变体父体 VFX-BULLET-VISUAL-3D（复用其弹芯/外壳/拖尾几何分层，仅按弹种换外观与行为段）。调用方 Projectile3D._build_visual() 经 BULLET_VISUAL_REGISTRY 按 visual_id 路由，作为子节点持有、生命周期随 ProjectilePool3D，刻意不进 VfxPool3D；纯视觉无碰撞体。验收：verify_bullet_vfx_profiles（8 profile 可区分 + AssetID 路由 + 尺寸线性 + 端到端开火 + 无碰撞 + 反向对照）。设计依据：内容库《武器》S16「穿透命中显示连续贯穿线与剩余层数，不在首个目标处假性消失」。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1" ht="931.3" customHeight="1" s="52">
      <c r="A31" s="76" t="inlineStr">
        <is>
          <t>VFX-BULLET-EXPLOSIVE-3D</t>
        </is>
      </c>
      <c r="B31" s="76" t="inlineStr">
        <is>
          <t>爆炸弹弹体与爆炸时点特效</t>
        </is>
      </c>
      <c r="C31" s="76" t="inlineStr">
        <is>
          <t>子弹特效</t>
        </is>
      </c>
      <c r="D31" s="76" t="inlineStr">
        <is>
          <t>bullet_explosive</t>
        </is>
      </c>
      <c r="E31" s="76" t="inlineStr">
        <is>
          <t>mod_bullet_explosive</t>
        </is>
      </c>
      <c r="F31" s="76" t="inlineStr">
        <is>
          <t>root_3d</t>
        </is>
      </c>
      <c r="G31" s="76" t="inlineStr">
        <is>
          <t>VFX-BULLET-VISUAL-3D</t>
        </is>
      </c>
      <c r="H31" s="76" t="inlineStr">
        <is>
          <t>俯视3D</t>
        </is>
      </c>
      <c r="I31" s="76" t="inlineStr">
        <is>
          <t>flight_to_detonate</t>
        </is>
      </c>
      <c r="J31" s="76" t="inlineStr">
        <is>
          <t>爆炸弹模块（mod_bullet_explosive）</t>
        </is>
      </c>
      <c r="K31" s="76" t="inlineStr">
        <is>
          <t>已完成</t>
        </is>
      </c>
      <c r="L31" s="76" t="inlineStr">
        <is>
          <t>P1</t>
        </is>
      </c>
      <c r="M31" s="76" t="inlineStr">
        <is>
          <t>v001</t>
        </is>
      </c>
      <c r="N31" s="76" t="inlineStr">
        <is>
          <t>弹芯胶囊 r=0.055/h=0.22；外壳 r=0.094/h=0.20；锥尾迹 底0.078/长0.40 + 3 火星条；灯 energy1.65/range2.40m</t>
        </is>
      </c>
      <c r="O31" s="76" t="inlineStr">
        <is>
          <t>assets/art/vfx/combat_3d/vfx_bullet_explosive_root_top3d.tscn</t>
        </is>
      </c>
      <c r="P31" s="76" t="inlineStr">
        <is>
          <t>docs/v0.1/04_技术施工_战斗与局内成长.md §6.2（子弹模块必填 visual_id）; docs/v0.1/data/ShellStorm2_游戏内容数据库_v010.xlsx#武器 S14/T14; src/base/BlueprintRegistry.gd（mod_bullet_explosive）</t>
        </is>
      </c>
      <c r="Q31" s="76" t="inlineStr">
        <is>
          <t>子弹特效;爆炸弹;范围伤害;爆炸半径;伤害时点;低特效轮廓圈;explosive;area;3D</t>
        </is>
      </c>
      <c r="R31" s="76">
        <f>LOWER(TRIM(C31)&amp;"|"&amp;TRIM(D31)&amp;"|"&amp;TRIM(E31)&amp;"|"&amp;TRIM(F31)&amp;"|"&amp;TRIM(H31)&amp;"|"&amp;TRIM(I31))</f>
        <v/>
      </c>
      <c r="S31" s="76">
        <f>IF(COUNTIF($R$6:$R$53,R31)&gt;1,"重复","唯一")</f>
        <v/>
      </c>
      <c r="T31" s="76" t="inlineStr">
        <is>
          <t>16668244baa6415476e9f53a7207843de1ec43981cc46b8fba3b77259c43aa66</t>
        </is>
      </c>
      <c r="U31" s="76" t="inlineStr">
        <is>
          <t>摩斯拉</t>
        </is>
      </c>
      <c r="V31" s="76" t="inlineStr">
        <is>
          <t>2026-10-13 00:00:00</t>
        </is>
      </c>
      <c r="W31" s="76" t="inlineStr">
        <is>
          <t>原创程序几何</t>
        </is>
      </c>
      <c r="X31" s="76" t="n"/>
      <c r="Y31" s="112" t="inlineStr">
        <is>
          <t>已制成并实装：Prefab=assets/art/vfx/combat_3d/vfx_bullet_explosive_root_top3d.tscn + 脚本=src/vfx/VfxBulletExplosive3D.gd；根节点=VfxBulletExplosive3D(Node3D)；《3D-特效》分页编号见该页（FX01-06 系列）。变体父体 VFX-BULLET-VISUAL-3D（复用其弹芯/外壳/拖尾几何分层，仅按弹种换外观与行为段）。调用方 Projectile3D._build_visual() 经 BULLET_VISUAL_REGISTRY 按 visual_id 路由，作为子节点持有、生命周期随 ProjectilePool3D，刻意不进 VfxPool3D；纯视觉无碰撞体。验收：verify_bullet_vfx_profiles（8 profile 可区分 + AssetID 路由 + 尺寸线性 + 端到端开火 + 无碰撞 + 反向对照）。设计依据：内容库《武器》S14「弹体、尾迹、爆炸半径与伤害时点同步，低特效下保留轮廓圈」。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2" ht="931.3" customHeight="1" s="52">
      <c r="A32" s="76" t="inlineStr">
        <is>
          <t>VFX-BULLET-HOMING-3D</t>
        </is>
      </c>
      <c r="B32" s="76" t="inlineStr">
        <is>
          <t>蜂卵弹锁定框与弯曲尾迹特效</t>
        </is>
      </c>
      <c r="C32" s="76" t="inlineStr">
        <is>
          <t>子弹特效</t>
        </is>
      </c>
      <c r="D32" s="76" t="inlineStr">
        <is>
          <t>bullet_homing</t>
        </is>
      </c>
      <c r="E32" s="76" t="inlineStr">
        <is>
          <t>mod_bullet_homing</t>
        </is>
      </c>
      <c r="F32" s="76" t="inlineStr">
        <is>
          <t>root_3d</t>
        </is>
      </c>
      <c r="G32" s="76" t="inlineStr">
        <is>
          <t>VFX-BULLET-VISUAL-3D</t>
        </is>
      </c>
      <c r="H32" s="76" t="inlineStr">
        <is>
          <t>俯视3D</t>
        </is>
      </c>
      <c r="I32" s="76" t="inlineStr">
        <is>
          <t>homing_curve</t>
        </is>
      </c>
      <c r="J32" s="76" t="inlineStr">
        <is>
          <t>蜂卵弹模块（mod_bullet_homing）</t>
        </is>
      </c>
      <c r="K32" s="76" t="inlineStr">
        <is>
          <t>已完成</t>
        </is>
      </c>
      <c r="L32" s="76" t="inlineStr">
        <is>
          <t>P1</t>
        </is>
      </c>
      <c r="M32" s="76" t="inlineStr">
        <is>
          <t>v001</t>
        </is>
      </c>
      <c r="N32" s="76" t="inlineStr">
        <is>
          <t>弹芯胶囊 r=0.050/h=0.18；外壳 r=0.082/h=0.16；三段摆动尾迹；灯 energy1.25/range1.90m</t>
        </is>
      </c>
      <c r="O32" s="76" t="inlineStr">
        <is>
          <t>assets/art/vfx/combat_3d/vfx_bullet_homing_root_top3d.tscn</t>
        </is>
      </c>
      <c r="P32" s="76" t="inlineStr">
        <is>
          <t>docs/v0.1/04_技术施工_战斗与局内成长.md §6.2（子弹模块必填 visual_id）; docs/v0.1/data/ShellStorm2_游戏内容数据库_v010.xlsx#武器 S15/T15; src/base/BlueprintRegistry.gd（mod_bullet_homing）</t>
        </is>
      </c>
      <c r="Q32" s="76" t="inlineStr">
        <is>
          <t>子弹特效;蜂卵弹;追踪;锁定框;弯曲尾迹;解除提示;homing;3D</t>
        </is>
      </c>
      <c r="R32" s="76">
        <f>LOWER(TRIM(C32)&amp;"|"&amp;TRIM(D32)&amp;"|"&amp;TRIM(E32)&amp;"|"&amp;TRIM(F32)&amp;"|"&amp;TRIM(H32)&amp;"|"&amp;TRIM(I32))</f>
        <v/>
      </c>
      <c r="S32" s="76">
        <f>IF(COUNTIF($R$6:$R$53,R32)&gt;1,"重复","唯一")</f>
        <v/>
      </c>
      <c r="T32" s="76" t="inlineStr">
        <is>
          <t>7b674e50097eef28c900780031f808ddc6077efed1194dae6debe74b710fe87e</t>
        </is>
      </c>
      <c r="U32" s="76" t="inlineStr">
        <is>
          <t>摩斯拉</t>
        </is>
      </c>
      <c r="V32" s="76" t="inlineStr">
        <is>
          <t>2026-10-13 00:00:00</t>
        </is>
      </c>
      <c r="W32" s="76" t="inlineStr">
        <is>
          <t>原创程序几何</t>
        </is>
      </c>
      <c r="X32" s="76" t="n"/>
      <c r="Y32" s="112" t="inlineStr">
        <is>
          <t>已制成并实装：Prefab=assets/art/vfx/combat_3d/vfx_bullet_homing_root_top3d.tscn + 脚本=src/vfx/VfxBulletHoming3D.gd；根节点=VfxBulletHoming3D(Node3D)；《3D-特效》分页编号见该页（FX01-06 系列）。变体父体 VFX-BULLET-VISUAL-3D（复用其弹芯/外壳/拖尾几何分层，仅按弹种换外观与行为段）。调用方 Projectile3D._build_visual() 经 BULLET_VISUAL_REGISTRY 按 visual_id 路由，作为子节点持有、生命周期随 ProjectilePool3D，刻意不进 VfxPool3D；纯视觉无碰撞体。验收：verify_bullet_vfx_profiles（8 profile 可区分 + AssetID 路由 + 尺寸线性 + 端到端开火 + 无碰撞 + 反向对照）。设计依据：内容库《武器》S15「锁定框、弯曲尾迹和转向动作一致；目标丢失有解除提示」。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3" ht="931.3" customHeight="1" s="52">
      <c r="A33" s="76" t="inlineStr">
        <is>
          <t>VFX-BULLET-BLACKHOLE-3D</t>
        </is>
      </c>
      <c r="B33" s="76" t="inlineStr">
        <is>
          <t>黑洞弹核心与吸入流线特效</t>
        </is>
      </c>
      <c r="C33" s="76" t="inlineStr">
        <is>
          <t>子弹特效</t>
        </is>
      </c>
      <c r="D33" s="76" t="inlineStr">
        <is>
          <t>bullet_blackhole</t>
        </is>
      </c>
      <c r="E33" s="76" t="inlineStr">
        <is>
          <t>mod_bullet_blackhole</t>
        </is>
      </c>
      <c r="F33" s="76" t="inlineStr">
        <is>
          <t>root_3d</t>
        </is>
      </c>
      <c r="G33" s="76" t="inlineStr">
        <is>
          <t>VFX-BULLET-VISUAL-3D</t>
        </is>
      </c>
      <c r="H33" s="76" t="inlineStr">
        <is>
          <t>俯视3D</t>
        </is>
      </c>
      <c r="I33" s="76" t="inlineStr">
        <is>
          <t>blackhole_pull</t>
        </is>
      </c>
      <c r="J33" s="76" t="inlineStr">
        <is>
          <t>黑洞弹模块（mod_bullet_blackhole）</t>
        </is>
      </c>
      <c r="K33" s="76" t="inlineStr">
        <is>
          <t>已完成</t>
        </is>
      </c>
      <c r="L33" s="76" t="inlineStr">
        <is>
          <t>P1</t>
        </is>
      </c>
      <c r="M33" s="76" t="inlineStr">
        <is>
          <t>v001</t>
        </is>
      </c>
      <c r="N33" s="76" t="inlineStr">
        <is>
          <t>弹芯球 r=0.058；外壳球 r=0.098；外扩喇叭三段 底0.040/0.068/0.096；灯 energy1.45/range2.20m</t>
        </is>
      </c>
      <c r="O33" s="76" t="inlineStr">
        <is>
          <t>assets/art/vfx/combat_3d/vfx_bullet_blackhole_root_top3d.tscn</t>
        </is>
      </c>
      <c r="P33" s="76" t="inlineStr">
        <is>
          <t>docs/v0.1/04_技术施工_战斗与局内成长.md §6.2（子弹模块必填 visual_id）; docs/v0.1/data/ShellStorm2_游戏内容数据库_v010.xlsx#武器 S12/T12; src/base/BlueprintRegistry.gd（mod_bullet_blackhole）</t>
        </is>
      </c>
      <c r="Q33" s="76" t="inlineStr">
        <is>
          <t>子弹特效;黑洞弹;黑洞核心;吸入流线;范围边界;收束反馈;pull;3D</t>
        </is>
      </c>
      <c r="R33" s="76">
        <f>LOWER(TRIM(C33)&amp;"|"&amp;TRIM(D33)&amp;"|"&amp;TRIM(E33)&amp;"|"&amp;TRIM(F33)&amp;"|"&amp;TRIM(H33)&amp;"|"&amp;TRIM(I33))</f>
        <v/>
      </c>
      <c r="S33" s="76">
        <f>IF(COUNTIF($R$6:$R$53,R33)&gt;1,"重复","唯一")</f>
        <v/>
      </c>
      <c r="T33" s="76" t="inlineStr">
        <is>
          <t>3e3b832d8bbd74d0c82fded0ff4e416722a17b2a64af56d8ebee4a4cc03c354a</t>
        </is>
      </c>
      <c r="U33" s="76" t="inlineStr">
        <is>
          <t>摩斯拉</t>
        </is>
      </c>
      <c r="V33" s="76" t="inlineStr">
        <is>
          <t>2026-10-13 00:00:00</t>
        </is>
      </c>
      <c r="W33" s="76" t="inlineStr">
        <is>
          <t>原创程序几何</t>
        </is>
      </c>
      <c r="X33" s="76" t="n"/>
      <c r="Y33" s="112" t="inlineStr">
        <is>
          <t>已制成并实装：Prefab=assets/art/vfx/combat_3d/vfx_bullet_blackhole_root_top3d.tscn + 脚本=src/vfx/VfxBulletBlackhole3D.gd；根节点=VfxBulletBlackhole3D(Node3D)；《3D-特效》分页编号见该页（FX01-06 系列）。变体父体 VFX-BULLET-VISUAL-3D（复用其弹芯/外壳/拖尾几何分层，仅按弹种换外观与行为段）。调用方 Projectile3D._build_visual() 经 BULLET_VISUAL_REGISTRY 按 visual_id 路由，作为子节点持有、生命周期随 ProjectilePool3D，刻意不进 VfxPool3D；纯视觉无碰撞体。验收：verify_bullet_vfx_profiles（8 profile 可区分 + AssetID 路由 + 尺寸线性 + 端到端开火 + 无碰撞 + 反向对照）。设计依据：内容库《武器》S12「黑洞核心、吸入流线和范围边界清晰；命中/结束有收束反馈」。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4" ht="931.3" customHeight="1" s="52">
      <c r="A34" s="76" t="inlineStr">
        <is>
          <t>VFX-BULLET-BALLOON-3D</t>
        </is>
      </c>
      <c r="B34" s="76" t="inlineStr">
        <is>
          <t>气球弹膨胀弹体与命中体积特效</t>
        </is>
      </c>
      <c r="C34" s="76" t="inlineStr">
        <is>
          <t>子弹特效</t>
        </is>
      </c>
      <c r="D34" s="76" t="inlineStr">
        <is>
          <t>bullet_balloon</t>
        </is>
      </c>
      <c r="E34" s="76" t="inlineStr">
        <is>
          <t>mod_bullet_balloon</t>
        </is>
      </c>
      <c r="F34" s="76" t="inlineStr">
        <is>
          <t>root_3d</t>
        </is>
      </c>
      <c r="G34" s="76" t="inlineStr">
        <is>
          <t>VFX-BULLET-VISUAL-3D</t>
        </is>
      </c>
      <c r="H34" s="76" t="inlineStr">
        <is>
          <t>俯视3D</t>
        </is>
      </c>
      <c r="I34" s="76" t="inlineStr">
        <is>
          <t>inflate_flight</t>
        </is>
      </c>
      <c r="J34" s="76" t="inlineStr">
        <is>
          <t>气球弹模块（mod_bullet_balloon）</t>
        </is>
      </c>
      <c r="K34" s="76" t="inlineStr">
        <is>
          <t>已完成</t>
        </is>
      </c>
      <c r="L34" s="76" t="inlineStr">
        <is>
          <t>P1</t>
        </is>
      </c>
      <c r="M34" s="76" t="inlineStr">
        <is>
          <t>v001</t>
        </is>
      </c>
      <c r="N34" s="76" t="inlineStr">
        <is>
          <t>弹芯球 r=0.070；外壳球 r=0.118；粗短锥尾迹 底0.104/长0.36；灯 energy1.30/range2.05m</t>
        </is>
      </c>
      <c r="O34" s="76" t="inlineStr">
        <is>
          <t>assets/art/vfx/combat_3d/vfx_bullet_balloon_root_top3d.tscn</t>
        </is>
      </c>
      <c r="P34" s="76" t="inlineStr">
        <is>
          <t>docs/v0.1/04_技术施工_战斗与局内成长.md §6.2（子弹模块必填 visual_id）; docs/v0.1/data/ShellStorm2_游戏内容数据库_v010.xlsx#武器 S11/T11; src/base/BlueprintRegistry.gd（mod_bullet_balloon）</t>
        </is>
      </c>
      <c r="Q34" s="76" t="inlineStr">
        <is>
          <t>子弹特效;气球弹;膨胀弹体;命中体积;低速;balloon;big;3D</t>
        </is>
      </c>
      <c r="R34" s="76">
        <f>LOWER(TRIM(C34)&amp;"|"&amp;TRIM(D34)&amp;"|"&amp;TRIM(E34)&amp;"|"&amp;TRIM(F34)&amp;"|"&amp;TRIM(H34)&amp;"|"&amp;TRIM(I34))</f>
        <v/>
      </c>
      <c r="S34" s="76">
        <f>IF(COUNTIF($R$6:$R$53,R34)&gt;1,"重复","唯一")</f>
        <v/>
      </c>
      <c r="T34" s="76" t="inlineStr">
        <is>
          <t>4cf2bd23539184d121d209a180475951bd7ae9478b35e8be565ca15515dc36cf</t>
        </is>
      </c>
      <c r="U34" s="76" t="inlineStr">
        <is>
          <t>摩斯拉</t>
        </is>
      </c>
      <c r="V34" s="76" t="inlineStr">
        <is>
          <t>2026-10-13 00:00:00</t>
        </is>
      </c>
      <c r="W34" s="76" t="inlineStr">
        <is>
          <t>原创程序几何</t>
        </is>
      </c>
      <c r="X34" s="76" t="n"/>
      <c r="Y34" s="112" t="inlineStr">
        <is>
          <t>已制成并实装：Prefab=assets/art/vfx/combat_3d/vfx_bullet_balloon_root_top3d.tscn + 脚本=src/vfx/VfxBulletBalloon3D.gd；根节点=VfxBulletBalloon3D(Node3D)；《3D-特效》分页编号见该页（FX01-06 系列）。变体父体 VFX-BULLET-VISUAL-3D（复用其弹芯/外壳/拖尾几何分层，仅按弹种换外观与行为段）。调用方 Projectile3D._build_visual() 经 BULLET_VISUAL_REGISTRY 按 visual_id 路由，作为子节点持有、生命周期随 ProjectilePool3D，刻意不进 VfxPool3D；纯视觉无碰撞体。验收：verify_bullet_vfx_profiles（8 profile 可区分 + AssetID 路由 + 尺寸线性 + 端到端开火 + 无碰撞 + 反向对照）。设计依据：内容库《武器》S11「膨胀弹体、较重尾迹与命中体积一致，不能只改伤害数值」。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5" ht="931.3" customHeight="1" s="52">
      <c r="A35" s="76" t="inlineStr">
        <is>
          <t>VFX-MONSTER-ROAR-ICON-3D</t>
        </is>
      </c>
      <c r="B35" s="76" t="inlineStr">
        <is>
          <t>怪物启动吼叫头顶图标</t>
        </is>
      </c>
      <c r="C35" s="76" t="inlineStr">
        <is>
          <t>特效</t>
        </is>
      </c>
      <c r="D35" s="76" t="inlineStr">
        <is>
          <t>战斗反馈</t>
        </is>
      </c>
      <c r="E35" s="76" t="inlineStr">
        <is>
          <t>FX01-16</t>
        </is>
      </c>
      <c r="F35" s="76" t="inlineStr">
        <is>
          <t>root_3d</t>
        </is>
      </c>
      <c r="G35" s="76" t="n"/>
      <c r="H35" s="76" t="inlineStr">
        <is>
          <t>俯视3D</t>
        </is>
      </c>
      <c r="I35" s="76" t="inlineStr">
        <is>
          <t>startup_roar_icon</t>
        </is>
      </c>
      <c r="J35" s="76" t="inlineStr">
        <is>
          <t>普通怪/精英（Boss 豁免）</t>
        </is>
      </c>
      <c r="K35" s="76" t="inlineStr">
        <is>
          <t>已完成</t>
        </is>
      </c>
      <c r="L35" s="76" t="inlineStr">
        <is>
          <t>P1</t>
        </is>
      </c>
      <c r="M35" s="76" t="inlineStr">
        <is>
          <t>v002</t>
        </is>
      </c>
      <c r="N35" s="76" t="inlineStr">
        <is>
          <t>PackedScene/程序 Sprite3D（256² RGBA 透明底贴图；世界边长 = 头顶血条宽 × 0.42，钳制 0.45–1.20 m）</t>
        </is>
      </c>
      <c r="O35" s="76" t="inlineStr">
        <is>
          <t>assets/art/vfx/combat_3d/vfx_monster_roar_icon_root_top3d.tscn</t>
        </is>
      </c>
      <c r="P35" s="76" t="inlineStr">
        <is>
          <t>src/vfx/VfxMonsterRoarIcon3D.gd; src/enemy3d/MonsterStartupProfile.gd</t>
        </is>
      </c>
      <c r="Q35" s="76" t="inlineStr">
        <is>
          <t>吼叫;咆哮;启动过程;警觉;头顶图标;体型匹配;roar;startup;3D-icon</t>
        </is>
      </c>
      <c r="R35" s="76">
        <f>LOWER(TRIM(C35)&amp;"|"&amp;TRIM(D35)&amp;"|"&amp;TRIM(E35)&amp;"|"&amp;TRIM(F35)&amp;"|"&amp;TRIM(H35)&amp;"|"&amp;TRIM(I35))</f>
        <v/>
      </c>
      <c r="S35" s="76">
        <f>IF(COUNTIF($R$6:$R$53,R35)&gt;1,"重复","唯一")</f>
        <v/>
      </c>
      <c r="T35" s="76" t="inlineStr">
        <is>
          <t>f89109188bae4361cda58cb8c866e3c4d91b9eff4cd2b5259810e5830f4dc403</t>
        </is>
      </c>
      <c r="U35" s="76" t="inlineStr">
        <is>
          <t>摩斯拉</t>
        </is>
      </c>
      <c r="V35" s="77" t="n">
        <v>46309</v>
      </c>
      <c r="W35" s="76" t="inlineStr">
        <is>
          <t>原创程序几何/Sprite3D；卡通贴图为 gpt-image-2 绘制（四版迭代 v004 入选），原图留 art_source/vfx/combat_3d/vfx_monster_roar_icon/source/v001/</t>
        </is>
      </c>
      <c r="X35" s="76" t="inlineStr">
        <is>
          <t>FX01-16</t>
        </is>
      </c>
      <c r="Y35" s="76" t="inlineStr">
        <is>
          <t>怪物从 idle/patrol 进入攻击前的 0.30–0.60s 启动过程里，转向玩家之后头顶弹出的一次性提示。**2026-10-14 改版 v002（业主指定）**：① 图形由「怪兽大嘴」换成**红色感叹号**（整支统一纯红 #FD0104，粗黑描边保留，青色高光已去掉）；② **增加「弹出后停顿一下」的节奏** —— 四段：① 弹出 0.70→1.15（t=0.10 过冲）② 回稳 →1.00（t=0.18）③ **停顿：0.18→hold 全程严格静止** ④ 淡出。实测三段停顿 scale 逐位相同（0.7031/0.7031/0.7031），由 `verify_monster_startup_roar` 钉住；③ 图标与血条的间隙由「固定 0.12m」改为**按图标边长 0.30 的比例**（`ICON_BAR_GAP_RATIO`）—— 感叹号的圆点落在方框底部，固定米数会直接贴住血条（预览实测 elite/boss 档间隙 −1px 即重叠，改成比例后六档间隙 +4~+10px 等比）。贴图 `assets/art/vfx/textures/vfx_monster_roar_icon_atlas_v001.png`（256² RGBA 透明底，`gpt-image-2` 绘制，SHA-256 `8eaf880e2eb2be1e…`；三版迭代 v003 入选，原图留 `art_source/vfx/combat_3d/vfx_monster_roar_icon/source/v002/`）。尺寸仍**按体型等比**：`icon_edge = clamp(头顶血条宽 × 0.42, 0.45, 1.20)` m，偏移 `icon_offset_y = 血条高/2 + 0.30×icon_edge + icon_edge/2`；体型输入直接复用 `Enemy3D.HEALTH_BAR_SIZE_BY_KIND`（刻意不新建第二份体型表）。摆放与朝向复用头顶血条同族口径：`BILLBOARD_ENABLED` + 关闭深度测试；每怪一个常驻 Sprite3D 由怪物自身持有、随怪物创建销毁，**刻意不进 `VfxPool3D`**。⚠️ 死亡/硬直/房间停用/目标失效必须调 `dismiss()`，否则会出现「已死还在吼」的假信息。Boss 由 `MonsterStartupProfile.plays_startup()` 豁免。纯视觉无碰撞体。验收 `verify_monster_startup_roar`（samples=221，含停顿段「必须真静止」的正面判据与负向对照）。视觉证据：`outputs/monster_roar_icon_size_contact_sheet.png`（六档体型）、`outputs/monster_startup_capture.png`（真引擎三帧）、`outputs/monster_startup_capture_pop_rhythm.png`（弹出→停顿节奏取样条）。</t>
        </is>
      </c>
    </row>
    <row r="36">
      <c r="A36" s="76" t="inlineStr">
        <is>
          <t>VFX-DEATH-BLAST-3D</t>
        </is>
      </c>
      <c r="B36" s="76" t="inlineStr">
        <is>
          <t>胖子僵尸死亡自爆特效</t>
        </is>
      </c>
      <c r="C36" s="76" t="inlineStr">
        <is>
          <t>特效</t>
        </is>
      </c>
      <c r="D36" s="76" t="inlineStr">
        <is>
          <t>战斗反馈</t>
        </is>
      </c>
      <c r="E36" s="76" t="inlineStr">
        <is>
          <t>FX01-17</t>
        </is>
      </c>
      <c r="F36" s="76" t="inlineStr">
        <is>
          <t>root_3d</t>
        </is>
      </c>
      <c r="G36" s="76" t="n"/>
      <c r="H36" s="76" t="inlineStr">
        <is>
          <t>俯视3D</t>
        </is>
      </c>
      <c r="I36" s="76" t="inlineStr">
        <is>
          <t>death_blast</t>
        </is>
      </c>
      <c r="J36" s="76" t="inlineStr">
        <is>
          <t>远征01 胖子僵尸死亡自爆</t>
        </is>
      </c>
      <c r="K36" s="76" t="inlineStr">
        <is>
          <t>已完成</t>
        </is>
      </c>
      <c r="L36" s="76" t="inlineStr">
        <is>
          <t>P1</t>
        </is>
      </c>
      <c r="M36" s="76" t="inlineStr">
        <is>
          <t>v002</t>
        </is>
      </c>
      <c r="N36" s="76" t="inlineStr">
        <is>
          <t>PackedScene/程序几何（12 枚绿色方块爆开 + 14 枚抛物线飞溅 + 4 块扁平方形地面液体 + 3 层绿色冲击波 + 1 盏 GooLight；lifetime 1.35s；无碰撞体）</t>
        </is>
      </c>
      <c r="O36" s="76" t="inlineStr">
        <is>
          <t>assets/art/vfx/combat_3d/vfx_death_blast_root_top3d.tscn</t>
        </is>
      </c>
      <c r="P36" s="76" t="inlineStr">
        <is>
          <t>src/vfx/VfxDeathBlast3D.gd; src/enemy3d/Enemy3D.gd</t>
        </is>
      </c>
      <c r="Q36" s="76" t="inlineStr">
        <is>
          <t>死亡自爆;胖子僵尸;爆炸;冲击环;星芒;BlastLight;death-blast</t>
        </is>
      </c>
      <c r="R36" s="76">
        <f>LOWER(TRIM(C36)&amp;"|"&amp;TRIM(D36)&amp;"|"&amp;TRIM(E36)&amp;"|"&amp;TRIM(F36)&amp;"|"&amp;TRIM(H36)&amp;"|"&amp;TRIM(I36))</f>
        <v/>
      </c>
      <c r="S36" s="76">
        <f>IF(COUNTIF($R$6:$R$53,R36)&gt;1,"重复","唯一")</f>
        <v/>
      </c>
      <c r="T36" s="76" t="inlineStr">
        <is>
          <t>7a88ecd3f4df05e4224484cd369dfe2a1d6ccca5140e1140ef2114d8ac6a19ab</t>
        </is>
      </c>
      <c r="U36" s="76" t="inlineStr">
        <is>
          <t>摩斯拉</t>
        </is>
      </c>
      <c r="V36" s="77" t="inlineStr">
        <is>
          <t>2026-10-14</t>
        </is>
      </c>
      <c r="W36" s="76" t="inlineStr">
        <is>
          <t>原创/待确认</t>
        </is>
      </c>
      <c r="X36" s="76" t="inlineStr">
        <is>
          <t>—</t>
        </is>
      </c>
      <c r="Y36" s="76" t="inlineStr">
        <is>
          <t>**v002 整体重做（业主 2026-10-14）**：业主第三轮把口径更正为「**把小僵尸的死亡特效放大两倍给胖子僵尸用**，然后带一个绿色冲击波的效果，同样去掉胖子僵尸的倒地动画播放」——也就是本件 = **FX01-19 那套死亡表现（绿方块爆开 + 抛物线飞溅 + 地面液体）×2 + 3 层绿色冲击波**，不是另做一套橙红自爆。v001 的「亮芯 + 2 层冲击环 + 9 道放射星芒 + 8 块飞散碎屑」整组退役。**结构**：身体完全来自 `src/vfx/VfxGooDeathBase3D.gd`（与小僵尸死亡件是同一段代码），本件只覆盖 `_asset_id()` / `_asset_version()` = v002 / `_shockwave_enabled()` = true 三点 ——两件因此不可能在节奏 / 配色 / 落地数学上漂移。**尺寸**：由调用方固定 `Enemy3D.FAT_DEATH_EFFECT_SIZE = 2.0`（业主「放大两倍」），**替换** v001 的「按伤害半径 ×0.6 反推」口径 ⇒ 冲击波外缘 ≈3.1m 不再等于远征01 的 5.0m 伤害半径，它变成风格元素、不再充当半径指示（要说清楚：观感上「炸得多大」与「掉多少血」现在是两条独立的线）。**表现 ≠ 玩法**：`Enemy3D._detonate_death_explosion()` 里视觉那一行不受 `damage` 影响 ——规格 `damage&lt;=0`（本关不自爆）只是不掉血，不是「连死亡表现都不给」；塔楼里被去掉倒地动画的胖子僵尸因此仍有死亡表现。**地面契约**：`context.floor_y` 唯一真源（未传时按「胸口 = 脚底 + 0.65」反推，绝不写死 0）；冲击波平铺 XZ。纯视觉无碰撞体，走 VfxPool3D（FX01_DEATH_BLAST）。与 FX01-18 `VFX-BLAST-ZONE-3D` 的分工未变（那件仍是自爆后留在地上的持续伤害场视觉层）。验收 `verify_death_blast_vfx`（12 方块 + 14 飞溅 + 4 液体 + 3 冲击波 / GooLight 真源与包络 / 尺寸线性 / 冲击波峰值外缘扫描 / 绕竖直轴全向对称（**只看水平分量** —— 抬高式俯仰让三维模长天然 ~2.7）/ 地面平铺含倾斜对照 / 游戏侧选区与到点收场 / 端到端含 `zone.enabled=false` 对照，`samples=12`）。</t>
        </is>
      </c>
    </row>
    <row r="37">
      <c r="A37" s="76" t="inlineStr">
        <is>
          <t>VFX-BLAST-ZONE-3D</t>
        </is>
      </c>
      <c r="B37" s="76" t="inlineStr">
        <is>
          <t>自爆地面残留伤害场</t>
        </is>
      </c>
      <c r="C37" s="76" t="inlineStr">
        <is>
          <t>特效</t>
        </is>
      </c>
      <c r="D37" s="76" t="inlineStr">
        <is>
          <t>战斗反馈</t>
        </is>
      </c>
      <c r="E37" s="76" t="inlineStr">
        <is>
          <t>FX01-18</t>
        </is>
      </c>
      <c r="F37" s="76" t="inlineStr">
        <is>
          <t>root_3d</t>
        </is>
      </c>
      <c r="G37" s="76" t="n"/>
      <c r="H37" s="76" t="inlineStr">
        <is>
          <t>俯视3D</t>
        </is>
      </c>
      <c r="I37" s="76" t="inlineStr">
        <is>
          <t>lingering_hazard</t>
        </is>
      </c>
      <c r="J37" s="76" t="inlineStr">
        <is>
          <t>远征01 胖子僵尸自爆地面残留</t>
        </is>
      </c>
      <c r="K37" s="76" t="inlineStr">
        <is>
          <t>已完成</t>
        </is>
      </c>
      <c r="L37" s="76" t="inlineStr">
        <is>
          <t>P1</t>
        </is>
      </c>
      <c r="M37" s="76" t="inlineStr">
        <is>
          <t>v001</t>
        </is>
      </c>
      <c r="N37" s="76" t="inlineStr">
        <is>
          <t>PackedScene/程序几何（场底面 + 外缘定环 + 3 脉冲环 + 6 上升余烬 + 1 盏 ZoneLight；lifetime = 场地持续时长，默认 3.0s）</t>
        </is>
      </c>
      <c r="O37" s="76" t="inlineStr">
        <is>
          <t>assets/art/vfx/combat_3d/vfx_blast_zone_root_top3d.tscn</t>
        </is>
      </c>
      <c r="P37" s="76" t="inlineStr">
        <is>
          <t>src/vfx/VfxBlastZone3D.gd; src/enemy3d/DeathBlastZone3D.gd</t>
        </is>
      </c>
      <c r="Q37" s="76" t="inlineStr">
        <is>
          <t>地面伤害场;持续伤害;自爆残留;范围伤害;3秒;blast-zone;ground-hazard</t>
        </is>
      </c>
      <c r="R37" s="76">
        <f>LOWER(TRIM(C37)&amp;"|"&amp;TRIM(D37)&amp;"|"&amp;TRIM(E37)&amp;"|"&amp;TRIM(F37)&amp;"|"&amp;TRIM(H37)&amp;"|"&amp;TRIM(I37))</f>
        <v/>
      </c>
      <c r="S37" s="76">
        <f>IF(COUNTIF($R$6:$R$53,R37)&gt;1,"重复","唯一")</f>
        <v/>
      </c>
      <c r="T37" s="76" t="inlineStr">
        <is>
          <t>4345764d662753b126383e006b0027d3012be2d6a50cd094da955a9afc6cee6e</t>
        </is>
      </c>
      <c r="U37" s="76" t="inlineStr">
        <is>
          <t>摩斯拉</t>
        </is>
      </c>
      <c r="V37" s="77" t="inlineStr">
        <is>
          <t>2026-10-14</t>
        </is>
      </c>
      <c r="W37" s="76" t="inlineStr">
        <is>
          <t>原创/待确认</t>
        </is>
      </c>
      <c r="X37" s="76" t="inlineStr">
        <is>
          <t>—</t>
        </is>
      </c>
      <c r="Y37" s="76" t="inlineStr">
        <is>
          <t>**纯视觉**：不含碰撞体、不结算伤害；伤害由玩法节点 src/enemy3d/DeathBlastZone3D.gd 按周期处理。地面朝向契约：整件平铺 XZ，调用方在地面高度 activate 且不旋转。宿主自持、**刻意不进 VfxPool3D**（同 FX01-16 / FX03-03 口径）。专项验收 verify_death_blast_vfx。</t>
        </is>
      </c>
    </row>
    <row r="38">
      <c r="A38" s="76" t="inlineStr">
        <is>
          <t>VFX-ZOMBIE-GOO-DEATH-3D</t>
        </is>
      </c>
      <c r="B38" s="76" t="inlineStr">
        <is>
          <t>僵尸死亡绿色方块爆开特效</t>
        </is>
      </c>
      <c r="C38" s="76" t="inlineStr">
        <is>
          <t>特效</t>
        </is>
      </c>
      <c r="D38" s="76" t="inlineStr">
        <is>
          <t>战斗反馈</t>
        </is>
      </c>
      <c r="E38" s="76" t="inlineStr">
        <is>
          <t>FX01-19</t>
        </is>
      </c>
      <c r="F38" s="76" t="inlineStr">
        <is>
          <t>root_3d</t>
        </is>
      </c>
      <c r="G38" s="76" t="n"/>
      <c r="H38" s="76" t="inlineStr">
        <is>
          <t>俯视3D</t>
        </is>
      </c>
      <c r="I38" s="76" t="inlineStr">
        <is>
          <t>death_goo_burst</t>
        </is>
      </c>
      <c r="J38" s="76" t="inlineStr">
        <is>
          <t>小僵尸/警察僵尸死亡（远征01 与塔楼通用）</t>
        </is>
      </c>
      <c r="K38" s="76" t="inlineStr">
        <is>
          <t>已完成</t>
        </is>
      </c>
      <c r="L38" s="76" t="inlineStr">
        <is>
          <t>P1</t>
        </is>
      </c>
      <c r="M38" s="76" t="inlineStr">
        <is>
          <t>v001</t>
        </is>
      </c>
      <c r="N38" s="76" t="inlineStr">
        <is>
          <t>PackedScene/程序几何（12 绿色方块爆炸粒子 + 14 抛物线飞溅粒子 + 4 块扁平方形地面液体 + 1 盏 GooLight；lifetime 1.35s；无碰撞体）</t>
        </is>
      </c>
      <c r="O38" s="76" t="inlineStr">
        <is>
          <t>assets/art/vfx/combat_3d/vfx_zombie_goo_death_root_top3d.tscn</t>
        </is>
      </c>
      <c r="P38" s="76" t="inlineStr">
        <is>
          <t>src/vfx/VfxZombieGooDeath3D.gd; src/enemy3d/Enemy3D.gd</t>
        </is>
      </c>
      <c r="Q38" s="76" t="inlineStr">
        <is>
          <t>僵尸死亡;绿色方块;爆开;飞溅;抛物线;地面液体;停留0.5秒;下沉消失;goo-death;3D</t>
        </is>
      </c>
      <c r="R38" s="76">
        <f>LOWER(TRIM(C38)&amp;"|"&amp;TRIM(D38)&amp;"|"&amp;TRIM(E38)&amp;"|"&amp;TRIM(F38)&amp;"|"&amp;TRIM(H38)&amp;"|"&amp;TRIM(I38))</f>
        <v/>
      </c>
      <c r="S38" s="76">
        <f>IF(COUNTIF($R$6:$R$53,R38)&gt;1,"重复","唯一")</f>
        <v/>
      </c>
      <c r="T38" s="76" t="inlineStr">
        <is>
          <t>c8c05ce1f2d020756ad75a5bbbffa5dd0b758b1834b1d1cc7731c355c32f384d</t>
        </is>
      </c>
      <c r="U38" s="76" t="inlineStr">
        <is>
          <t>摩斯拉</t>
        </is>
      </c>
      <c r="V38" s="77" t="inlineStr">
        <is>
          <t>2026-10-14</t>
        </is>
      </c>
      <c r="W38" s="76" t="inlineStr">
        <is>
          <t>原创程序几何</t>
        </is>
      </c>
      <c r="X38" s="76" t="inlineStr">
        <is>
          <t>FX01-19</t>
        </is>
      </c>
      <c r="Y38" s="76" t="inlineStr">
        <is>
          <t>业主口径（2026-10-14）：「绿色方块爆开的粒子，掉落地面，然后地面上有方形像液体一样的扁平模型，停留 0.5 秒后慢慢下沉消失；由三部分组成 —— 爆炸的粒子 / 飞溅出去的粒子 / 地上的液体；节奏要有打击力度感、粒子不要太小、需要有大小的变化动画」，并「配置在小僵尸和警察僵尸死亡后，状态机上去掉倒地动画」。三部分：A `Burst0..11` 爆炸粒子（尺度 0.25 → 1.15 → 0.35 倍，0.24s 收干净）；B `Splat0..13` 飞溅粒子（g = 30 抛物线，解析式求落点，落地压扁后缩没）；C `Puddle0..3` 地上液体（落在飞溅粒子**真实落点**上，出现 → **严格停留 0.50s** → 下沉 0.30m 并淡出）。颜色恒为僵尸绿（调用方本色只作 25% 偏移，保证「绿色」读法不被小僵尸暗红 / 警察青冲掉）。`context.floor_y` 是地面高度**唯一真源**（未传时按调用方「胸口 = 脚底 + 0.65」口径反推，绝不写死 0）。纯视觉无碰撞体，走 `VfxPool3D`（FX01_ZOMBIE_GOO_DEATH）。调用方 `Enemy3D._die()`：`GOO_DEATH_KINDS = [melee_chaser, ranged_caster]` 走 `_spawn_goo_death_burst()` + `_retire_goo_death_visual()`（模型同帧收起、节点本帧回收、不进死亡显影组）⇒ **去掉 2.4s 倒地动画与尸体**；其余怪（胖子 / Boss 等）行为逐字不变。验收 `verify_zombie_goo_death_vfx`（资产契约 / 灯真源 / 三段节奏含停留窗口行为测量 / 尺度变化倍率 4.6 / 地面平铺含倾斜 90° 对照 / `floor_y` 三向对照 / 尺寸线性 / 无碰撞 / 端到端含「死亡同帧模型已收起」与「2 帧内回收」/ 胖子僵尸反向对照，samples=14；反向对照四组：怪种表改成 exploder、PUDDLE_HOLD_SEC 改 0.30、忽略 `context.floor_y` 均精准变红）；`verify_melee_zombie_death_visibility` 同步改写为新契约（死前追踪照旧 / 死后无尸体 / 组不残留 / 结算恰好一次，`--negative-untracked` 反向对照精准变红）。【第二轮订正：本件未改版】业主 2026-10-14 第三轮明确「**小僵尸的死亡特效不要改变**」⇒ 本件回到上面这版（v001），**无绿色冲击波**；中途那一版「放大 2 倍 + 绿色冲击波」被业主指名是**给胖子僵尸用的**，已落在 FX01-17 `VFX-DEATH-BLAST-3D`（v002）。两件现共用 `src/vfx/VfxGooDeathBase3D.gd` 的身体（本件是 v001 的逐字副本），差别只有「尺寸（调用方 1.0 vs 2.0）」与「有没有冲击波（无 vs 有）」两个旋钮。冲击波开关是**子类覆盖点**，验收对两侧都做了断言（本件冲击波数必须为 0 且 `Shockwave*` 节点不存在；FX01-17 必须 3 层且能扫、能收）。</t>
        </is>
      </c>
    </row>
    <row r="39">
      <c r="A39" s="76" t="inlineStr">
        <is>
          <t>VFX-GOO-HIT-3D</t>
        </is>
      </c>
      <c r="B39" s="76" t="inlineStr">
        <is>
          <t>僵尸命中爆点特效</t>
        </is>
      </c>
      <c r="C39" s="76" t="inlineStr">
        <is>
          <t>特效</t>
        </is>
      </c>
      <c r="D39" s="76" t="inlineStr">
        <is>
          <t>战斗反馈</t>
        </is>
      </c>
      <c r="E39" s="76" t="inlineStr">
        <is>
          <t>FX01-20</t>
        </is>
      </c>
      <c r="F39" s="76" t="inlineStr">
        <is>
          <t>root_3d</t>
        </is>
      </c>
      <c r="G39" s="76" t="n"/>
      <c r="H39" s="76" t="inlineStr">
        <is>
          <t>俯视3D</t>
        </is>
      </c>
      <c r="I39" s="76" t="inlineStr">
        <is>
          <t>hit_goo_burst</t>
        </is>
      </c>
      <c r="J39" s="76" t="inlineStr">
        <is>
          <t>小僵尸/警察僵尸/胖子僵尸被枪击或近战命中（跨关卡通用）</t>
        </is>
      </c>
      <c r="K39" s="76" t="inlineStr">
        <is>
          <t>已完成</t>
        </is>
      </c>
      <c r="L39" s="76" t="inlineStr">
        <is>
          <t>P1</t>
        </is>
      </c>
      <c r="M39" s="76" t="inlineStr">
        <is>
          <t>v002</t>
        </is>
      </c>
      <c r="N39" s="76" t="inlineStr">
        <is>
          <t>PackedScene/程序几何（12 枚绿色方块爆开，0.26s；无灯、无碰撞体）</t>
        </is>
      </c>
      <c r="O39" s="76" t="inlineStr">
        <is>
          <t>assets/art/vfx/combat_3d/vfx_goo_hit_root_top3d.tscn</t>
        </is>
      </c>
      <c r="P39" s="76" t="inlineStr">
        <is>
          <t>src/vfx/VfxGooHit3D.gd; src/combat3d/Projectile3D.gd; src/player3d/melee/PlayerMeleeCombat3D.gd</t>
        </is>
      </c>
      <c r="Q39" s="76" t="inlineStr">
        <is>
          <t>僵尸命中;受击;绿方块;爆开;goo-hit;枪击;近战;3D</t>
        </is>
      </c>
      <c r="R39" s="76">
        <f>LOWER(TRIM(C39)&amp;"|"&amp;TRIM(D39)&amp;"|"&amp;TRIM(E39)&amp;"|"&amp;TRIM(F39)&amp;"|"&amp;TRIM(H39)&amp;"|"&amp;TRIM(I39))</f>
        <v/>
      </c>
      <c r="S39" s="76">
        <f>IF(COUNTIF($R$6:$R$53,R39)&gt;1,"重复","唯一")</f>
        <v/>
      </c>
      <c r="T39" s="76" t="inlineStr">
        <is>
          <t>2d932489f0e382a39305c1dd04a9d26b72ad4458e6b745cfe92ea836746b67a2</t>
        </is>
      </c>
      <c r="U39" s="76" t="inlineStr">
        <is>
          <t>摩斯拉</t>
        </is>
      </c>
      <c r="V39" s="77" t="inlineStr">
        <is>
          <t>2026-10-14</t>
        </is>
      </c>
      <c r="W39" s="76" t="inlineStr">
        <is>
          <t>原创程序几何</t>
        </is>
      </c>
      <c r="X39" s="76" t="inlineStr">
        <is>
          <t>FX01-20</t>
        </is>
      </c>
      <c r="Y39" s="76" t="inlineStr">
        <is>
          <t xml:space="preserve">业主口径（2026-10-14）历轮：
① 首版：「使用爆炸粒子 ×12 的这个特效，**作为一个独立特效**，作为打中小僵尸、警察僵尸、胖子僵尸的受到枪击的特效」，追问后明确「**枪击 + 近战都用**」⇒ v001 = 12 枚绿方块从命中点炸开、0.26s。
② **本版 v002**：「**小僵尸和警察僵尸的受击特效太大了**，**使用击中其它物体的那个特效**，然后**改成绿色**即可，放大大概 **10%**」⇒ 造型语言整体换成 FX01-21 `VFX-METAL-SPARK-HIT-3D` 那一套（5 颗方块 + 2 根长条火星），色板换成僵尸绿（方块亮绿 / 长条深一档绿）。本件与 FX01-21 **共用同一个父类** `VfxMetalSparkHit3D`（父类只暴露「资产身份」与「色板三项」两个钩子）⇒ 形状 / 件数 / 方向 / 尺度包络 / 外推曲线 / 长条拉伸**逐字相同**，两件不可能各自漂移。
③ 同轮：「受击的盒子**没有贴着模型**，碰撞盒里陷进去坐标大概 **0.2 米**」⇒ 命中点必须先过 `Enemy3D.hit_effect_anchor()` 沿**外法线反向**收进模型 `HIT_EFFECT_INSET_M = 0.20` 米才出生（弹体是在碰撞壳表面判命中的，壳比模型大一圈）。收进去只对**怪**做 —— 墙面 / 掩体收了会钻进墙里。
「大 10%」**不写在本件内部**，由调用方按档位给：枪击走 `Projectile3D.ZOMBIE_HIT_SIZE_RATIO = 1.10`（`GOO_HIT_SIZE_TARGET/ABSORB = METAL_SPARK_SIZE_TARGET/ABSORB × 1.10` ⇒ 0.374 / 0.462）；近战走 `PlayerMeleeCombat3D.ZOMBIE_HIT_BASE_SIZE = 0.42` —— 近战件那套 `size`（0.88~1.6）是按 FX01-05 的内部基准定的，直接喂给火星造型会把方块放大到糊住半个怪，那正是业主说的「太大」。
AssetID 里的 “goo” 是**历史名**（v001 是绿方块爆开）；保留不改名 —— AssetID 是账本与 Prefab meta 的**稳定键**，改名等于让既有登记条目失锚。
**刻意无灯**：每发子弹 / 每次近战都生成的高频件（射速上限 12 发/s）。
**消费 `context.normal`**（v002 起与 FX01-21 同形 ⇒ 贴合被击面）；近战侧由 `PlayerMeleeCombat3D._hit_surface_normal()` 给「从怪体中心指向玩家」的外法线。
【贴肉落点实测（2026-10-15 复查修正）】**初版只做「固定下沉 0.20m」是不够的，真渲染实拍仍然悬空** ——业主第四轮的「大概 0.2 米」只是初估。根因：碰撞壳是**玩法口径的圆柱**（世界半径 melee 0.714 / ranged 0.770 / fat 0.770，各向同性），模型是**各向异性**的：
  · 小僵尸  壳 0.714 vs 模型半宽 X 0.448 / Z 0.334 ⇒ 正面打，壳面比模型多 0.27~0.38m；
  · 警察僵尸 壳 0.770 vs 模型半宽 X 0.449 / Z 0.602 ⇒ 同上；
  · 胖子僵尸 壳 0.770 vs 模型半宽 X **1.839** / Z 0.712 ⇒ 反过来，壳面**已经在模型里面**。
⇒ 一个常数不可能同时满足三只怪 × 各方向。现改为**按模型实测几何现算**：取「命中高度那一层的横截面 + 全高 Y」的包围盒，沿外法线反向射线求**进入**盒子的距离 `travel`，退让 = `travel + 0.03`（咬进肉里 3cm）；`travel == 0`（命中点已在模型内，胖子僵尸 X 向）时**不推**，否则埋进胖身子读成「从肚子里炸」（实测不加这条守卫会被推深到 0.912）。真渲染复验：小僵尸正面 壳半径 0.714 → 落点 0.302，退 0.412，落点落在模型半宽 0.332 之内、画面里爆点从「圆柱壳外圈」移到**僵尸手臂上**。
踩过的三个坑（都写进代码注释了）：① 用**整只怪**的包围盒 ⇒ 头顶丸子头/脚边件把 Z 半宽从 0.332 撑到 0.622，退让少算 0.29m，解析读数说「距模型 0.000」而画面明显在外圈；必须按**命中高度切片**。② 包围盒**不能缓存** ⇒ 正式模型异步挂载，缓存会锁到「只有占位件」的那一版。③ 「盒心支撑函数」近似不行 ⇒ 支撑平面在角上相切，命中点偏离盒心时会残留 0.32~0.54m 悬空，必须用逐轴 slab 夹逼的射线求交。
【容差】猪队友场景：模型包围盒按**轴对齐**算，而躯干是斜的 ⇒ 背面打会差约 0.25m，下一轮可考虑改用命中高度处的**水平最近顶点**（顶点数很小：小僵尸 1543 / 胖子 1513 / 警察 16468）。
【机位教训】验「某个方向上的一小段位移」时，**机位必须垂直于那段位移** —— 第一版预览用斜前机位，0.2m 正好落在视线方向 ⇒ 两张图肉眼看不出区别（等于没验）；改侧视（沿 +X 看回原点）后才能读出。
【双向判据】验收对「贴肉」是**两侧**都钉的：既要求落点不再悬空（距模型 ≤ 0.05m），也要求**不许比原始壳面命中点更深**（±0.05m）。只判「在盒内」是单向的 —— 实测把包围盒故意算大 2.6 倍，单向判据照样全绿。
</t>
        </is>
      </c>
    </row>
    <row r="40">
      <c r="A40" s="76" t="inlineStr">
        <is>
          <t>VFX-METAL-SPARK-HIT-3D</t>
        </is>
      </c>
      <c r="B40" s="76" t="inlineStr">
        <is>
          <t>金属打击火星命中特效</t>
        </is>
      </c>
      <c r="C40" s="76" t="inlineStr">
        <is>
          <t>特效</t>
        </is>
      </c>
      <c r="D40" s="76" t="inlineStr">
        <is>
          <t>战斗反馈</t>
        </is>
      </c>
      <c r="E40" s="76" t="inlineStr">
        <is>
          <t>FX01-21</t>
        </is>
      </c>
      <c r="F40" s="76" t="inlineStr">
        <is>
          <t>root_3d</t>
        </is>
      </c>
      <c r="G40" s="76" t="n"/>
      <c r="H40" s="76" t="inlineStr">
        <is>
          <t>俯视3D</t>
        </is>
      </c>
      <c r="I40" s="76" t="inlineStr">
        <is>
          <t>hit_metal_spark</t>
        </is>
      </c>
      <c r="J40" s="76" t="inlineStr">
        <is>
          <t>击中非僵尸三兄弟的一切目标（墙面/掩体/地面/其它怪种）</t>
        </is>
      </c>
      <c r="K40" s="76" t="inlineStr">
        <is>
          <t>已完成</t>
        </is>
      </c>
      <c r="L40" s="76" t="inlineStr">
        <is>
          <t>P1</t>
        </is>
      </c>
      <c r="M40" s="76" t="inlineStr">
        <is>
          <t>v001</t>
        </is>
      </c>
      <c r="N40" s="76" t="inlineStr">
        <is>
          <t>PackedScene/程序几何（5 颗白色方块 + 2 根金色长条火星，0.32s；无灯、无碰撞体）</t>
        </is>
      </c>
      <c r="O40" s="76" t="inlineStr">
        <is>
          <t>assets/art/vfx/combat_3d/vfx_metal_spark_hit_root_top3d.tscn</t>
        </is>
      </c>
      <c r="P40" s="76" t="inlineStr">
        <is>
          <t>src/vfx/VfxMetalSparkHit3D.gd; src/combat3d/Projectile3D.gd</t>
        </is>
      </c>
      <c r="Q40" s="76" t="inlineStr">
        <is>
          <t>命中;受击;金属;火星;白色方块;金色长条;metal-spark;切平面;3D</t>
        </is>
      </c>
      <c r="R40" s="76">
        <f>LOWER(TRIM(C40)&amp;"|"&amp;TRIM(D40)&amp;"|"&amp;TRIM(E40)&amp;"|"&amp;TRIM(F40)&amp;"|"&amp;TRIM(H40)&amp;"|"&amp;TRIM(I40))</f>
        <v/>
      </c>
      <c r="S40" s="76">
        <f>IF(COUNTIF($R$6:$R$53,R40)&gt;1,"重复","唯一")</f>
        <v/>
      </c>
      <c r="T40" s="76" t="inlineStr">
        <is>
          <t>79571e7eb19be6b4e8dde1d7c3b050142ba246269ea1770f54f631d1068b94ec</t>
        </is>
      </c>
      <c r="U40" s="76" t="inlineStr">
        <is>
          <t>摩斯拉</t>
        </is>
      </c>
      <c r="V40" s="77" t="inlineStr">
        <is>
          <t>2026-10-14</t>
        </is>
      </c>
      <c r="W40" s="76" t="inlineStr">
        <is>
          <t>原创程序几何</t>
        </is>
      </c>
      <c r="X40" s="76" t="inlineStr">
        <is>
          <t>FX01-21</t>
        </is>
      </c>
      <c r="Y40" s="76" t="inlineStr">
        <is>
          <t>业主口径（2026-10-14）：原本是「原来那个特效缩小 60%，作为击中其它物体的特效」，追问缩小读数后业主改为「**重新制作一个**，通过一个打击到金属的粒子反馈的特效，用白色方块粒子和 2 根长条的金色火星一样飞溅去替代，这个不要用太多粒子，**4-5 颗 + 2 根金色火星**即可」⇒ 本件是**新资产**，不是 VFX-IMPACT-3D 的改版；VFX-IMPACT-3D 保持原样，继续服务它剩下的用途（非僵尸怪种死亡爆点、护盾弹开）。造型：5 颗白方块（`ToonVfxGeometry.unit_cube_mesh()`）+ 2 根金色长条火星（`ToonVfxGeometry.streak_mesh()`，**长轴 = 本地 Z** ⇒ `scale.z` 直接就是米数，长度 0.50 → 1.30 × size，从短粗拉成细长）。朝向契约 `context.normal`（**本件是唯一消费法线的战斗命中件**）：局部 +Y 对齐法线 ⇒ 局部 XZ 就是被击表面；**金色火星在切平面内擦出**（沿表面擦出去，|世界方向·法线| ≤ 0.20 有断言）、白方块沿法线向外喷。朝向用 `Basis.looking_at`（把本地 **-Z** 对到切向）—— 不能写 `Quaternion(UP, dir)`，后者是把 +Y 转过去，会让火星指向天上。**刻意无灯**：与 FX01-20 同理（高频件）。尺寸 `Projectile3D.METAL_SPARK_SIZE_TARGET = 0.34`（业主「受击的特效也不要太大」）。纯视觉无碰撞体，走 VfxPool3D（FX01_METAL_SPARK_HIT）。真渲染校准（`outputs/combat_vfx_batch2/combat_vfx_batch2_timeline.png`）：首版张角 0.34 rad、长 0.22→0.78 ⇒ 两根几乎重叠、读成「一根小凸起」；抬到 0.62 rad / 0.50→1.30 才成了「长条」。首版白方块切向占比 0.35~0.8、外推 0.30m ⇒ 5 颗挤成一坨，抬高切向占比并加大外推后才读成一撮碎屑。</t>
        </is>
      </c>
    </row>
    <row r="41">
      <c r="A41" s="76" t="inlineStr">
        <is>
          <t>VFX-FATE-ROCK-3D</t>
        </is>
      </c>
      <c r="B41" s="76" t="inlineStr">
        <is>
          <t>力量滚石弹</t>
        </is>
      </c>
      <c r="C41" s="76" t="inlineStr">
        <is>
          <t>子弹特效</t>
        </is>
      </c>
      <c r="D41" s="76" t="inlineStr">
        <is>
          <t>combat</t>
        </is>
      </c>
      <c r="E41" s="76" t="inlineStr">
        <is>
          <t>fate_rock</t>
        </is>
      </c>
      <c r="F41" s="76" t="inlineStr">
        <is>
          <t>root_3d</t>
        </is>
      </c>
      <c r="G41" s="76" t="n"/>
      <c r="H41" s="76" t="inlineStr">
        <is>
          <t>俯视3D</t>
        </is>
      </c>
      <c r="I41" s="76" t="inlineStr">
        <is>
          <t>fate_rock</t>
        </is>
      </c>
      <c r="J41" s="76" t="inlineStr">
        <is>
          <t>力量命运卡</t>
        </is>
      </c>
      <c r="K41" s="76" t="inlineStr">
        <is>
          <t>已完成</t>
        </is>
      </c>
      <c r="L41" s="76" t="inlineStr">
        <is>
          <t>P1</t>
        </is>
      </c>
      <c r="M41" s="76" t="inlineStr">
        <is>
          <t>v001</t>
        </is>
      </c>
      <c r="N41" s="76" t="inlineStr">
        <is>
          <t>低多边形石头，直径0.36m；随弹体滚动，不进入VfxPool3D</t>
        </is>
      </c>
      <c r="O41" s="76" t="inlineStr">
        <is>
          <t>assets/art/vfx/combat_3d/vfx_fate_rock_root_top3d.tscn</t>
        </is>
      </c>
      <c r="P41" s="76" t="inlineStr">
        <is>
          <t>src/vfx/VfxFateRock3D.gd; docs/v0.1/14_技术施工_命运塔罗牌组.md</t>
        </is>
      </c>
      <c r="Q41" s="76" t="inlineStr">
        <is>
          <t>命运;力量;滚石;碎裂</t>
        </is>
      </c>
      <c r="R41" s="76">
        <f>LOWER(TRIM(C41)&amp;"|"&amp;TRIM(D41)&amp;"|"&amp;TRIM(E41)&amp;"|"&amp;TRIM(F41)&amp;"|"&amp;TRIM(H41)&amp;"|"&amp;TRIM(I41))</f>
        <v/>
      </c>
      <c r="S41" s="76">
        <f>IF(COUNTIF($R$6:$R$53,R41)&gt;1,"重复","唯一")</f>
        <v/>
      </c>
      <c r="T41" s="76" t="inlineStr">
        <is>
          <t>e85c77c8f7d178fd9cabe8a806e729bd81c4a9cd9969c3ec468cdbb302930138</t>
        </is>
      </c>
      <c r="U41" s="76" t="inlineStr">
        <is>
          <t>Codex</t>
        </is>
      </c>
      <c r="V41" s="77" t="inlineStr">
        <is>
          <t>2026-10-16</t>
        </is>
      </c>
      <c r="W41" s="76" t="inlineStr">
        <is>
          <t>原创Prefab几何</t>
        </is>
      </c>
      <c r="X41" s="76" t="inlineStr">
        <is>
          <t>FX01-22</t>
        </is>
      </c>
      <c r="Y41" s="76" t="inlineStr">
        <is>
          <t>低多边形石头，直径0.36m；随弹体滚动，不进入VfxPool3D；行为由Projectile3D持有；碰撞不在VFX里。；隔离专项及真实渲染已验收，见2026-10-16_star_physical_mounts开发记录。</t>
        </is>
      </c>
    </row>
    <row r="42">
      <c r="A42" s="76" t="inlineStr">
        <is>
          <t>VFX-FATE-ROCK-SHATTER-3D</t>
        </is>
      </c>
      <c r="B42" s="76" t="inlineStr">
        <is>
          <t>力量碎石爆散</t>
        </is>
      </c>
      <c r="C42" s="76" t="inlineStr">
        <is>
          <t>特效</t>
        </is>
      </c>
      <c r="D42" s="76" t="inlineStr">
        <is>
          <t>combat</t>
        </is>
      </c>
      <c r="E42" s="76" t="inlineStr">
        <is>
          <t>fate_rock_shatter</t>
        </is>
      </c>
      <c r="F42" s="76" t="inlineStr">
        <is>
          <t>root_3d</t>
        </is>
      </c>
      <c r="G42" s="76" t="n"/>
      <c r="H42" s="76" t="inlineStr">
        <is>
          <t>俯视3D</t>
        </is>
      </c>
      <c r="I42" s="76" t="inlineStr">
        <is>
          <t>fate_rock_shatter</t>
        </is>
      </c>
      <c r="J42" s="76" t="inlineStr">
        <is>
          <t>力量命运卡</t>
        </is>
      </c>
      <c r="K42" s="76" t="inlineStr">
        <is>
          <t>已完成</t>
        </is>
      </c>
      <c r="L42" s="76" t="inlineStr">
        <is>
          <t>P1</t>
        </is>
      </c>
      <c r="M42" s="76" t="inlineStr">
        <is>
          <t>v001</t>
        </is>
      </c>
      <c r="N42" s="76" t="inlineStr">
        <is>
          <t>8枚石块径向飞散，0.55s；无灯无碰撞；进入VfxPool3D</t>
        </is>
      </c>
      <c r="O42" s="76" t="inlineStr">
        <is>
          <t>assets/art/vfx/combat_3d/vfx_fate_rock_shatter_root_top3d.tscn</t>
        </is>
      </c>
      <c r="P42" s="76" t="inlineStr">
        <is>
          <t>src/vfx/VfxFateRockShatter3D.gd; docs/v0.1/14_技术施工_命运塔罗牌组.md</t>
        </is>
      </c>
      <c r="Q42" s="76" t="inlineStr">
        <is>
          <t>命运;力量;滚石;碎裂</t>
        </is>
      </c>
      <c r="R42" s="76">
        <f>LOWER(TRIM(C42)&amp;"|"&amp;TRIM(D42)&amp;"|"&amp;TRIM(E42)&amp;"|"&amp;TRIM(F42)&amp;"|"&amp;TRIM(H42)&amp;"|"&amp;TRIM(I42))</f>
        <v/>
      </c>
      <c r="S42" s="76">
        <f>IF(COUNTIF($R$6:$R$53,R42)&gt;1,"重复","唯一")</f>
        <v/>
      </c>
      <c r="T42" s="76" t="inlineStr">
        <is>
          <t>8e25fad8d8af63c4f41ea3d8ac6b6ddc44c0a702c7f7fcd546dfac2ebddc4726</t>
        </is>
      </c>
      <c r="U42" s="76" t="inlineStr">
        <is>
          <t>Codex</t>
        </is>
      </c>
      <c r="V42" s="77" t="inlineStr">
        <is>
          <t>2026-10-16</t>
        </is>
      </c>
      <c r="W42" s="76" t="inlineStr">
        <is>
          <t>原创Prefab几何</t>
        </is>
      </c>
      <c r="X42" s="76" t="inlineStr">
        <is>
          <t>FX01-23</t>
        </is>
      </c>
      <c r="Y42" s="76" t="inlineStr">
        <is>
          <t>8枚石块径向飞散，0.55s；无灯无碰撞；进入VfxPool3D；行为由Projectile3D持有；碰撞不在VFX里。；隔离专项及真实渲染已验收，见2026-10-16_star_physical_mounts开发记录。</t>
        </is>
      </c>
    </row>
    <row r="43" ht="70" customHeight="1" s="52">
      <c r="A43" s="76" t="inlineStr">
        <is>
          <t>VFX-MELEE-AXE-CHARGE-3D</t>
        </is>
      </c>
      <c r="B43" s="76" t="inlineStr">
        <is>
          <t>战斧蓄力环</t>
        </is>
      </c>
      <c r="C43" s="76" t="inlineStr">
        <is>
          <t>特效</t>
        </is>
      </c>
      <c r="D43" s="76" t="inlineStr">
        <is>
          <t>combat</t>
        </is>
      </c>
      <c r="E43" s="76" t="inlineStr">
        <is>
          <t>melee_axe_charge</t>
        </is>
      </c>
      <c r="F43" s="76" t="inlineStr">
        <is>
          <t>root_3d</t>
        </is>
      </c>
      <c r="G43" s="76" t="n"/>
      <c r="H43" s="76" t="inlineStr">
        <is>
          <t>俯视3D</t>
        </is>
      </c>
      <c r="I43" s="76" t="inlineStr">
        <is>
          <t>axe_charge</t>
        </is>
      </c>
      <c r="J43" s="76" t="inlineStr">
        <is>
          <t>三类近战</t>
        </is>
      </c>
      <c r="K43" s="76" t="inlineStr">
        <is>
          <t>已完成</t>
        </is>
      </c>
      <c r="L43" s="76" t="inlineStr">
        <is>
          <t>P0</t>
        </is>
      </c>
      <c r="M43" s="76" t="inlineStr">
        <is>
          <t>v001</t>
        </is>
      </c>
      <c r="N43" s="76" t="inlineStr">
        <is>
          <t>静态Prefab几何+Shader；无碰撞</t>
        </is>
      </c>
      <c r="O43" s="76" t="inlineStr">
        <is>
          <t>assets/art/vfx/combat_3d/vfx_axe_charge_root_top3d.tscn</t>
        </is>
      </c>
      <c r="P43" s="76" t="inlineStr">
        <is>
          <t>src/vfx/VfxAxeCharge3D.gd；docs/v0.1/development/2026-10-16_melee_styles_v041.md</t>
        </is>
      </c>
      <c r="Q43" s="76" t="inlineStr">
        <is>
          <t>战斧蓄力环</t>
        </is>
      </c>
      <c r="R43" s="76">
        <f>LOWER(TRIM(C43)&amp;"|"&amp;TRIM(D43)&amp;"|"&amp;TRIM(E43)&amp;"|"&amp;TRIM(F43)&amp;"|"&amp;TRIM(H43)&amp;"|"&amp;TRIM(I43))</f>
        <v/>
      </c>
      <c r="S43" s="76">
        <f>IF(COUNTIF($R$6:$R$53,R43)&gt;1,"重复","唯一")</f>
        <v/>
      </c>
      <c r="T43" s="76" t="inlineStr">
        <is>
          <t>701ecaa4330435775c16ac939922ccc6fc8a17010de45c3240d654b2e71fb8b7</t>
        </is>
      </c>
      <c r="U43" s="76" t="inlineStr">
        <is>
          <t>Codex</t>
        </is>
      </c>
      <c r="V43" s="77" t="n">
        <v>46311</v>
      </c>
      <c r="W43" s="76" t="inlineStr">
        <is>
          <t>原创Godot几何与Shader</t>
        </is>
      </c>
      <c r="X43" s="76" t="inlineStr">
        <is>
          <t>FX01-24</t>
        </is>
      </c>
      <c r="Y43" s="76" t="inlineStr">
        <is>
          <t>收缩橙金双环，随玩家，持有至释放；池化/跟随/回收/真实渲染通过；无伤害逻辑</t>
        </is>
      </c>
    </row>
    <row r="44" ht="70" customHeight="1" s="52">
      <c r="A44" s="76" t="inlineStr">
        <is>
          <t>VFX-MELEE-AXE-CLEAVE-3D</t>
        </is>
      </c>
      <c r="B44" s="76" t="inlineStr">
        <is>
          <t>战斧下劈弧光</t>
        </is>
      </c>
      <c r="C44" s="76" t="inlineStr">
        <is>
          <t>特效</t>
        </is>
      </c>
      <c r="D44" s="76" t="inlineStr">
        <is>
          <t>combat</t>
        </is>
      </c>
      <c r="E44" s="76" t="inlineStr">
        <is>
          <t>melee_axe_cleave</t>
        </is>
      </c>
      <c r="F44" s="76" t="inlineStr">
        <is>
          <t>root_3d</t>
        </is>
      </c>
      <c r="G44" s="76" t="n"/>
      <c r="H44" s="76" t="inlineStr">
        <is>
          <t>俯视3D</t>
        </is>
      </c>
      <c r="I44" s="76" t="inlineStr">
        <is>
          <t>axe_cleave</t>
        </is>
      </c>
      <c r="J44" s="76" t="inlineStr">
        <is>
          <t>三类近战</t>
        </is>
      </c>
      <c r="K44" s="76" t="inlineStr">
        <is>
          <t>已完成</t>
        </is>
      </c>
      <c r="L44" s="76" t="inlineStr">
        <is>
          <t>P0</t>
        </is>
      </c>
      <c r="M44" s="76" t="inlineStr">
        <is>
          <t>v001</t>
        </is>
      </c>
      <c r="N44" s="76" t="inlineStr">
        <is>
          <t>静态Prefab几何+Shader；无碰撞</t>
        </is>
      </c>
      <c r="O44" s="76" t="inlineStr">
        <is>
          <t>assets/art/vfx/combat_3d/vfx_axe_cleave_root_top3d.tscn</t>
        </is>
      </c>
      <c r="P44" s="76" t="inlineStr">
        <is>
          <t>src/vfx/VfxAxeCleave3D.gd；docs/v0.1/development/2026-10-16_melee_styles_v041.md</t>
        </is>
      </c>
      <c r="Q44" s="76" t="inlineStr">
        <is>
          <t>战斧下劈弧光</t>
        </is>
      </c>
      <c r="R44" s="76">
        <f>LOWER(TRIM(C44)&amp;"|"&amp;TRIM(D44)&amp;"|"&amp;TRIM(E44)&amp;"|"&amp;TRIM(F44)&amp;"|"&amp;TRIM(H44)&amp;"|"&amp;TRIM(I44))</f>
        <v/>
      </c>
      <c r="S44" s="76">
        <f>IF(COUNTIF($R$6:$R$53,R44)&gt;1,"重复","唯一")</f>
        <v/>
      </c>
      <c r="T44" s="76" t="inlineStr">
        <is>
          <t>7b5a11e6d3120623b404a81cd62d0e265852cd77fecb41f6c4043ec4459eeb9f</t>
        </is>
      </c>
      <c r="U44" s="76" t="inlineStr">
        <is>
          <t>Codex</t>
        </is>
      </c>
      <c r="V44" s="77" t="n">
        <v>46311</v>
      </c>
      <c r="W44" s="76" t="inlineStr">
        <is>
          <t>原创Godot几何与Shader</t>
        </is>
      </c>
      <c r="X44" s="76" t="inlineStr">
        <is>
          <t>FX01-25</t>
        </is>
      </c>
      <c r="Y44" s="76" t="inlineStr">
        <is>
          <t>竖向橙金弧，随玩家朝向，有效阶段消退；池化/跟随/回收/真实渲染通过；无伤害逻辑</t>
        </is>
      </c>
    </row>
    <row r="45" ht="70" customHeight="1" s="52">
      <c r="A45" s="76" t="inlineStr">
        <is>
          <t>VFX-MELEE-AXE-IMPACT-3D</t>
        </is>
      </c>
      <c r="B45" s="76" t="inlineStr">
        <is>
          <t>战斧触地冲击</t>
        </is>
      </c>
      <c r="C45" s="76" t="inlineStr">
        <is>
          <t>特效</t>
        </is>
      </c>
      <c r="D45" s="76" t="inlineStr">
        <is>
          <t>combat</t>
        </is>
      </c>
      <c r="E45" s="76" t="inlineStr">
        <is>
          <t>melee_axe_impact</t>
        </is>
      </c>
      <c r="F45" s="76" t="inlineStr">
        <is>
          <t>root_3d</t>
        </is>
      </c>
      <c r="G45" s="76" t="n"/>
      <c r="H45" s="76" t="inlineStr">
        <is>
          <t>俯视3D</t>
        </is>
      </c>
      <c r="I45" s="76" t="inlineStr">
        <is>
          <t>axe_impact</t>
        </is>
      </c>
      <c r="J45" s="76" t="inlineStr">
        <is>
          <t>三类近战</t>
        </is>
      </c>
      <c r="K45" s="76" t="inlineStr">
        <is>
          <t>已完成</t>
        </is>
      </c>
      <c r="L45" s="76" t="inlineStr">
        <is>
          <t>P0</t>
        </is>
      </c>
      <c r="M45" s="76" t="inlineStr">
        <is>
          <t>v001</t>
        </is>
      </c>
      <c r="N45" s="76" t="inlineStr">
        <is>
          <t>静态Prefab几何+Shader；无碰撞</t>
        </is>
      </c>
      <c r="O45" s="76" t="inlineStr">
        <is>
          <t>assets/art/vfx/combat_3d/vfx_axe_impact_root_top3d.tscn</t>
        </is>
      </c>
      <c r="P45" s="76" t="inlineStr">
        <is>
          <t>src/vfx/VfxAxeImpact3D.gd；docs/v0.1/development/2026-10-16_melee_styles_v041.md</t>
        </is>
      </c>
      <c r="Q45" s="76" t="inlineStr">
        <is>
          <t>战斧触地冲击</t>
        </is>
      </c>
      <c r="R45" s="76">
        <f>LOWER(TRIM(C45)&amp;"|"&amp;TRIM(D45)&amp;"|"&amp;TRIM(E45)&amp;"|"&amp;TRIM(F45)&amp;"|"&amp;TRIM(H45)&amp;"|"&amp;TRIM(I45))</f>
        <v/>
      </c>
      <c r="S45" s="76">
        <f>IF(COUNTIF($R$6:$R$53,R45)&gt;1,"重复","唯一")</f>
        <v/>
      </c>
      <c r="T45" s="76" t="inlineStr">
        <is>
          <t>46b1b343a0d62d13ad6d04df74e20598630794d1641c128c98682cee05f6e8c5</t>
        </is>
      </c>
      <c r="U45" s="76" t="inlineStr">
        <is>
          <t>Codex</t>
        </is>
      </c>
      <c r="V45" s="77" t="n">
        <v>46311</v>
      </c>
      <c r="W45" s="76" t="inlineStr">
        <is>
          <t>原创Godot几何与Shader</t>
        </is>
      </c>
      <c r="X45" s="76" t="inlineStr">
        <is>
          <t>FX01-26</t>
        </is>
      </c>
      <c r="Y45" s="76" t="inlineStr">
        <is>
          <t>落点扩散环与8枚碎屑，世界锚定；池化/跟随/回收/真实渲染通过；无伤害逻辑</t>
        </is>
      </c>
    </row>
    <row r="46" ht="70" customHeight="1" s="52">
      <c r="A46" s="76" t="inlineStr">
        <is>
          <t>VFX-MELEE-BLADE-SWEEP-3D</t>
        </is>
      </c>
      <c r="B46" s="76" t="inlineStr">
        <is>
          <t>大剑横扫弧光</t>
        </is>
      </c>
      <c r="C46" s="76" t="inlineStr">
        <is>
          <t>特效</t>
        </is>
      </c>
      <c r="D46" s="76" t="inlineStr">
        <is>
          <t>combat</t>
        </is>
      </c>
      <c r="E46" s="76" t="inlineStr">
        <is>
          <t>melee_blade_sweep</t>
        </is>
      </c>
      <c r="F46" s="76" t="inlineStr">
        <is>
          <t>root_3d</t>
        </is>
      </c>
      <c r="G46" s="76" t="n"/>
      <c r="H46" s="76" t="inlineStr">
        <is>
          <t>俯视3D</t>
        </is>
      </c>
      <c r="I46" s="76" t="inlineStr">
        <is>
          <t>blade_sweep</t>
        </is>
      </c>
      <c r="J46" s="76" t="inlineStr">
        <is>
          <t>三类近战</t>
        </is>
      </c>
      <c r="K46" s="76" t="inlineStr">
        <is>
          <t>已完成</t>
        </is>
      </c>
      <c r="L46" s="76" t="inlineStr">
        <is>
          <t>P0</t>
        </is>
      </c>
      <c r="M46" s="76" t="inlineStr">
        <is>
          <t>v001</t>
        </is>
      </c>
      <c r="N46" s="76" t="inlineStr">
        <is>
          <t>静态Prefab几何+Shader；无碰撞</t>
        </is>
      </c>
      <c r="O46" s="76" t="inlineStr">
        <is>
          <t>assets/art/vfx/combat_3d/vfx_blade_sweep_root_top3d.tscn</t>
        </is>
      </c>
      <c r="P46" s="76" t="inlineStr">
        <is>
          <t>src/vfx/VfxBladeSweep3D.gd；docs/v0.1/development/2026-10-16_melee_styles_v041.md</t>
        </is>
      </c>
      <c r="Q46" s="76" t="inlineStr">
        <is>
          <t>大剑横扫弧光</t>
        </is>
      </c>
      <c r="R46" s="76">
        <f>LOWER(TRIM(C46)&amp;"|"&amp;TRIM(D46)&amp;"|"&amp;TRIM(E46)&amp;"|"&amp;TRIM(F46)&amp;"|"&amp;TRIM(H46)&amp;"|"&amp;TRIM(I46))</f>
        <v/>
      </c>
      <c r="S46" s="76">
        <f>IF(COUNTIF($R$6:$R$53,R46)&gt;1,"重复","唯一")</f>
        <v/>
      </c>
      <c r="T46" s="76" t="inlineStr">
        <is>
          <t>6d06196bc0249b8be7713a8407673da3aa627627bff517f0c644a199eebce79b</t>
        </is>
      </c>
      <c r="U46" s="76" t="inlineStr">
        <is>
          <t>Codex</t>
        </is>
      </c>
      <c r="V46" s="77" t="n">
        <v>46311</v>
      </c>
      <c r="W46" s="76" t="inlineStr">
        <is>
          <t>原创Godot几何与Shader</t>
        </is>
      </c>
      <c r="X46" s="76" t="inlineStr">
        <is>
          <t>FX01-27</t>
        </is>
      </c>
      <c r="Y46" s="76" t="inlineStr">
        <is>
          <t>蓝白弧，第二击反向，随玩家；池化/跟随/回收/真实渲染通过；无伤害逻辑</t>
        </is>
      </c>
    </row>
    <row r="47" ht="70" customHeight="1" s="52">
      <c r="A47" s="76" t="inlineStr">
        <is>
          <t>VFX-MELEE-BLADE-WHIRLWIND-3D</t>
        </is>
      </c>
      <c r="B47" s="76" t="inlineStr">
        <is>
          <t>大剑旋风环</t>
        </is>
      </c>
      <c r="C47" s="76" t="inlineStr">
        <is>
          <t>特效</t>
        </is>
      </c>
      <c r="D47" s="76" t="inlineStr">
        <is>
          <t>combat</t>
        </is>
      </c>
      <c r="E47" s="76" t="inlineStr">
        <is>
          <t>melee_blade_whirlwind</t>
        </is>
      </c>
      <c r="F47" s="76" t="inlineStr">
        <is>
          <t>root_3d</t>
        </is>
      </c>
      <c r="G47" s="76" t="n"/>
      <c r="H47" s="76" t="inlineStr">
        <is>
          <t>俯视3D</t>
        </is>
      </c>
      <c r="I47" s="76" t="inlineStr">
        <is>
          <t>blade_whirlwind</t>
        </is>
      </c>
      <c r="J47" s="76" t="inlineStr">
        <is>
          <t>三类近战</t>
        </is>
      </c>
      <c r="K47" s="76" t="inlineStr">
        <is>
          <t>已完成</t>
        </is>
      </c>
      <c r="L47" s="76" t="inlineStr">
        <is>
          <t>P0</t>
        </is>
      </c>
      <c r="M47" s="76" t="inlineStr">
        <is>
          <t>v001</t>
        </is>
      </c>
      <c r="N47" s="76" t="inlineStr">
        <is>
          <t>静态Prefab几何+Shader；无碰撞</t>
        </is>
      </c>
      <c r="O47" s="76" t="inlineStr">
        <is>
          <t>assets/art/vfx/combat_3d/vfx_blade_whirlwind_root_top3d.tscn</t>
        </is>
      </c>
      <c r="P47" s="76" t="inlineStr">
        <is>
          <t>src/vfx/VfxBladeWhirlwind3D.gd；docs/v0.1/development/2026-10-16_melee_styles_v041.md</t>
        </is>
      </c>
      <c r="Q47" s="76" t="inlineStr">
        <is>
          <t>大剑旋风环</t>
        </is>
      </c>
      <c r="R47" s="76">
        <f>LOWER(TRIM(C47)&amp;"|"&amp;TRIM(D47)&amp;"|"&amp;TRIM(E47)&amp;"|"&amp;TRIM(F47)&amp;"|"&amp;TRIM(H47)&amp;"|"&amp;TRIM(I47))</f>
        <v/>
      </c>
      <c r="S47" s="76">
        <f>IF(COUNTIF($R$6:$R$53,R47)&gt;1,"重复","唯一")</f>
        <v/>
      </c>
      <c r="T47" s="76" t="inlineStr">
        <is>
          <t>48ece915e68370e24e06f9f53ed382585176d5bccfb4bf3133359632806dfc41</t>
        </is>
      </c>
      <c r="U47" s="76" t="inlineStr">
        <is>
          <t>Codex</t>
        </is>
      </c>
      <c r="V47" s="77" t="n">
        <v>46311</v>
      </c>
      <c r="W47" s="76" t="inlineStr">
        <is>
          <t>原创Godot几何与Shader</t>
        </is>
      </c>
      <c r="X47" s="76" t="inlineStr">
        <is>
          <t>FX01-28</t>
        </is>
      </c>
      <c r="Y47" s="76" t="inlineStr">
        <is>
          <t>蓝白双层断续环，每0.55秒旋转，释放/中断归还；池化/跟随/回收/真实渲染通过；无伤害逻辑</t>
        </is>
      </c>
    </row>
    <row r="48" ht="70" customHeight="1" s="52">
      <c r="A48" s="76" t="inlineStr">
        <is>
          <t>VFX-FATE-FIRE-3D</t>
        </is>
      </c>
      <c r="B48" s="76" t="inlineStr">
        <is>
          <t>命运火焰跳动</t>
        </is>
      </c>
      <c r="C48" s="76" t="inlineStr">
        <is>
          <t>特效</t>
        </is>
      </c>
      <c r="D48" s="76" t="inlineStr">
        <is>
          <t>status</t>
        </is>
      </c>
      <c r="E48" s="76" t="inlineStr">
        <is>
          <t>fate_fire</t>
        </is>
      </c>
      <c r="F48" s="76" t="inlineStr">
        <is>
          <t>root_3d</t>
        </is>
      </c>
      <c r="G48" s="76" t="n"/>
      <c r="H48" s="76" t="inlineStr">
        <is>
          <t>俯视3D</t>
        </is>
      </c>
      <c r="I48" s="76" t="inlineStr">
        <is>
          <t>fire</t>
        </is>
      </c>
      <c r="J48" s="76" t="inlineStr">
        <is>
          <t>命运元素与战斗伤害</t>
        </is>
      </c>
      <c r="K48" s="76" t="inlineStr">
        <is>
          <t>已完成</t>
        </is>
      </c>
      <c r="L48" s="76" t="inlineStr">
        <is>
          <t>P1</t>
        </is>
      </c>
      <c r="M48" s="76" t="inlineStr">
        <is>
          <t>v001</t>
        </is>
      </c>
      <c r="N48" s="76" t="inlineStr">
        <is>
          <t>4枚橙红火舌错相跳动，状态Owner驱动结束</t>
        </is>
      </c>
      <c r="O48" s="76" t="inlineStr">
        <is>
          <t>assets/art/vfx/combat_3d/vfx_fate_fire_root_top3d.tscn</t>
        </is>
      </c>
      <c r="P48" s="76" t="inlineStr">
        <is>
          <t>src/vfx/VfxFateFire3D.gd; docs/v0.1/14.6_特效系统与制作规范.md</t>
        </is>
      </c>
      <c r="Q48" s="76" t="inlineStr">
        <is>
          <t>命运;低粒子;元素反馈</t>
        </is>
      </c>
      <c r="R48" s="76">
        <f>LOWER(TRIM(C48)&amp;"|"&amp;TRIM(D48)&amp;"|"&amp;TRIM(E48)&amp;"|"&amp;TRIM(F48)&amp;"|"&amp;TRIM(H48)&amp;"|"&amp;TRIM(I48))</f>
        <v/>
      </c>
      <c r="S48" s="76">
        <f>IF(COUNTIF($R$6:$R$53,R48)&gt;1,"重复","唯一")</f>
        <v/>
      </c>
      <c r="T48" s="76" t="inlineStr">
        <is>
          <t>03902f15f0dd9025723b7c9aeb14a08b819a5ca4eda4c38a3a0ca77c9a070991</t>
        </is>
      </c>
      <c r="U48" s="76" t="inlineStr">
        <is>
          <t>Codex</t>
        </is>
      </c>
      <c r="V48" s="77" t="inlineStr">
        <is>
          <t>2026-10-18</t>
        </is>
      </c>
      <c r="W48" s="76" t="inlineStr">
        <is>
          <t>原创Godot Prefab与脚本</t>
        </is>
      </c>
      <c r="X48" s="76" t="inlineStr">
        <is>
          <t>FX01-29</t>
        </is>
      </c>
      <c r="Y48" s="76" t="inlineStr">
        <is>
          <t>独立Prefab；无碰撞；机制与独立真实渲染验证，完整战局压力另验。</t>
        </is>
      </c>
    </row>
    <row r="49" ht="70" customHeight="1" s="52">
      <c r="A49" s="76" t="inlineStr">
        <is>
          <t>VFX-FATE-FROST-3D</t>
        </is>
      </c>
      <c r="B49" s="76" t="inlineStr">
        <is>
          <t>命运脚底冰霜</t>
        </is>
      </c>
      <c r="C49" s="76" t="inlineStr">
        <is>
          <t>特效</t>
        </is>
      </c>
      <c r="D49" s="76" t="inlineStr">
        <is>
          <t>status</t>
        </is>
      </c>
      <c r="E49" s="76" t="inlineStr">
        <is>
          <t>fate_frost</t>
        </is>
      </c>
      <c r="F49" s="76" t="inlineStr">
        <is>
          <t>root_3d</t>
        </is>
      </c>
      <c r="G49" s="76" t="n"/>
      <c r="H49" s="76" t="inlineStr">
        <is>
          <t>俯视3D</t>
        </is>
      </c>
      <c r="I49" s="76" t="inlineStr">
        <is>
          <t>frost</t>
        </is>
      </c>
      <c r="J49" s="76" t="inlineStr">
        <is>
          <t>命运元素与战斗伤害</t>
        </is>
      </c>
      <c r="K49" s="76" t="inlineStr">
        <is>
          <t>已完成</t>
        </is>
      </c>
      <c r="L49" s="76" t="inlineStr">
        <is>
          <t>P1</t>
        </is>
      </c>
      <c r="M49" s="76" t="inlineStr">
        <is>
          <t>v001</t>
        </is>
      </c>
      <c r="N49" s="76" t="inlineStr">
        <is>
          <t>4枚冰晶＋薄霜面，冻结/命运减速期间跟随脚底</t>
        </is>
      </c>
      <c r="O49" s="76" t="inlineStr">
        <is>
          <t>assets/art/vfx/combat_3d/vfx_fate_frost_root_top3d.tscn</t>
        </is>
      </c>
      <c r="P49" s="76" t="inlineStr">
        <is>
          <t>src/vfx/VfxFateFrost3D.gd; docs/v0.1/14.6_特效系统与制作规范.md</t>
        </is>
      </c>
      <c r="Q49" s="76" t="inlineStr">
        <is>
          <t>命运;低粒子;元素反馈</t>
        </is>
      </c>
      <c r="R49" s="76">
        <f>LOWER(TRIM(C49)&amp;"|"&amp;TRIM(D49)&amp;"|"&amp;TRIM(E49)&amp;"|"&amp;TRIM(F49)&amp;"|"&amp;TRIM(H49)&amp;"|"&amp;TRIM(I49))</f>
        <v/>
      </c>
      <c r="S49" s="76">
        <f>IF(COUNTIF($R$6:$R$53,R49)&gt;1,"重复","唯一")</f>
        <v/>
      </c>
      <c r="T49" s="76" t="inlineStr">
        <is>
          <t>e02f112d7004b76aa4211310aaa405666058d372a746f26a5af33f574dd49509</t>
        </is>
      </c>
      <c r="U49" s="76" t="inlineStr">
        <is>
          <t>Codex</t>
        </is>
      </c>
      <c r="V49" s="77" t="inlineStr">
        <is>
          <t>2026-10-18</t>
        </is>
      </c>
      <c r="W49" s="76" t="inlineStr">
        <is>
          <t>原创Godot Prefab与脚本</t>
        </is>
      </c>
      <c r="X49" s="76" t="inlineStr">
        <is>
          <t>FX01-30</t>
        </is>
      </c>
      <c r="Y49" s="76" t="inlineStr">
        <is>
          <t>独立Prefab；无碰撞；机制与独立真实渲染验证，完整战局压力另验。</t>
        </is>
      </c>
    </row>
    <row r="50" ht="70" customHeight="1" s="52">
      <c r="A50" s="76" t="inlineStr">
        <is>
          <t>VFX-FATE-POISON-3D</t>
        </is>
      </c>
      <c r="B50" s="76" t="inlineStr">
        <is>
          <t>命运环绕毒雾</t>
        </is>
      </c>
      <c r="C50" s="76" t="inlineStr">
        <is>
          <t>特效</t>
        </is>
      </c>
      <c r="D50" s="76" t="inlineStr">
        <is>
          <t>status</t>
        </is>
      </c>
      <c r="E50" s="76" t="inlineStr">
        <is>
          <t>fate_poison</t>
        </is>
      </c>
      <c r="F50" s="76" t="inlineStr">
        <is>
          <t>root_3d</t>
        </is>
      </c>
      <c r="G50" s="76" t="n"/>
      <c r="H50" s="76" t="inlineStr">
        <is>
          <t>俯视3D</t>
        </is>
      </c>
      <c r="I50" s="76" t="inlineStr">
        <is>
          <t>poison</t>
        </is>
      </c>
      <c r="J50" s="76" t="inlineStr">
        <is>
          <t>命运元素与战斗伤害</t>
        </is>
      </c>
      <c r="K50" s="76" t="inlineStr">
        <is>
          <t>已完成</t>
        </is>
      </c>
      <c r="L50" s="76" t="inlineStr">
        <is>
          <t>P1</t>
        </is>
      </c>
      <c r="M50" s="76" t="inlineStr">
        <is>
          <t>v001</t>
        </is>
      </c>
      <c r="N50" s="76" t="inlineStr">
        <is>
          <t>4团半透明绿雾环绕，叠层不增加粒子</t>
        </is>
      </c>
      <c r="O50" s="76" t="inlineStr">
        <is>
          <t>assets/art/vfx/combat_3d/vfx_fate_poison_root_top3d.tscn</t>
        </is>
      </c>
      <c r="P50" s="76" t="inlineStr">
        <is>
          <t>src/vfx/VfxFatePoison3D.gd; docs/v0.1/14.6_特效系统与制作规范.md</t>
        </is>
      </c>
      <c r="Q50" s="76" t="inlineStr">
        <is>
          <t>命运;低粒子;元素反馈</t>
        </is>
      </c>
      <c r="R50" s="76">
        <f>LOWER(TRIM(C50)&amp;"|"&amp;TRIM(D50)&amp;"|"&amp;TRIM(E50)&amp;"|"&amp;TRIM(F50)&amp;"|"&amp;TRIM(H50)&amp;"|"&amp;TRIM(I50))</f>
        <v/>
      </c>
      <c r="S50" s="76">
        <f>IF(COUNTIF($R$6:$R$53,R50)&gt;1,"重复","唯一")</f>
        <v/>
      </c>
      <c r="T50" s="76" t="inlineStr">
        <is>
          <t>ecc785a682d13974154067c6c34c5c3fa8f10778054f830789aad4b34654929a</t>
        </is>
      </c>
      <c r="U50" s="76" t="inlineStr">
        <is>
          <t>Codex</t>
        </is>
      </c>
      <c r="V50" s="77" t="inlineStr">
        <is>
          <t>2026-10-18</t>
        </is>
      </c>
      <c r="W50" s="76" t="inlineStr">
        <is>
          <t>原创Godot Prefab与脚本</t>
        </is>
      </c>
      <c r="X50" s="76" t="inlineStr">
        <is>
          <t>FX01-31</t>
        </is>
      </c>
      <c r="Y50" s="76" t="inlineStr">
        <is>
          <t>独立Prefab；无碰撞；机制与独立真实渲染验证，完整战局压力另验。</t>
        </is>
      </c>
    </row>
    <row r="51" ht="70" customHeight="1" s="52">
      <c r="A51" s="76" t="inlineStr">
        <is>
          <t>VFX-FATE-LIGHTNING-3D</t>
        </is>
      </c>
      <c r="B51" s="76" t="inlineStr">
        <is>
          <t>命运连锁闪电</t>
        </is>
      </c>
      <c r="C51" s="76" t="inlineStr">
        <is>
          <t>特效</t>
        </is>
      </c>
      <c r="D51" s="76" t="inlineStr">
        <is>
          <t>combat</t>
        </is>
      </c>
      <c r="E51" s="76" t="inlineStr">
        <is>
          <t>fate_lightning</t>
        </is>
      </c>
      <c r="F51" s="76" t="inlineStr">
        <is>
          <t>root_3d</t>
        </is>
      </c>
      <c r="G51" s="76" t="n"/>
      <c r="H51" s="76" t="inlineStr">
        <is>
          <t>俯视3D</t>
        </is>
      </c>
      <c r="I51" s="76" t="inlineStr">
        <is>
          <t>lightning</t>
        </is>
      </c>
      <c r="J51" s="76" t="inlineStr">
        <is>
          <t>命运元素与战斗伤害</t>
        </is>
      </c>
      <c r="K51" s="76" t="inlineStr">
        <is>
          <t>已完成</t>
        </is>
      </c>
      <c r="L51" s="76" t="inlineStr">
        <is>
          <t>P1</t>
        </is>
      </c>
      <c r="M51" s="76" t="inlineStr">
        <is>
          <t>v001</t>
        </is>
      </c>
      <c r="N51" s="76" t="inlineStr">
        <is>
          <t>4枚火星（两端各2）＋6段电弧/光晕；0.045s飞出，0.20s收尾</t>
        </is>
      </c>
      <c r="O51" s="76" t="inlineStr">
        <is>
          <t>assets/art/vfx/combat_3d/vfx_fate_lightning_root_top3d.tscn</t>
        </is>
      </c>
      <c r="P51" s="76" t="inlineStr">
        <is>
          <t>src/vfx/VfxFateLightning3D.gd; docs/v0.1/14.6_特效系统与制作规范.md</t>
        </is>
      </c>
      <c r="Q51" s="76" t="inlineStr">
        <is>
          <t>命运;低粒子;元素反馈</t>
        </is>
      </c>
      <c r="R51" s="76">
        <f>LOWER(TRIM(C51)&amp;"|"&amp;TRIM(D51)&amp;"|"&amp;TRIM(E51)&amp;"|"&amp;TRIM(F51)&amp;"|"&amp;TRIM(H51)&amp;"|"&amp;TRIM(I51))</f>
        <v/>
      </c>
      <c r="S51" s="76">
        <f>IF(COUNTIF($R$6:$R$53,R51)&gt;1,"重复","唯一")</f>
        <v/>
      </c>
      <c r="T51" s="76" t="inlineStr">
        <is>
          <t>e7c4d18cc74177f6146c0f7bc9545671ab976479b7280db63dda40a300bb8e39</t>
        </is>
      </c>
      <c r="U51" s="76" t="inlineStr">
        <is>
          <t>Codex</t>
        </is>
      </c>
      <c r="V51" s="77" t="inlineStr">
        <is>
          <t>2026-10-18</t>
        </is>
      </c>
      <c r="W51" s="76" t="inlineStr">
        <is>
          <t>原创Godot Prefab与脚本</t>
        </is>
      </c>
      <c r="X51" s="76" t="inlineStr">
        <is>
          <t>FX01-32</t>
        </is>
      </c>
      <c r="Y51" s="76" t="inlineStr">
        <is>
          <t>独立Prefab；无碰撞；机制与独立真实渲染验证，完整战局压力另验。</t>
        </is>
      </c>
    </row>
    <row r="52" ht="70" customHeight="1" s="52">
      <c r="A52" s="76" t="inlineStr">
        <is>
          <t>VFX-DAMAGE-NUMBER-3D</t>
        </is>
      </c>
      <c r="B52" s="76" t="inlineStr">
        <is>
          <t>伤害数字飘字特效</t>
        </is>
      </c>
      <c r="C52" s="76" t="inlineStr">
        <is>
          <t>特效</t>
        </is>
      </c>
      <c r="D52" s="76" t="inlineStr">
        <is>
          <t>combat</t>
        </is>
      </c>
      <c r="E52" s="76" t="inlineStr">
        <is>
          <t>damage_number_3d</t>
        </is>
      </c>
      <c r="F52" s="76" t="inlineStr">
        <is>
          <t>root_3d</t>
        </is>
      </c>
      <c r="G52" s="76" t="n"/>
      <c r="H52" s="76" t="inlineStr">
        <is>
          <t>俯视3D</t>
        </is>
      </c>
      <c r="I52" s="76" t="inlineStr">
        <is>
          <t>damage_number</t>
        </is>
      </c>
      <c r="J52" s="76" t="inlineStr">
        <is>
          <t>命运元素与战斗伤害</t>
        </is>
      </c>
      <c r="K52" s="76" t="inlineStr">
        <is>
          <t>已完成</t>
        </is>
      </c>
      <c r="L52" s="76" t="inlineStr">
        <is>
          <t>P1</t>
        </is>
      </c>
      <c r="M52" s="76" t="inlineStr">
        <is>
          <t>v005</t>
        </is>
      </c>
      <c r="N52" s="76" t="inlineStr">
        <is>
          <t>元素配色；0.56s先快后慢上升0.90m；字形与描边13/15/17保持</t>
        </is>
      </c>
      <c r="O52" s="76" t="inlineStr">
        <is>
          <t>assets/art/vfx/combat_3d/vfx_damage_number_root_top3d.tscn</t>
        </is>
      </c>
      <c r="P52" s="76" t="inlineStr">
        <is>
          <t>src/vfx/VfxDamageNumber3D.gd; docs/v0.1/14.6_特效系统与制作规范.md</t>
        </is>
      </c>
      <c r="Q52" s="76" t="inlineStr">
        <is>
          <t>命运;低粒子;元素反馈</t>
        </is>
      </c>
      <c r="R52" s="76">
        <f>LOWER(TRIM(C52)&amp;"|"&amp;TRIM(D52)&amp;"|"&amp;TRIM(E52)&amp;"|"&amp;TRIM(F52)&amp;"|"&amp;TRIM(H52)&amp;"|"&amp;TRIM(I52))</f>
        <v/>
      </c>
      <c r="S52" s="76">
        <f>IF(COUNTIF($R$6:$R$53,R52)&gt;1,"重复","唯一")</f>
        <v/>
      </c>
      <c r="T52" s="76" t="inlineStr">
        <is>
          <t>a6f316bb5949dbcc1216782f92d014a5c5ffdde0ab73b31abad90b787d7f36cd</t>
        </is>
      </c>
      <c r="U52" s="76" t="inlineStr">
        <is>
          <t>Codex</t>
        </is>
      </c>
      <c r="V52" s="77" t="inlineStr">
        <is>
          <t>2026-10-18</t>
        </is>
      </c>
      <c r="W52" s="76" t="inlineStr">
        <is>
          <t>原创Godot Prefab与脚本</t>
        </is>
      </c>
      <c r="X52" s="76" t="inlineStr">
        <is>
          <t>FX02-01</t>
        </is>
      </c>
      <c r="Y52" s="76" t="inlineStr">
        <is>
          <t>独立Prefab；无碰撞；机制与独立真实渲染验证，完整战局压力另验。</t>
        </is>
      </c>
    </row>
    <row r="53" ht="70" customHeight="1" s="52">
      <c r="A53" s="76" t="inlineStr">
        <is>
          <t>VFX-BOARD-DEBRIS-3D</t>
        </is>
      </c>
      <c r="B53" s="76" t="inlineStr">
        <is>
          <t>暗门木板碎块飞溅</t>
        </is>
      </c>
      <c r="C53" s="76" t="inlineStr">
        <is>
          <t>特效</t>
        </is>
      </c>
      <c r="D53" s="76" t="inlineStr">
        <is>
          <t>combat</t>
        </is>
      </c>
      <c r="E53" s="76" t="inlineStr">
        <is>
          <t>board_debris_3d</t>
        </is>
      </c>
      <c r="F53" s="76" t="inlineStr">
        <is>
          <t>root_3d</t>
        </is>
      </c>
      <c r="G53" s="76" t="n"/>
      <c r="H53" s="76" t="inlineStr">
        <is>
          <t>空间3D（朝房间侧）</t>
        </is>
      </c>
      <c r="I53" s="76" t="inlineStr">
        <is>
          <t>board_debris</t>
        </is>
      </c>
      <c r="J53" s="76" t="inlineStr">
        <is>
          <t>暗门破板事件</t>
        </is>
      </c>
      <c r="K53" s="76" t="inlineStr">
        <is>
          <t>已完成</t>
        </is>
      </c>
      <c r="L53" s="76" t="inlineStr">
        <is>
          <t>P1</t>
        </is>
      </c>
      <c r="M53" s="76" t="inlineStr">
        <is>
          <t>v001</t>
        </is>
      </c>
      <c r="N53" s="76" t="inlineStr">
        <is>
          <t>8 大块（0.36~0.58m 长 × 0.16~0.26m 宽 × 0.07~0.10m 厚）+ 5 片小碎屑（0.045~0.085m）；2.85s 寿命；散布 3~5m</t>
        </is>
      </c>
      <c r="O53" s="76" t="inlineStr">
        <is>
          <t>assets/art/vfx/combat_3d/vfx_board_debris_root_top3d.tscn</t>
        </is>
      </c>
      <c r="P53" s="76" t="inlineStr">
        <is>
          <t>src/vfx/VfxBoardDebris3D.gd; docs/v0.1/14.6_特效系统与制作规范.md</t>
        </is>
      </c>
      <c r="Q53" s="76" t="inlineStr">
        <is>
          <t>暗门;破板;木块;碎屑;大块;木板崩飞</t>
        </is>
      </c>
      <c r="R53" s="76">
        <f>LOWER(TRIM(C53)&amp;"|"&amp;TRIM(D53)&amp;"|"&amp;TRIM(E53)&amp;"|"&amp;TRIM(F53)&amp;"|"&amp;TRIM(H53)&amp;"|"&amp;TRIM(I53))</f>
        <v/>
      </c>
      <c r="S53" s="76">
        <f>IF(COUNTIF($R$6:$R$53,R53)&gt;1,"重复","唯一")</f>
        <v/>
      </c>
      <c r="T53" s="76" t="inlineStr">
        <is>
          <t>8ca910cb20b27581965cff304912b70575b5bfd1ea6e79ea34f565e51ef7e4e5</t>
        </is>
      </c>
      <c r="U53" s="76" t="inlineStr">
        <is>
          <t>Codex</t>
        </is>
      </c>
      <c r="V53" s="77" t="inlineStr">
        <is>
          <t>2026-10-19</t>
        </is>
      </c>
      <c r="W53" s="76" t="inlineStr">
        <is>
          <t>原创Godot Prefab与脚本</t>
        </is>
      </c>
      <c r="X53" s="76" t="inlineStr">
        <is>
          <t>FX01-33</t>
        </is>
      </c>
      <c r="Y53" s="76" t="inlineStr">
        <is>
          <t>2026-10-19 新建（业主：「做一个门被打碎的木头飞出来的特效，大块一点的」）。8 大块 + 5 片小碎屑，程序化抛物飞行 → 触地弹跳 1 次 → 贴地滑行 → 放平静止（不接物理引擎，无碰撞体）；自带 DebrisLight（峰值 1.5 / 范围 3.6m / 无阴影 / 0.55s 归零）——塔内夜间光，无灯就是黑剪影。材质：金属度 metallic=0.0 / 反光度 roughness=0.86（PER_PIXEL 受光）+ 自发光 0.38（暗房里保住「木头」读法）。确定性：脚本内无 randf()，散开由调用方给的 context.seed 派生（同 seed 逐位可复现）。调用方 SecretDoor3D._break_open()：只在真打破时播，读档恢复 / 静默打开不重播。验收 tests/verification/verify_board_debris_vfx.tscn（9 条，含大块下限 0.30m + 上限 0.65m 双向）。</t>
        </is>
      </c>
    </row>
    <row r="79" ht="154.5" customHeight="1" s="52"/>
    <row r="113" ht="154.5" customHeight="1" s="52"/>
    <row r="120" ht="154.5" customHeight="1" s="52"/>
    <row r="123" ht="154.5" customHeight="1" s="52"/>
    <row r="124" ht="33.75" customHeight="1" s="52"/>
    <row r="125" ht="33.75" customHeight="1" s="52"/>
    <row r="126" ht="33.75" customHeight="1" s="52"/>
    <row r="127" ht="33.75" customHeight="1" s="52"/>
    <row r="128" ht="154.5" customHeight="1" s="52"/>
    <row r="129" ht="33.75" customHeight="1" s="52"/>
    <row r="130" ht="33.75" customHeight="1" s="52"/>
    <row r="131" ht="33.75" customHeight="1" s="52"/>
    <row r="132" ht="33.75" customHeight="1" s="52"/>
    <row r="133" ht="33.75" customHeight="1" s="52"/>
    <row r="134" ht="33.75" customHeight="1" s="52"/>
    <row r="135" ht="33.75" customHeight="1" s="52"/>
    <row r="136" ht="33.75" customHeight="1" s="52"/>
    <row r="137" ht="33.75" customHeight="1" s="52"/>
    <row r="138" ht="33.75" customHeight="1" s="52"/>
    <row r="139" ht="33.75" customHeight="1" s="52"/>
    <row r="143" ht="154.5" customHeight="1" s="52"/>
    <row r="146" ht="43.5" customHeight="1" s="52"/>
    <row r="147" ht="43.5" customHeight="1" s="52"/>
    <row r="148" ht="43.5" customHeight="1" s="52"/>
    <row r="149" ht="43.5" customHeight="1" s="52"/>
    <row r="150" ht="43.5" customHeight="1" s="52"/>
    <row r="151" ht="43.5" customHeight="1" s="52"/>
    <row r="152" ht="43.5" customHeight="1" s="52"/>
    <row r="153" ht="43.5" customHeight="1" s="52"/>
    <row r="154" ht="43.5" customHeight="1" s="52"/>
    <row r="155" ht="43.5" customHeight="1" s="52"/>
    <row r="156" ht="132" customHeight="1" s="52"/>
    <row r="157" ht="117.75" customHeight="1" s="52"/>
    <row r="158" ht="117.75" customHeight="1" s="52"/>
    <row r="159" ht="117.75" customHeight="1" s="52"/>
    <row r="160" ht="117.75" customHeight="1" s="52"/>
    <row r="161" ht="132" customHeight="1" s="52"/>
    <row r="162" ht="132" customHeight="1" s="52"/>
    <row r="163" ht="154.5" customHeight="1" s="52"/>
    <row r="164" ht="132" customHeight="1" s="52"/>
    <row r="165" ht="132" customHeight="1" s="52"/>
    <row r="166" ht="132" customHeight="1" s="52"/>
    <row r="167" ht="154.5" customHeight="1" s="52"/>
    <row r="168" ht="219.75" customHeight="1" s="52"/>
    <row r="169" ht="219.75" customHeight="1" s="52"/>
    <row r="172" ht="42" customHeight="1" s="52"/>
    <row r="173" ht="42" customHeight="1" s="52"/>
    <row r="174" ht="43.5" customHeight="1" s="52"/>
    <row r="175" ht="43.5" customHeight="1" s="52"/>
    <row r="176" ht="43.5" customHeight="1" s="52"/>
    <row r="177" ht="43.5" customHeight="1" s="52"/>
    <row r="178" ht="43.5" customHeight="1" s="52"/>
    <row r="179" ht="43.5" customHeight="1" s="52"/>
    <row r="180" ht="43.5" customHeight="1" s="52"/>
    <row r="181" ht="43.5" customHeight="1" s="52"/>
    <row r="182" ht="43.5" customHeight="1" s="52"/>
    <row r="183" ht="43.5" customHeight="1" s="52"/>
    <row r="184" ht="43.5" customHeight="1" s="52"/>
    <row r="185" ht="43.5" customHeight="1" s="52"/>
    <row r="186" ht="43.5" customHeight="1" s="52"/>
    <row r="187" ht="43.5" customHeight="1" s="52"/>
    <row r="188" ht="43.5" customHeight="1" s="52"/>
    <row r="189" ht="43.5" customHeight="1" s="52"/>
    <row r="190" ht="43.5" customHeight="1" s="52"/>
    <row r="191" ht="43.5" customHeight="1" s="52"/>
    <row r="192" ht="43.5" customHeight="1" s="52"/>
    <row r="193" ht="43.5" customHeight="1" s="52"/>
    <row r="194" ht="43.5" customHeight="1" s="52"/>
    <row r="195" ht="43.5" customHeight="1" s="52"/>
    <row r="196" ht="43.5" customHeight="1" s="52"/>
    <row r="197" ht="43.5" customHeight="1" s="52"/>
    <row r="198" ht="43.5" customHeight="1" s="52"/>
    <row r="199" ht="43.5" customHeight="1" s="52"/>
    <row r="200" ht="43.5" customHeight="1" s="52"/>
    <row r="201" ht="43.5" customHeight="1" s="52"/>
    <row r="202" ht="43.5" customHeight="1" s="52"/>
    <row r="203" ht="43.5" customHeight="1" s="52"/>
    <row r="204" ht="43.5" customHeight="1" s="52"/>
    <row r="240" ht="255" customHeight="1" s="52"/>
    <row r="281" ht="66" customHeight="1" s="52"/>
    <row r="282" ht="66" customHeight="1" s="52"/>
    <row r="283" ht="66" customHeight="1" s="52"/>
    <row r="284" ht="66" customHeight="1" s="52"/>
    <row r="285" ht="66" customHeight="1" s="52"/>
    <row r="286" ht="66" customHeight="1" s="52"/>
    <row r="287" ht="55.5" customHeight="1" s="52"/>
    <row r="301" ht="132" customHeight="1" s="52"/>
    <row r="302" ht="54" customHeight="1" s="52"/>
    <row r="303" ht="54" customHeight="1" s="52"/>
    <row r="304" ht="54" customHeight="1" s="52"/>
    <row r="305" ht="54" customHeight="1" s="52"/>
    <row r="306" ht="54" customHeight="1" s="52"/>
    <row r="307" ht="54" customHeight="1" s="52"/>
    <row r="308" ht="54" customHeight="1" s="52"/>
    <row r="309" ht="54" customHeight="1" s="52"/>
    <row r="310" ht="54" customHeight="1" s="52"/>
    <row r="311" ht="72" customHeight="1" s="52"/>
    <row r="312" ht="54" customHeight="1" s="52"/>
    <row r="313" ht="54" customHeight="1" s="52"/>
    <row r="314" ht="54" customHeight="1" s="52"/>
    <row r="315" ht="54" customHeight="1" s="52"/>
    <row r="316" ht="54" customHeight="1" s="52"/>
    <row r="317" ht="54" customHeight="1" s="52"/>
    <row r="318" ht="54" customHeight="1" s="52"/>
    <row r="319" ht="54" customHeight="1" s="52"/>
    <row r="320" ht="54" customHeight="1" s="52"/>
    <row r="321" ht="54" customHeight="1" s="52"/>
    <row r="322" ht="54" customHeight="1" s="52"/>
    <row r="323" ht="54" customHeight="1" s="52"/>
    <row r="324" ht="54" customHeight="1" s="52"/>
    <row r="325" ht="54" customHeight="1" s="52"/>
    <row r="326" ht="54" customHeight="1" s="52"/>
    <row r="327" ht="54" customHeight="1" s="52"/>
    <row r="328" ht="54" customHeight="1" s="52"/>
    <row r="329" ht="54" customHeight="1" s="52"/>
    <row r="330" ht="54" customHeight="1" s="52"/>
    <row r="331" ht="54" customHeight="1" s="52"/>
    <row r="332" ht="54" customHeight="1" s="52"/>
    <row r="333" ht="54" customHeight="1" s="52"/>
    <row r="334" ht="54" customHeight="1" s="52"/>
    <row r="335" ht="54" customHeight="1" s="52"/>
    <row r="336" ht="54" customHeight="1" s="52"/>
    <row r="337" ht="54" customHeight="1" s="52"/>
    <row r="338" ht="54" customHeight="1" s="52"/>
    <row r="339" ht="54" customHeight="1" s="52"/>
    <row r="340" ht="54" customHeight="1" s="52"/>
    <row r="341" ht="54" customHeight="1" s="52"/>
    <row r="342" ht="54" customHeight="1" s="52"/>
    <row r="343" ht="54" customHeight="1" s="52"/>
    <row r="344" ht="54" customHeight="1" s="52"/>
    <row r="345" ht="54" customHeight="1" s="52"/>
    <row r="346" ht="54" customHeight="1" s="52"/>
    <row r="347" ht="54" customHeight="1" s="52"/>
    <row r="348" ht="54" customHeight="1" s="52"/>
    <row r="349" ht="54" customHeight="1" s="52"/>
    <row r="350" ht="54" customHeight="1" s="52"/>
    <row r="351" ht="54" customHeight="1" s="52"/>
    <row r="352" ht="54" customHeight="1" s="52"/>
    <row r="353" ht="54" customHeight="1" s="52"/>
    <row r="354" ht="54" customHeight="1" s="52"/>
    <row r="355" ht="54" customHeight="1" s="52"/>
    <row r="356" ht="54" customHeight="1" s="52"/>
    <row r="357" ht="54" customHeight="1" s="52"/>
    <row r="358" ht="54" customHeight="1" s="52"/>
    <row r="359" ht="72" customHeight="1" s="52"/>
    <row r="360" ht="54" customHeight="1" s="52"/>
    <row r="361" ht="54" customHeight="1" s="52"/>
    <row r="362" ht="54" customHeight="1" s="52"/>
    <row r="363" ht="54" customHeight="1" s="52"/>
    <row r="364" ht="54" customHeight="1" s="52"/>
    <row r="365" ht="54" customHeight="1" s="52"/>
    <row r="366" ht="54" customHeight="1" s="52"/>
    <row r="367" ht="54" customHeight="1" s="52"/>
    <row r="368" ht="72" customHeight="1" s="52"/>
    <row r="369" ht="54" customHeight="1" s="52"/>
    <row r="370" ht="54" customHeight="1" s="52"/>
    <row r="371" ht="54" customHeight="1" s="52"/>
    <row r="372" ht="54" customHeight="1" s="52"/>
    <row r="373" ht="54" customHeight="1" s="52"/>
    <row r="374" ht="54" customHeight="1" s="52"/>
    <row r="375" ht="54" customHeight="1" s="52"/>
    <row r="376" ht="54" customHeight="1" s="52"/>
    <row r="377" ht="54" customHeight="1" s="52"/>
    <row r="378" ht="54" customHeight="1" s="52"/>
    <row r="379" ht="54" customHeight="1" s="52"/>
    <row r="380" ht="54" customHeight="1" s="52"/>
    <row r="381" ht="54" customHeight="1" s="52"/>
    <row r="382" ht="54" customHeight="1" s="52"/>
    <row r="383" ht="54" customHeight="1" s="52"/>
    <row r="384" ht="54" customHeight="1" s="52"/>
    <row r="385" ht="54" customHeight="1" s="52"/>
    <row r="386" ht="54" customHeight="1" s="52"/>
    <row r="387" ht="54" customHeight="1" s="52"/>
    <row r="388" ht="54" customHeight="1" s="52"/>
    <row r="389" ht="54" customHeight="1" s="52"/>
    <row r="390" ht="54" customHeight="1" s="52"/>
    <row r="391" ht="54" customHeight="1" s="52"/>
    <row r="392" ht="54" customHeight="1" s="52"/>
    <row r="393" ht="54" customHeight="1" s="52"/>
    <row r="394" ht="54" customHeight="1" s="52"/>
    <row r="395" ht="54" customHeight="1" s="52"/>
    <row r="396" ht="54" customHeight="1" s="52"/>
    <row r="397" ht="54" customHeight="1" s="52"/>
    <row r="398" ht="54" customHeight="1" s="52"/>
    <row r="399" ht="54" customHeight="1" s="52"/>
    <row r="400" ht="54" customHeight="1" s="52"/>
    <row r="401" ht="54" customHeight="1" s="52"/>
    <row r="402" ht="54" customHeight="1" s="52"/>
    <row r="403" ht="54" customHeight="1" s="52"/>
    <row r="404" ht="54" customHeight="1" s="52"/>
    <row r="405" ht="54" customHeight="1" s="52"/>
    <row r="406" ht="54" customHeight="1" s="52"/>
    <row r="407" ht="54" customHeight="1" s="52"/>
    <row r="408" ht="54" customHeight="1" s="52"/>
    <row r="409" ht="54" customHeight="1" s="52"/>
    <row r="410" ht="54" customHeight="1" s="52"/>
    <row r="411" ht="54" customHeight="1" s="52"/>
    <row r="412" ht="54" customHeight="1" s="52"/>
    <row r="413" ht="75.75" customHeight="1" s="52"/>
    <row r="414" ht="72" customHeight="1" s="52"/>
    <row r="415" ht="72" customHeight="1" s="52"/>
    <row r="416" ht="72" customHeight="1" s="52"/>
    <row r="424" ht="84.75" customHeight="1" s="52"/>
    <row r="425" ht="84.75" customHeight="1" s="52"/>
    <row r="426" ht="84.75" customHeight="1" s="52"/>
    <row r="427" ht="84.75" customHeight="1" s="52"/>
    <row r="429" ht="120" customHeight="1" s="52"/>
  </sheetData>
  <autoFilter ref="A5:Y52"/>
  <mergeCells count="2">
    <mergeCell ref="A1:X2"/>
    <mergeCell ref="A3:X3"/>
  </mergeCells>
  <conditionalFormatting sqref="S6:S34">
    <cfRule type="containsText" priority="1" operator="containsText" dxfId="6" text="重复"/>
  </conditionalFormatting>
  <conditionalFormatting sqref="K6:K34">
    <cfRule type="containsText" priority="2" operator="containsText" dxfId="7" text="已完成"/>
    <cfRule type="containsText" priority="3" operator="containsText" dxfId="8" text="待制作"/>
  </conditionalFormatting>
  <dataValidations count="3">
    <dataValidation sqref="C6:C53" showDropDown="0" showInputMessage="0" showErrorMessage="0" allowBlank="1" type="list">
      <formula1>"角色,敌人,武器,道具,场景,场景道具,基地资产包,UI,特效,子弹特效,音效,音乐"</formula1>
    </dataValidation>
    <dataValidation sqref="K6:K53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53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51" min="1" max="1"/>
    <col width="25.07" customWidth="1" style="51" min="2" max="2"/>
    <col width="52.52" customWidth="1" style="51" min="3" max="3"/>
    <col width="50.13" customWidth="1" style="51" min="4" max="4"/>
    <col width="45.35" customWidth="1" style="51" min="5" max="5"/>
    <col width="32.22" customWidth="1" style="51" min="6" max="6"/>
    <col width="42.97" customWidth="1" style="51" min="7" max="7"/>
    <col width="11.94" customWidth="1" style="51" min="8" max="8"/>
    <col width="14.33" customWidth="1" style="51" min="9" max="9"/>
    <col width="21.48" customWidth="1" style="51" min="10" max="10"/>
    <col width="31.03" customWidth="1" style="51" min="11" max="11"/>
    <col width="28.65" customWidth="1" style="51" min="12" max="13"/>
    <col width="26.26" customWidth="1" style="51" min="14" max="14"/>
    <col width="11.94" customWidth="1" style="51" min="15" max="15"/>
    <col width="52.52" customWidth="1" style="51" min="16" max="16"/>
  </cols>
  <sheetData>
    <row r="1" ht="30" customHeight="1" s="52">
      <c r="A1" s="82" t="inlineStr">
        <is>
          <t>ShellStorm2 · 特效 3D Prefab</t>
        </is>
      </c>
    </row>
    <row r="2" ht="33.75" customHeight="1" s="52">
      <c r="A2" s="83" t="inlineStr">
        <is>
          <t>特效按独立 Prefab 原则：每个特效一个独立 .tscn；Prefab 是特效唯一出口；账本和调用代码读 Prefab。本 sheet 共 25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已实装但命名待对齐。【2026-09-21 进度】新增 FX01-06 VFX-BULLET-VISUAL-3D（飞行子弹纯视觉，含 ProjectileLight，由 Projectile3D 持有、不进 VfxPool）；FX01-01 / FX01-02 升 v002 卡通重做（枪口新增 MuzzleLight、命中改按命中法线对齐）；三类共同验收 verify_combat_vfx_toon_v002。【2026-09-22 进度】新增 FX01-07 VFX-SHELL-CASING-3D：开火抛壳、重力落地、最多两次小弹跳后静止，接入 WeaponModel3D 与 VfxPool3D。。 【2026-10-13 进度】新增 8 个逐弹种专属弹体 Prefab（FX01-08..FX01-15，VFX-BULLET-{STANDARD,STICKY,BOUNCE,PIERCING,EXPLOSIVE,HOMING,BLACKHOLE,BALLOON}-3D），为 FX01-06 通用弹体的弹种专属变体：共享基类 VfxBulletBody3D（弹芯/外壳/尾迹/跟随灯分层），由 Projectile3D 依 visual_id 路由、随 ProjectilePool3D 回收，不进 VfxPool；专项验收 verify_bullet_vfx_profiles。 【2026-10-14 进度】新增 FX01-16 VFX-MONSTER-ROAR-ICON-3D 怪物启动吼叫头顶图标：怪物从 idle/patrol 进攻击前的 0.30–0.60s 启动过程里，转向玩家后头顶弹出的一次性吼叫提示（业主设计，见 docs/v0.1/06A_怪物AI系统完整设计_评审稿.md §6.1.1）。独立 Prefab + 脚本 VfxMonsterRoarIcon3D + 256² RGBA 透明底贴图（gpt-image-2）。**尺寸按体型等比**：世界边长 = 该怪头顶血条宽 × 0.42，钳制 0.45–1.20m，公式真源 src/enemy3d/MonsterStartupProfile.gd。每怪常驻 Sprite3D 由怪物自身持有，刻意不进 VfxPool3D；Boss 豁免。专项验收 verify_monster_startup_roar。 【2026-10-14 进度】新增 FX01-17 VFX-DEATH-BLAST-3D 与 FX01-18 VFX-BLAST-ZONE-3D：远征01 胖子僵尸死亡自爆的**爆炸 + 地面残留伤害场**一整套（业主指定「自爆没有特效」+「地上留一个持续伤害的范围效果，持续3秒」）。爆炸走 VfxPool3D 路由；地面场由玩法节点 DeathBlastZone3D 宿主自持、刻意不进池。专项验收 verify_death_blast_vfx。【2026-10-14 改版】FX01-16 升 v002（业主指定）：图形改为**红色感叹号**，并新增**「弹出后停顿一下」**的节奏 —— ① 弹出 0.70→1.15（过冲）② 回稳 →1.00 ③ 停顿（严格静止）④ 淡出；图标-血条间隙由固定 0.12m 改为按图标边长 0.30 的比例。</t>
        </is>
      </c>
    </row>
    <row r="4" ht="30" customHeight="1" s="52">
      <c r="A4" s="84" t="inlineStr">
        <is>
          <t>编号</t>
        </is>
      </c>
      <c r="B4" s="85" t="inlineStr">
        <is>
          <t>AssetID</t>
        </is>
      </c>
      <c r="C4" s="86" t="inlineStr">
        <is>
          <t>中文名</t>
        </is>
      </c>
      <c r="D4" s="85" t="inlineStr">
        <is>
          <t>Prefab路径</t>
        </is>
      </c>
      <c r="E4" s="85" t="inlineStr">
        <is>
          <t>GLB模型路径</t>
        </is>
      </c>
      <c r="F4" s="85" t="inlineStr">
        <is>
          <t>Blender源文件</t>
        </is>
      </c>
      <c r="G4" s="86" t="inlineStr">
        <is>
          <t>功能说明</t>
        </is>
      </c>
      <c r="H4" s="86" t="inlineStr">
        <is>
          <t>功能脚本路径</t>
        </is>
      </c>
      <c r="I4" s="86" t="inlineStr">
        <is>
          <t>碰撞开关</t>
        </is>
      </c>
      <c r="J4" s="86" t="inlineStr">
        <is>
          <t>碰撞归属</t>
        </is>
      </c>
      <c r="K4" s="86" t="inlineStr">
        <is>
          <t>碰撞方式</t>
        </is>
      </c>
      <c r="L4" s="86" t="inlineStr">
        <is>
          <t>标准尺寸</t>
        </is>
      </c>
      <c r="M4" s="86" t="inlineStr">
        <is>
          <t>原点与朝向</t>
        </is>
      </c>
      <c r="N4" s="86" t="inlineStr">
        <is>
          <t>使用位置</t>
        </is>
      </c>
      <c r="O4" s="86" t="inlineStr">
        <is>
          <t>制作状态</t>
        </is>
      </c>
      <c r="P4" s="87" t="inlineStr">
        <is>
          <t>版本</t>
        </is>
      </c>
      <c r="Q4" s="88" t="inlineStr">
        <is>
          <t>备注</t>
        </is>
      </c>
    </row>
    <row r="5" ht="66" customHeight="1" s="52">
      <c r="A5" s="89" t="inlineStr">
        <is>
          <t>▼ 00 特效套件（老形态）</t>
        </is>
      </c>
      <c r="B5" s="90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  <c r="N5" s="90" t="n"/>
      <c r="O5" s="90" t="n"/>
      <c r="P5" s="91" t="n"/>
      <c r="Q5" s="92" t="n"/>
    </row>
    <row r="6" ht="66" customHeight="1" s="52">
      <c r="A6" s="93" t="inlineStr">
        <is>
          <t>FX00-01</t>
        </is>
      </c>
      <c r="B6" s="94" t="inlineStr">
        <is>
          <t>VFX-COMBAT-KIT-3D</t>
        </is>
      </c>
      <c r="C6" s="95" t="inlineStr">
        <is>
          <t>战斗反馈3D通用特效套件</t>
        </is>
      </c>
      <c r="D6" s="94" t="inlineStr">
        <is>
          <t>assets/art/vfx/combat_3d/vfx_combat_kit_root_top3d.tscn</t>
        </is>
      </c>
      <c r="E6" s="94" t="n"/>
      <c r="F6" s="94" t="n"/>
      <c r="G6" s="95" t="inlineStr">
        <is>
          <t>一个 Prefab + match effect_kind 7 套代码分支，覆盖 7 种战斗反馈视觉。违反 14.6 独立 Prefab 原则 §1；下方 7 个战斗反馈/受击飘字条目为拆分目标。旧调用方继续运行至 2026-Q4 迁移完成。</t>
        </is>
      </c>
      <c r="H6" s="94" t="inlineStr">
        <is>
          <t>src/combat3d/CombatEffect3D.gd</t>
        </is>
      </c>
      <c r="I6" s="95" t="inlineStr">
        <is>
          <t>无</t>
        </is>
      </c>
      <c r="J6" s="95" t="inlineStr">
        <is>
          <t>无</t>
        </is>
      </c>
      <c r="K6" s="95" t="inlineStr">
        <is>
          <t>无</t>
        </is>
      </c>
      <c r="L6" s="94" t="inlineStr">
        <is>
          <t>PackedScene/参数化特效</t>
        </is>
      </c>
      <c r="M6" s="95" t="inlineStr">
        <is>
          <t>未声明</t>
        </is>
      </c>
      <c r="N6" s="95" t="inlineStr">
        <is>
          <t>枪械/近战/敌人/关卡</t>
        </is>
      </c>
      <c r="O6" s="95" t="inlineStr">
        <is>
          <t>老 · 待拆分</t>
        </is>
      </c>
      <c r="P6" s="96" t="inlineStr">
        <is>
          <t>v001</t>
        </is>
      </c>
      <c r="Q6" s="51" t="inlineStr">
        <is>
          <t>老形态·保留为过渡；待 14.6 §6 迁移完成后删除</t>
        </is>
      </c>
    </row>
    <row r="7" ht="66" customHeight="1" s="52">
      <c r="A7" s="97" t="inlineStr">
        <is>
          <t>▼ 01 战斗反馈</t>
        </is>
      </c>
      <c r="B7" s="98" t="n"/>
      <c r="C7" s="98" t="n"/>
      <c r="D7" s="98" t="n"/>
      <c r="E7" s="98" t="n"/>
      <c r="F7" s="98" t="n"/>
      <c r="G7" s="98" t="n"/>
      <c r="H7" s="98" t="n"/>
      <c r="I7" s="98" t="n"/>
      <c r="J7" s="98" t="n"/>
      <c r="K7" s="98" t="n"/>
      <c r="L7" s="98" t="n"/>
      <c r="M7" s="98" t="n"/>
      <c r="N7" s="98" t="n"/>
      <c r="O7" s="98" t="n"/>
      <c r="P7" s="99" t="n"/>
      <c r="Q7" s="92" t="n"/>
    </row>
    <row r="8" ht="15" customHeight="1" s="52">
      <c r="A8" s="100" t="inlineStr">
        <is>
          <t>FX01-01</t>
        </is>
      </c>
      <c r="B8" s="101" t="inlineStr">
        <is>
          <t>VFX-MUZZLE-FLASH-3D</t>
        </is>
      </c>
      <c r="C8" s="51" t="inlineStr">
        <is>
          <t>枪口火光特效</t>
        </is>
      </c>
      <c r="D8" s="101" t="inlineStr">
        <is>
          <t>assets/art/vfx/combat_3d/vfx_muzzle_flash_root_top3d.tscn</t>
        </is>
      </c>
      <c r="G8" s="51" t="inlineStr">
        <is>
          <t>枪械开火时的瞬时枪口花火（卡通 v002）：铂金亮芯 + 橙金/弹药色立体楔形火焰（CylinderMesh top_radius=0，Godot 4.x 无 ConeMesh）+ 交叉面尖瓣 + 5 枚飞散火星 + 短冲击环 + 一盏 OmniLight3D（名 MuzzleLight，shadow_enabled=false）。经 VfxPool3D 按 AssetID 路由。2026-09-21 补丁：支持 context.follow / follow_local_offset 挂点跟随——每帧把世界变换贴到挂点（枪口），角色移动、转向与后坐力位移时不残留；未绑定时退化为世界锚定。</t>
        </is>
      </c>
      <c r="H8" s="101" t="inlineStr">
        <is>
          <t>src/vfx/VfxMuzzleFlash3D.gd</t>
        </is>
      </c>
      <c r="I8" s="51" t="inlineStr">
        <is>
          <t>无</t>
        </is>
      </c>
      <c r="J8" s="51" t="inlineStr">
        <is>
          <t>无</t>
        </is>
      </c>
      <c r="K8" s="51" t="inlineStr">
        <is>
          <t>无</t>
        </is>
      </c>
      <c r="L8" s="51" t="inlineStr">
        <is>
          <t>亮芯约 0.18m；火焰长 0.7~1.8×size；lifetime 0.16s；MuzzleLight range 3.5m×size、峰值 light_energy 5.0、寿命末端归零</t>
        </is>
      </c>
      <c r="M8" s="51" t="inlineStr">
        <is>
          <t>原点=根节点中心；朝向=Basis.looking_at(context.forward)，local -Z 对齐射击方向</t>
        </is>
      </c>
      <c r="N8" s="51" t="inlineStr">
        <is>
          <t>枪械开火（远程 7 枪）</t>
        </is>
      </c>
      <c r="O8" s="51" t="inlineStr">
        <is>
          <t>完成</t>
        </is>
      </c>
      <c r="P8" s="101" t="inlineStr">
        <is>
          <t>v002</t>
        </is>
      </c>
      <c r="Q8" s="101" t="inlineStr">
        <is>
          <t>v002 卡通重做；Prefab=assets/art/vfx/combat_3d/vfx_muzzle_flash_root_top3d.tscn（去版本化路径，N1/N2 后不再带 _v001）+ 脚本=src/vfx/VfxMuzzleFlash3D.gd；根节点=VfxMuzzleFlash3D(Node3D)；FX编号 FX01-01；调用方：WeaponModel3D._spawn_muzzle_effect 经 VfxPool3D.acquire(FX01_MUZZLE_FLASH, …, {"forward": -global_basis.z})；验收：verify_combat_vfx_toon_v002。注：旧版备注中的 ..._v001.tscn 路径已废弃。；2026-09-21 补丁：新增挂点跟随契约（follow），调用方 WeaponModel3D 以 muzzle 挂点为跟随目标；调用方尺寸基准定档 0.8（视觉体积 80%）。</t>
        </is>
      </c>
    </row>
    <row r="9" ht="15" customHeight="1" s="52">
      <c r="A9" s="100" t="inlineStr">
        <is>
          <t>FX01-02</t>
        </is>
      </c>
      <c r="B9" s="102" t="inlineStr">
        <is>
          <t>VFX-IMPACT-3D</t>
        </is>
      </c>
      <c r="C9" s="92" t="inlineStr">
        <is>
          <t>通用命中特效</t>
        </is>
      </c>
      <c r="D9" s="102" t="inlineStr">
        <is>
          <t>assets/art/vfx/combat_3d/vfx_impact_root_top3d.tscn</t>
        </is>
      </c>
      <c r="E9" s="92" t="n"/>
      <c r="F9" s="92" t="n"/>
      <c r="G9" s="92" t="inlineStr">
        <is>
          <t>子弹/投射物命中表面的爆点（卡通 v002）：亮芯 + 冲击环（TorusMesh） + 7 道错峰星芒（BoxMesh，Quaternion(UP,dir) 放射） + 8 块错峰旋转碎屑；UNSHADED 半透明材质、透明重叠受控。</t>
        </is>
      </c>
      <c r="H9" s="102" t="inlineStr">
        <is>
          <t>src/vfx/VfxImpact3D.gd</t>
        </is>
      </c>
      <c r="I9" s="92" t="inlineStr">
        <is>
          <t>无</t>
        </is>
      </c>
      <c r="J9" s="92" t="inlineStr">
        <is>
          <t>无</t>
        </is>
      </c>
      <c r="K9" s="92" t="inlineStr">
        <is>
          <t>无</t>
        </is>
      </c>
      <c r="L9" s="92" t="inlineStr">
        <is>
          <t>亮芯约 0.16m；冲击环 0.2→2.4×size；lifetime 0.32s</t>
        </is>
      </c>
      <c r="M9" s="92" t="inlineStr">
        <is>
          <t>原点=根节点中心；朝向=Basis(Quaternion(UP, context.normal))，local +Y 对齐命中法线</t>
        </is>
      </c>
      <c r="N9" s="92" t="inlineStr">
        <is>
          <t>子弹/投射物命中通用</t>
        </is>
      </c>
      <c r="O9" s="92" t="inlineStr">
        <is>
          <t>完成</t>
        </is>
      </c>
      <c r="P9" s="102" t="inlineStr">
        <is>
          <t>v002</t>
        </is>
      </c>
      <c r="Q9" s="101" t="inlineStr">
        <is>
          <t>v002 卡通重做；Prefab=assets/art/vfx/combat_3d/vfx_impact_root_top3d.tscn（去版本化路径）+ 脚本=src/vfx/VfxImpact3D.gd；根节点=VfxImpact3D(Node3D)；FX编号 FX01-02；调用方：Projectile3D._spawn_effect(VfxPool3D.FX01_IMPACT, …) 传 hit_context={"normal":…, "position":…}；Enemy3D / PlayerMeleeCombat3D 亦经 VfxPool3D 路由；验收：verify_combat_vfx_toon_v002。注：旧版备注中的 ..._v001.tscn 路径已废弃。</t>
        </is>
      </c>
    </row>
    <row r="10" ht="15" customHeight="1" s="52">
      <c r="A10" s="100" t="inlineStr">
        <is>
          <t>FX01-03</t>
        </is>
      </c>
      <c r="B10" s="101" t="inlineStr">
        <is>
          <t>VFX-EXPLOSION-3D</t>
        </is>
      </c>
      <c r="C10" s="51" t="inlineStr">
        <is>
          <t>爆炸特效</t>
        </is>
      </c>
      <c r="D10" s="101" t="inlineStr">
        <is>
          <t>assets/art/vfx/combat_3d/vfx_explosion_root_top3d.tscn</t>
        </is>
      </c>
      <c r="G10" s="51" t="inlineStr">
        <is>
          <t>范围爆炸；1 SphereMesh 核心 + 2 TorusMesh 冲击波环（径向波 + 二次环）；参数 effect_color / effect_size。</t>
        </is>
      </c>
      <c r="H10" s="101" t="inlineStr">
        <is>
          <t>src/vfx/VfxExplosion3D.gd</t>
        </is>
      </c>
      <c r="I10" s="51" t="inlineStr">
        <is>
          <t>无</t>
        </is>
      </c>
      <c r="J10" s="51" t="inlineStr">
        <is>
          <t>无</t>
        </is>
      </c>
      <c r="K10" s="51" t="inlineStr">
        <is>
          <t>无</t>
        </is>
      </c>
      <c r="L10" s="51" t="inlineStr">
        <is>
          <t>约 0.42m 核心 → 0.82m 外环；lifetime 0.46s</t>
        </is>
      </c>
      <c r="M10" s="51" t="inlineStr">
        <is>
          <t>原点=根节点中心；朝向=local -Z 正面</t>
        </is>
      </c>
      <c r="N10" s="51" t="inlineStr">
        <is>
          <t>爆炸弹/范围武器</t>
        </is>
      </c>
      <c r="O10" s="51" t="inlineStr">
        <is>
          <t>完成</t>
        </is>
      </c>
      <c r="P10" s="101" t="inlineStr">
        <is>
          <t>v001</t>
        </is>
      </c>
      <c r="Q10" s="51" t="inlineStr">
        <is>
          <t>已实装；Prefab=assets/art/vfx/combat_3d/vfx_explosion_root_top3d_v001.tscn + 脚本=src/vfx/VfxExplosion3D.gd；根节点=VfxExplosion3D(Node3D)；FX编号 FX01-03；调用方：PlayerMeleeCombat3D/Enemy3D 经 VfxPool3D 路由</t>
        </is>
      </c>
    </row>
    <row r="11" ht="15" customHeight="1" s="52">
      <c r="A11" s="100" t="inlineStr">
        <is>
          <t>FX01-04</t>
        </is>
      </c>
      <c r="B11" s="101" t="inlineStr">
        <is>
          <t>VFX-MELEE-SLASH-3D</t>
        </is>
      </c>
      <c r="C11" s="51" t="inlineStr">
        <is>
          <t>近战挥砍弧特效</t>
        </is>
      </c>
      <c r="D11" s="101" t="inlineStr">
        <is>
          <t>assets/art/vfx/combat_3d/vfx_melee_slash_root_top3d.tscn</t>
        </is>
      </c>
      <c r="G11" s="51" t="inlineStr">
        <is>
          <t>近战挥砍时的弧光；SurfaceTool 自定义三角扇形 + 顶点 alpha 渐隐；连段 1/2/3 通过 effect_size 和方向区分。</t>
        </is>
      </c>
      <c r="H11" s="101" t="inlineStr">
        <is>
          <t>src/vfx/VfxMeleeSlash3D.gd</t>
        </is>
      </c>
      <c r="I11" s="51" t="inlineStr">
        <is>
          <t>无</t>
        </is>
      </c>
      <c r="J11" s="51" t="inlineStr">
        <is>
          <t>无</t>
        </is>
      </c>
      <c r="K11" s="51" t="inlineStr">
        <is>
          <t>无</t>
        </is>
      </c>
      <c r="L11" s="51" t="inlineStr">
        <is>
          <t>内径 0.78m / 外径 1.42m；lifetime 0.28s</t>
        </is>
      </c>
      <c r="M11" s="51" t="inlineStr">
        <is>
          <t>原点=根节点中心；朝向=local -Z 正面</t>
        </is>
      </c>
      <c r="N11" s="51" t="inlineStr">
        <is>
          <t>棒球棍/巨刃/战斧挥砍（近战 3 武器）</t>
        </is>
      </c>
      <c r="O11" s="51" t="inlineStr">
        <is>
          <t>完成</t>
        </is>
      </c>
      <c r="P11" s="101" t="inlineStr">
        <is>
          <t>v001</t>
        </is>
      </c>
      <c r="Q11" s="51" t="inlineStr">
        <is>
          <t>已实装；Prefab=assets/art/vfx/combat_3d/vfx_melee_slash_root_top3d_v001.tscn + 脚本=src/vfx/VfxMeleeSlash3D.gd；根节点=VfxMeleeSlash3D(Node3D)；FX编号 FX01-04；调用方：PlayerMeleeCombat3D/Enemy3D 经 VfxPool3D 路由</t>
        </is>
      </c>
    </row>
    <row r="12" ht="15" customHeight="1" s="52">
      <c r="A12" s="100" t="inlineStr">
        <is>
          <t>FX01-05</t>
        </is>
      </c>
      <c r="B12" s="101" t="inlineStr">
        <is>
          <t>VFX-MELEE-IMPACT-3D</t>
        </is>
      </c>
      <c r="C12" s="51" t="inlineStr">
        <is>
          <t>近战命中爆点特效</t>
        </is>
      </c>
      <c r="D12" s="101" t="inlineStr">
        <is>
          <t>assets/art/vfx/combat_3d/vfx_melee_impact_root_top3d.tscn</t>
        </is>
      </c>
      <c r="G12" s="51" t="inlineStr">
        <is>
          <t>近战命中目标时的爆点；1 SphereMesh 核心 + 2 TorusMesh 环 + 6 BoxMesh 飞散碎片；逐目标独立爆点。</t>
        </is>
      </c>
      <c r="H12" s="101" t="inlineStr">
        <is>
          <t>src/vfx/VfxMeleeImpact3D.gd</t>
        </is>
      </c>
      <c r="I12" s="51" t="inlineStr">
        <is>
          <t>无</t>
        </is>
      </c>
      <c r="J12" s="51" t="inlineStr">
        <is>
          <t>无</t>
        </is>
      </c>
      <c r="K12" s="51" t="inlineStr">
        <is>
          <t>无</t>
        </is>
      </c>
      <c r="L12" s="51" t="inlineStr">
        <is>
          <t>约 0.19m 核心；lifetime 0.32s</t>
        </is>
      </c>
      <c r="M12" s="51" t="inlineStr">
        <is>
          <t>原点=根节点中心；朝向=local -Z 正面</t>
        </is>
      </c>
      <c r="N12" s="51" t="inlineStr">
        <is>
          <t>近战命中爆点（连段 1/2/3 各 1 次）</t>
        </is>
      </c>
      <c r="O12" s="51" t="inlineStr">
        <is>
          <t>完成</t>
        </is>
      </c>
      <c r="P12" s="101" t="inlineStr">
        <is>
          <t>v001</t>
        </is>
      </c>
      <c r="Q12" s="51" t="inlineStr">
        <is>
          <t>已实装；Prefab=assets/art/vfx/combat_3d/vfx_melee_impact_root_top3d_v001.tscn + 脚本=src/vfx/VfxMeleeImpact3D.gd；根节点=VfxMeleeImpact3D(Node3D)；FX编号 FX01-05；调用方：PlayerMeleeCombat3D/Enemy3D 经 VfxPool3D 路由</t>
        </is>
      </c>
    </row>
    <row r="13" ht="15" customHeight="1" s="52">
      <c r="A13" s="100" t="inlineStr">
        <is>
          <t>FX01-06</t>
        </is>
      </c>
      <c r="B13" s="101" t="inlineStr">
        <is>
          <t>VFX-BULLET-VISUAL-3D</t>
        </is>
      </c>
      <c r="C13" s="51" t="inlineStr">
        <is>
          <t>飞行子弹纯视觉特效</t>
        </is>
      </c>
      <c r="D13" s="101" t="inlineStr">
        <is>
          <t>assets/art/vfx/combat_3d/vfx_bullet_visual_root_top3d.tscn</t>
        </is>
      </c>
      <c r="G13" s="51" t="inlineStr">
        <is>
          <t>飞行中子弹的纯视觉表现（卡通 v002 风格同族）：铂金亮芯胶囊 + 弹色半透明外壳 + 沿弹道拖尾锥（CylinderMesh top_radius=0，宽端贴弹体、尖端向身后） + 每弹一盏 OmniLight3D（名 ProjectileLight，shadow_enabled=false，light_energy 1.2、omni_range 1.8）。由 Projectile3D 作为子节点持有，生命周期随宿主（ProjectilePool3D），不进 VfxPool 自动计时，避免双池 ownership。</t>
        </is>
      </c>
      <c r="H13" s="101" t="inlineStr">
        <is>
          <t>src/vfx/VfxBulletVisual3D.gd</t>
        </is>
      </c>
      <c r="I13" s="51" t="inlineStr">
        <is>
          <t>无</t>
        </is>
      </c>
      <c r="J13" s="51" t="inlineStr">
        <is>
          <t>无</t>
        </is>
      </c>
      <c r="K13" s="51" t="inlineStr">
        <is>
          <t>无</t>
        </is>
      </c>
      <c r="L13" s="51" t="inlineStr">
        <is>
          <t>弹芯 CapsuleMesh r=0.045/h=0.20；外壳 r=0.075/h=0.18；拖尾锥底半径 0.06/长 0.5；灯 range 1.8m</t>
        </is>
      </c>
      <c r="M13" s="51" t="inlineStr">
        <is>
          <t>原点=宿主原点（local position 保持 0，随 Projectile3D 变换）；朝向=弹体沿 local -Z，拖尾向 local +Z（身后）</t>
        </is>
      </c>
      <c r="N13" s="51" t="inlineStr">
        <is>
          <t>玩家/敌人飞行子弹（远程 7 枪 + 各类投射物）</t>
        </is>
      </c>
      <c r="O13" s="51" t="inlineStr">
        <is>
          <t>已完成</t>
        </is>
      </c>
      <c r="P13" s="101" t="inlineStr">
        <is>
          <t>v001</t>
        </is>
      </c>
      <c r="Q13" s="109" t="inlineStr">
        <is>
          <t>已实装；Prefab=assets/art/vfx/combat_3d/vfx_bullet_visual_root_top3d.tscn + 脚本=src/vfx/VfxBulletVisual3D.gd；根节点=VfxBulletVisual3D(Node3D)；FX编号 FX01-06；调用方：Projectile3D._build_visual() 实例化为子节点并委托 activate/deactivate/apply_growth/set_trail_visible；碰撞由 Projectile3D 自持（半径 0.12 球），本视觉 Prefab 内无碰撞体；验收：verify_combat_vfx_toon_v002。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14" ht="15" customHeight="1" s="52">
      <c r="A14" s="100" t="inlineStr">
        <is>
          <t>FX01-07</t>
        </is>
      </c>
      <c r="B14" s="101" t="inlineStr">
        <is>
          <t>VFX-SHELL-CASING-3D</t>
        </is>
      </c>
      <c r="C14" s="51" t="inlineStr">
        <is>
          <t>抛壳落地特效</t>
        </is>
      </c>
      <c r="D14" s="101" t="inlineStr">
        <is>
          <t>assets/art/vfx/combat_3d/vfx_shell_casing_root_top3d.tscn</t>
        </is>
      </c>
      <c r="G14" s="51" t="inlineStr">
        <is>
          <t>枪械开火时从枪械右侧飞出的弹壳：黄铜色圆柱弹壳 + 底缘圆环 + 底火；由 VfxPool3D 按 AssetID 路由。弹壳脱离武器挂点进入世界空间，程序化重力 9.8m/s² 下落。【模拟碰撞】落地为纯程序化模拟碰撞（解析式越线判定，不做物理射线/空间查询，Prefab 无碰撞体）：弹壳中心越过「地面高度 + 贴地半径」即触地；运动三阶段 飞行(含弹跳) → 贴地滚动 → 躺平静止；触地带挤压包络。手感参数：恢复系数 0.32 / 地面摩擦 0.42 / 自旋保留 0.68 / 最多 2 次弹跳 / 滚动衰减 3.4。视觉尺寸缩到原基准 80%，寿命 3.2s 回收。PBR 定档（2026-09-22）：金属度 metallic=0.8、反光度（roughness）=0.6，三件统一，常量 SHELL_METALLIC / SHELL_ROUGHNESS。</t>
        </is>
      </c>
      <c r="H14" s="101" t="inlineStr">
        <is>
          <t>src/vfx/VfxShellCasing3D.gd</t>
        </is>
      </c>
      <c r="I14" s="51" t="inlineStr">
        <is>
          <t>无</t>
        </is>
      </c>
      <c r="J14" s="51" t="inlineStr">
        <is>
          <t>无</t>
        </is>
      </c>
      <c r="K14" s="51" t="inlineStr">
        <is>
          <t>程序化模拟碰撞（解析式越线，无物理引擎）</t>
        </is>
      </c>
      <c r="L14" s="51" t="inlineStr">
        <is>
          <t>视觉尺寸 80%（原基准 ×0.8）：壳体直径 0.046×2×0.8≈0.074m、底缘直径 0.058×2×0.8≈0.093m、长度 0.24×0.8=0.192m；弹出初速度右向 2.1m/s + 上抛 1.55m/s；lifetime 3.2s</t>
        </is>
      </c>
      <c r="M14" s="51" t="inlineStr">
        <is>
          <t>原点=弹壳中心；朝向=圆柱 local Y 为壳体长轴；出生点取 EjectionSocket/TacticalSocket</t>
        </is>
      </c>
      <c r="N14" s="51" t="inlineStr">
        <is>
          <t>玩家/敌人远程枪械开火反馈</t>
        </is>
      </c>
      <c r="O14" s="51" t="inlineStr">
        <is>
          <t>已完成</t>
        </is>
      </c>
      <c r="P14" s="101" t="inlineStr">
        <is>
          <t>v001</t>
        </is>
      </c>
      <c r="Q14" s="51" t="inlineStr">
        <is>
          <t>已实装；Prefab=assets/art/vfx/combat_3d/vfx_shell_casing_root_top3d.tscn；脚本=src/vfx/VfxShellCasing3D.gd；根节点=VfxShellCasing3D(Node3D)；FX编号 FX01-07；调用方=WeaponModel3D._fire_now → _spawn_shell_casing；纯视觉无碰撞体，落地由现有物理射线或 floor_y 兜底；验收=verify_combat_vfx_toon_v002，含端到端右侧抛壳与反向对照。 PBR：metallic=0.8 / roughness=0.6（常量 SHELL_METALLIC / SHELL_ROUGHNESS）；验收读已挂载材质真值（非常量回读）并附反向对照。 【模拟碰撞】落地已由「物理射线/floor_y 兜底」改为**解析式模拟碰撞**（脚本内无任何物理 API，验收有源码级静态门禁）；尺寸缩到原基准 80%；贴地半径取三件最大径向半展 0.058（底缘 outer_radius）。⚠️ floor_y 必须由调用方按真实世界给（塔楼 98F ≈ -1176m），禁以 0 兜底，调用方=WeaponModel3D._resolve_shell_floor_y(shooter)（取射击者站立面）。验收 samples=14，含非零楼层端到端与弹壳出生于抛壳挂点断言；真渲染探针 probe_shell_casing_visual（3 机位）。</t>
        </is>
      </c>
    </row>
    <row r="15" ht="15" customHeight="1" s="52">
      <c r="A15" s="103" t="inlineStr">
        <is>
          <t>▼ 02 受击飘字</t>
        </is>
      </c>
      <c r="B15" s="92" t="n"/>
      <c r="C15" s="92" t="n"/>
      <c r="D15" s="92" t="n"/>
      <c r="E15" s="92" t="n"/>
      <c r="F15" s="92" t="n"/>
      <c r="G15" s="92" t="n"/>
      <c r="H15" s="10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</row>
    <row r="16" ht="15" customHeight="1" s="52">
      <c r="A16" s="100" t="inlineStr">
        <is>
          <t>FX02-01</t>
        </is>
      </c>
      <c r="B16" s="101" t="inlineStr">
        <is>
          <t>VFX-DAMAGE-NUMBER-3D</t>
        </is>
      </c>
      <c r="C16" s="51" t="inlineStr">
        <is>
          <t>伤害数字飘字特效</t>
        </is>
      </c>
      <c r="D16" s="101" t="inlineStr">
        <is>
          <t>assets/art/vfx/combat_3d/vfx_damage_number_root_top3d.tscn</t>
        </is>
      </c>
      <c r="G16" s="51" t="inlineStr">
        <is>
          <t>元素配色；0.56s先快后慢上升0.90m；字形与描边13/15/17保持</t>
        </is>
      </c>
      <c r="H16" s="101" t="inlineStr">
        <is>
          <t>src/vfx/VfxDamageNumber3D.gd</t>
        </is>
      </c>
      <c r="I16" s="51" t="inlineStr">
        <is>
          <t>无</t>
        </is>
      </c>
      <c r="J16" s="51" t="inlineStr">
        <is>
          <t>无</t>
        </is>
      </c>
      <c r="K16" s="51" t="inlineStr">
        <is>
          <t>无</t>
        </is>
      </c>
      <c r="L16" s="101" t="inlineStr">
        <is>
          <t>lifetime0.56s × duration_scale；上升0.90m；快速弹起减速淡出；元素色；字形116/134/152与描边13/15/17不变</t>
        </is>
      </c>
      <c r="M16" s="51" t="inlineStr">
        <is>
          <t>原点=根节点中心；朝向=local -Z 正面</t>
        </is>
      </c>
      <c r="N16" s="51" t="inlineStr">
        <is>
          <t>玩家/敌人受击伤害显示</t>
        </is>
      </c>
      <c r="O16" s="51" t="inlineStr">
        <is>
          <t>完成</t>
        </is>
      </c>
      <c r="P16" s="101" t="inlineStr">
        <is>
          <t>v005</t>
        </is>
      </c>
      <c r="Q16" s="51" t="inlineStr">
        <is>
          <t>已实装；Prefab=assets/art/vfx/combat_3d/vfx_damage_number_root_top3d.tscn + 脚本=src/vfx/VfxDamageNumber3D.gd；根节点=VfxDamageNumber3D(Node3D)；FX编号 FX02-01；调用方：Enemy3D._spawn_damage_number 经 VfxPool3D 路由；接受 context.text_value；调用方：Enemy3D._spawn_damage_number 经 VfxPool3D 路由。【2026-10-16 样式重做】字体与样式真源收敛到 src/vfx/DamageNumberStyle.gd（漫画风超粗体：字体链首选 Impact、字重 900、MSDF 128；近黑粗勾边 ≈ 字高 22%）；随机数只活在调用方 Enemy3D._damage_number_context()，特效脚本对同一 context 逐位可复现。【P0 修复】_on_tick 原以**赋值**写 position（position.y = rise_t × 距离），出生坐标第一帧即被清零 —— 实测实机飘字跑到世界原点上方不到 1 米、与怪物楼层无关；改为 position = _origin_local + 偏移。Prefab 路径去掉历史误写的 _v001 后缀。【2026-10-17 勾边修复】**勾边修复：`msdf_pixel_range` 太小导致描边被截成 1px 细丝**。Godot 的 MSDF 字体下描边可达上限 ≈ msdf_pixel_range / 2，默认 16 只够到 8，而本件声明 26/30/34 ⇒ 被提前截断（症状：不报错不变红，且 outline_size 填 26 与 116 渲染结果逐像素完全相同）。修法：`DamageNumberStyle.MSDF_PIXEL_RANGE = 64`，在 `make_font()` 里赋给 `SystemFont.msdf_pixel_range`；三条链路共用该字体工厂，一处即全覆盖。定档实测（字形高约 108px 定尺拍摄）：range 16 → 实画 6px、48 → 21px、64/80 → 26px 足额、96 → 左右不对称（一侧整条丢失）⇒ 取 64，验收另设上界护栏 80。验收新增常量钉子 + 下界不等式 + 逐档「实例真带该值」断言；反向对照三组（16／96／删赋值）均精准变红后复绿。实机距离 A/B：描边像素 160 → 13,421（×83.9）。【2026-10-17 描边减半】**描边减半**（业主：「太粗了，缩小一半」）。v003 修好 `msdf_pixel_range` 后描边第一次足额渲染，实机看下来过粗 ⇒ 描边尺寸 26/30/34 → **13/15/17**（占字高 22% → 11%，描边色与淡出通道不变）。真源 `DamageNumberStyle.NORMAL/HEAVY/CRITICAL_OUTLINE_SIZE` 一处改动即覆盖三条链路。**距离场宽度不动**（仍 64）：需求 2 × max(描边 × msdf_size / 字号) 由 57.4 降到 28.7，64 依旧足额且支持描边到约 38 @ 字号 152，留余量以便后续微调不必重新定档。验收侧硬编码期望同步为 13/15/17、下界不等式随之重算为 28.7。反向对照两组：range→16（下界红）／真源描边偷偷改回 26（常量钉子红）—— 均精准变红后复绿。实机同帧 A/B（红色字形像素恒为 5,105 ⇒ 字形未变）：近黑描边像素 12,613 → 6,392（×0.507）。【2026-10-18】元素配色与更快飘动；补齐主表VFX-DAMAGE-NUMBER-3D登记，旧2D占位VFX-DAMAGE-NUMBER保留。</t>
        </is>
      </c>
    </row>
    <row r="17" ht="15" customHeight="1" s="52">
      <c r="A17" s="100" t="inlineStr">
        <is>
          <t>FX02-02</t>
        </is>
      </c>
      <c r="B17" s="101" t="inlineStr">
        <is>
          <t>VFX-HEAL-NUMBER-3D</t>
        </is>
      </c>
      <c r="C17" s="51" t="inlineStr">
        <is>
          <t>治疗数字飘字特效</t>
        </is>
      </c>
      <c r="D17" s="101" t="inlineStr">
        <is>
          <t>assets/art/vfx/combat_3d/vfx_heal_number_root_top3d.tscn</t>
        </is>
      </c>
      <c r="G17" s="51" t="inlineStr">
        <is>
          <t>治疗/恢复数字上升飘字；Label3D + 漫画风超粗字形 + 粗近黑勾边 + 治疗绿；参数 context.text_value/magnitude + 五维随机（同 FX02-01）。</t>
        </is>
      </c>
      <c r="H17" s="101" t="inlineStr">
        <is>
          <t>src/vfx/VfxHealNumber3D.gd</t>
        </is>
      </c>
      <c r="I17" s="51" t="inlineStr">
        <is>
          <t>无</t>
        </is>
      </c>
      <c r="J17" s="51" t="inlineStr">
        <is>
          <t>无</t>
        </is>
      </c>
      <c r="K17" s="51" t="inlineStr">
        <is>
          <t>无</t>
        </is>
      </c>
      <c r="L17" s="101" t="inlineStr">
        <is>
          <t>Label3D pixel_size=0.00375；MSDF 128 + msdf_pixel_range 64（描边可达上限 ≈ range/2）；字号 116（世界字高 0.435 m）；描边 13；lifetime 0.70s × duration_scale；基线上升 0.90m</t>
        </is>
      </c>
      <c r="M17" s="51" t="inlineStr">
        <is>
          <t>原点=根节点中心；朝向=local -Z 正面</t>
        </is>
      </c>
      <c r="N17" s="51" t="inlineStr">
        <is>
          <t>玩家/队友治疗显示</t>
        </is>
      </c>
      <c r="O17" s="51" t="inlineStr">
        <is>
          <t>完成</t>
        </is>
      </c>
      <c r="P17" s="101" t="inlineStr">
        <is>
          <t>v004</t>
        </is>
      </c>
      <c r="Q17" s="51" t="inlineStr">
        <is>
          <t>已实装；Prefab=assets/art/vfx/combat_3d/vfx_heal_number_root_top3d.tscn + 脚本=src/vfx/VfxHealNumber3D.gd；根节点=VfxHealNumber3D(Node3D)；FX编号 FX02-02；调用方：Enemy3D._spawn_damage_number 经 VfxPool3D 路由；接受 context.text_value；调用方：Enemy3D._spawn_heal_number 经 VfxPool3D 路由（2026-10-16 起；此前治疗误借 VFX-DAMAGE-NUMBER-3D ⇒ 回血飘红字「0」，而本 AssetID 全工程零调用方）。【2026-10-16 样式重做】字体与样式取 src/vfx/DamageNumberStyle.gd，与 FX02-01 同源。Prefab 路径去掉历史误写的 _v001 后缀。【2026-10-17 勾边修复】**勾边修复：`msdf_pixel_range` 太小导致描边被截成 1px 细丝**。Godot 的 MSDF 字体下描边可达上限 ≈ msdf_pixel_range / 2，默认 16 只够到 8，而本件声明 26/30/34 ⇒ 被提前截断（症状：不报错不变红，且 outline_size 填 26 与 116 渲染结果逐像素完全相同）。修法：`DamageNumberStyle.MSDF_PIXEL_RANGE = 64`，在 `make_font()` 里赋给 `SystemFont.msdf_pixel_range`；三条链路共用该字体工厂，一处即全覆盖。定档实测（字形高约 108px 定尺拍摄）：range 16 → 实画 6px、48 → 21px、64/80 → 26px 足额、96 → 左右不对称（一侧整条丢失）⇒ 取 64，验收另设上界护栏 80。验收新增常量钉子 + 下界不等式 + 逐档「实例真带该值」断言；反向对照三组（16／96／删赋值）均精准变红后复绿。实机距离 A/B：描边像素 160 → 13,421（×83.9）。【2026-10-17 描边减半】**描边减半**（业主：「太粗了，缩小一半」）。v003 修好 `msdf_pixel_range` 后描边第一次足额渲染，实机看下来过粗 ⇒ 描边尺寸 26/30/34 → **13/15/17**（占字高 22% → 11%，描边色与淡出通道不变）。真源 `DamageNumberStyle.NORMAL/HEAVY/CRITICAL_OUTLINE_SIZE` 一处改动即覆盖三条链路。**距离场宽度不动**（仍 64）：需求 2 × max(描边 × msdf_size / 字号) 由 57.4 降到 28.7，64 依旧足额且支持描边到约 38 @ 字号 152，留余量以便后续微调不必重新定档。验收侧硬编码期望同步为 13/15/17、下界不等式随之重算为 28.7。反向对照两组：range→16（下界红）／真源描边偷偷改回 26（常量钉子红）—— 均精准变红后复绿。实机同帧 A/B（红色字形像素恒为 5,105 ⇒ 字形未变）：近黑描边像素 12,613 → 6,392（×0.507）。</t>
        </is>
      </c>
    </row>
    <row r="18" ht="15" customHeight="1" s="52">
      <c r="A18" s="103" t="inlineStr">
        <is>
          <t>▼ 03 环境场</t>
        </is>
      </c>
      <c r="B18" s="92" t="n"/>
      <c r="C18" s="92" t="n"/>
      <c r="D18" s="92" t="n"/>
      <c r="E18" s="92" t="n"/>
      <c r="F18" s="92" t="n"/>
      <c r="G18" s="92" t="n"/>
      <c r="H18" s="10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</row>
    <row r="19" ht="15" customHeight="1" s="52">
      <c r="A19" s="100" t="inlineStr">
        <is>
          <t>FX03-01</t>
        </is>
      </c>
      <c r="B19" s="101" t="inlineStr">
        <is>
          <t>VFX-HAZARD-FIELD-3D</t>
        </is>
      </c>
      <c r="C19" s="51" t="inlineStr">
        <is>
          <t>房间危险场3D特效</t>
        </is>
      </c>
      <c r="D19" s="101" t="inlineStr">
        <is>
          <t>assets/art/vfx/environment_3d/vfx_hazard_field_root_top3d.tscn</t>
        </is>
      </c>
      <c r="G19" s="51" t="inlineStr">
        <is>
          <t>房间危险场 Area3D 特效；脚本生成的环形危险区域；触发时产生伤害 + 视觉脉冲。</t>
        </is>
      </c>
      <c r="H19" s="101" t="inlineStr">
        <is>
          <t>src/world3d/HazardField3D.gd</t>
        </is>
      </c>
      <c r="I19" s="51" t="inlineStr">
        <is>
          <t>开</t>
        </is>
      </c>
      <c r="J19" s="101" t="inlineStr">
        <is>
          <t>Prefab自身</t>
        </is>
      </c>
      <c r="K19" s="51" t="inlineStr">
        <is>
          <t>脚本生成</t>
        </is>
      </c>
      <c r="L19" s="101" t="inlineStr">
        <is>
          <t>PackedScene/程序环形特效</t>
        </is>
      </c>
      <c r="M19" s="51" t="inlineStr">
        <is>
          <t>未声明</t>
        </is>
      </c>
      <c r="N19" s="51" t="inlineStr">
        <is>
          <t>陷阱房</t>
        </is>
      </c>
      <c r="O19" s="51" t="inlineStr">
        <is>
          <t>完成</t>
        </is>
      </c>
      <c r="P19" s="101" t="inlineStr">
        <is>
          <t>v001</t>
        </is>
      </c>
      <c r="Q19" s="51" t="inlineStr">
        <is>
          <t>已实装；命名待 14.6 §6 迁移时对齐（改名 VfxHazardField3D + 移至 src/vfx/）</t>
        </is>
      </c>
    </row>
    <row r="20" ht="15" customHeight="1" s="52">
      <c r="A20" s="103" t="inlineStr">
        <is>
          <t>▼ 04 可见性</t>
        </is>
      </c>
      <c r="B20" s="92" t="n"/>
      <c r="C20" s="92" t="n"/>
      <c r="D20" s="92" t="n"/>
      <c r="E20" s="92" t="n"/>
      <c r="F20" s="92" t="n"/>
      <c r="G20" s="92" t="n"/>
      <c r="H20" s="102" t="n"/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</row>
    <row r="21" ht="15" customHeight="1" s="52">
      <c r="A21" s="100" t="inlineStr">
        <is>
          <t>FX04-01</t>
        </is>
      </c>
      <c r="B21" s="101" t="inlineStr">
        <is>
          <t>VFX-PLAYER-FLASHLIGHT-3D</t>
        </is>
      </c>
      <c r="C21" s="51" t="inlineStr">
        <is>
          <t>玩家真实探照灯组件3D</t>
        </is>
      </c>
      <c r="D21" s="101" t="inlineStr">
        <is>
          <t>assets/art/vfx/visibility_3d/vfx_player_flashlight_root_top3d.tscn</t>
        </is>
      </c>
      <c r="G21" s="51" t="inlineStr">
        <is>
          <t>玩家真实探照灯 Node3D 组件；2 SpotLight3D + 1 OmniLight3D 组合；3D 行动区/靶场/基地覆盖。</t>
        </is>
      </c>
      <c r="H21" s="101" t="inlineStr">
        <is>
          <t>src/player3d/PlayerFlashlight3D.gd</t>
        </is>
      </c>
      <c r="I21" s="51" t="inlineStr">
        <is>
          <t>无</t>
        </is>
      </c>
      <c r="J21" s="51" t="inlineStr">
        <is>
          <t>无</t>
        </is>
      </c>
      <c r="K21" s="51" t="inlineStr">
        <is>
          <t>无</t>
        </is>
      </c>
      <c r="L21" s="101" t="inlineStr">
        <is>
          <t>PackedScene/2 SpotLight3D+1 OmniLight3D</t>
        </is>
      </c>
      <c r="M21" s="51" t="inlineStr">
        <is>
          <t>未声明</t>
        </is>
      </c>
      <c r="N21" s="101" t="inlineStr">
        <is>
          <t>3D行动区/靶场/基地</t>
        </is>
      </c>
      <c r="O21" s="51" t="inlineStr">
        <is>
          <t>完成</t>
        </is>
      </c>
      <c r="P21" s="101" t="inlineStr">
        <is>
          <t>v001</t>
        </is>
      </c>
      <c r="Q21" s="51" t="inlineStr">
        <is>
          <t>已实装；命名待 14.6 §6 迁移时对齐（改名 VfxPlayerFlashlight3D + 移至 src/vfx/）</t>
        </is>
      </c>
    </row>
    <row r="22" ht="18" customHeight="1" s="52">
      <c r="A22" s="103" t="inlineStr">
        <is>
          <t>▼ 03 环境场（续）</t>
        </is>
      </c>
      <c r="B22" s="92" t="n"/>
      <c r="C22" s="92" t="n"/>
      <c r="D22" s="92" t="n"/>
      <c r="E22" s="92" t="n"/>
      <c r="F22" s="92" t="n"/>
      <c r="G22" s="92" t="n"/>
      <c r="H22" s="10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</row>
    <row r="23" ht="144" customHeight="1" s="52">
      <c r="A23" s="106" t="inlineStr">
        <is>
          <t>FX03-02</t>
        </is>
      </c>
      <c r="B23" s="107" t="inlineStr">
        <is>
          <t>VFX-ENV-CLOUD-SEA-3D</t>
        </is>
      </c>
      <c r="C23" s="108" t="inlineStr">
        <is>
          <t>主塔柔软体积云海与漂浮小云</t>
        </is>
      </c>
      <c r="D23" s="107" t="inlineStr">
        <is>
          <t>assets/art/vfx/environment_3d/cloud_sea/vfx_env_cloud_sea_root_top3d.tscn</t>
        </is>
      </c>
      <c r="E23" s="109" t="n"/>
      <c r="F23" s="109" t="n"/>
      <c r="G23" s="108" t="inlineStr">
        <is>
          <t>室外常驻连续云海、下沉雾层、柔软漂浮小云</t>
        </is>
      </c>
      <c r="H23" s="107" t="inlineStr">
        <is>
          <t>src/vfx/VfxCloudSea3D.gd</t>
        </is>
      </c>
      <c r="I23" s="108" t="inlineStr">
        <is>
          <t>无</t>
        </is>
      </c>
      <c r="J23" s="107" t="inlineStr">
        <is>
          <t>无</t>
        </is>
      </c>
      <c r="K23" s="108" t="inlineStr">
        <is>
          <t>无</t>
        </is>
      </c>
      <c r="L23" s="107" t="inlineStr">
        <is>
          <t>连续世界密度云海476×90×536m，Y=-105～-15，云顶圆润起伏、云内遮光、下层薄雾、楼边透出下方楼层。24块漂浮小云，低档12块；高/中/低96/64/40步体积采样、4/3/2步定向透射。image-2原创1024²灰度密度，128³ RGB周期云结构，256×80×288 R8建筑避让；无碰撞。</t>
        </is>
      </c>
      <c r="M23" s="108" t="inlineStr">
        <is>
          <t>项目原创Shader/三维程序密度；gpt-image-2原创灰度云贴图，用户参考图仅作风格参考</t>
        </is>
      </c>
      <c r="N23" s="108" t="inlineStr">
        <is>
          <t>主塔与周围大楼99F以下的室外空间</t>
        </is>
      </c>
      <c r="O23" s="108" t="inlineStr">
        <is>
          <t>正式美术已接入</t>
        </is>
      </c>
      <c r="P23" s="107" t="inlineStr">
        <is>
          <t>v002</t>
        </is>
      </c>
      <c r="Q23" s="108" t="inlineStr">
        <is>
          <t>源：art_source/vfx/environment_3d/cloud_sea/source/v002；Manifest：assets/art/vfx/environment_3d/cloud_sea/asset_manifest.json；v002品质优先版，尚未专项优化。主场景OutdoorClouds持有；主塔全高度禁云，700建筑边界随最新布局重烘焙；建筑改变时用最多16个保守解析区域单独避让，不再隐藏整套云。正式西北楼角、天台520m及99F145m视距均验证云可见、亮部有余量；GPU纹理与实际兜底参数、暂停、60秒流动及变动建筑继续避让通过。原AssetID原行更新。</t>
        </is>
      </c>
    </row>
    <row r="24" ht="144" customHeight="1" s="52">
      <c r="A24" s="106" t="inlineStr">
        <is>
          <t>FX03-03</t>
        </is>
      </c>
      <c r="B24" s="107" t="inlineStr">
        <is>
          <t>VFX-RADIO-MUSIC-NOTES-3D</t>
        </is>
      </c>
      <c r="C24" s="108" t="inlineStr">
        <is>
          <t>收音机音乐上飘音符</t>
        </is>
      </c>
      <c r="D24" s="107" t="inlineStr">
        <is>
          <t>assets/art/vfx/environment_3d/radio_music_notes/vfx_radio_music_notes_root_top3d.tscn</t>
        </is>
      </c>
      <c r="E24" s="109" t="inlineStr">
        <is>
          <t>无（预制QuadMesh/ImageTexture）</t>
        </is>
      </c>
      <c r="F24" s="109" t="inlineStr">
        <is>
          <t>无（Godot资源生成）</t>
        </is>
      </c>
      <c r="G24" s="108" t="inlineStr">
        <is>
          <t>独立radio child纯视觉持续附件；5预制QuadMesh槽位/10三角形；Godot生成四分/八分/双八分音符纹理，无字体依赖；billboard当前相机；淡青绿/暖金unshaded无emission；2.5发/s、寿命1.8s、上飘1.1m、横摆0.09m、尺度0.88~1.06、淡入0.16s、末0.45s淡出；本地挂点Y1.42m；无碰撞/灯光/音频；真实playing驱动，A/B连续，off/离99/exit同步清空；不进任何战斗池。 单符Quad最终0.46×0.52m、出生横向偏移±0.22m。</t>
        </is>
      </c>
      <c r="H24" s="107" t="inlineStr">
        <is>
          <t>src/vfx/VfxRadioMusicNotes3D.gd</t>
        </is>
      </c>
      <c r="I24" s="108" t="inlineStr">
        <is>
          <t>关</t>
        </is>
      </c>
      <c r="J24" s="107" t="inlineStr">
        <is>
          <t>无：纯视觉附件</t>
        </is>
      </c>
      <c r="K24" s="108" t="inlineStr">
        <is>
          <t>无CollisionObject3D/CollisionShape3D</t>
        </is>
      </c>
      <c r="L24" s="107" t="inlineStr">
        <is>
          <t>每音符0.46×0.52m；上飘1.1m</t>
        </is>
      </c>
      <c r="M24" s="108" t="inlineStr">
        <is>
          <t>radio本地Y=1.42m；billboard当前相机</t>
        </is>
      </c>
      <c r="N24" s="108" t="inlineStr">
        <is>
          <t>收音机MusicNotes子节点</t>
        </is>
      </c>
      <c r="O24" s="108" t="inlineStr">
        <is>
          <t>正式美术已接入</t>
        </is>
      </c>
      <c r="P24" s="107" t="inlineStr">
        <is>
          <t>v001</t>
        </is>
      </c>
      <c r="Q24" s="108" t="inlineStr">
        <is>
          <t>独立PackedScene；radio唯一持有，不进池；验收 verify_base99_radio_music_notes。</t>
        </is>
      </c>
    </row>
    <row r="25" ht="66" customHeight="1" s="52">
      <c r="A25" s="97" t="inlineStr">
        <is>
          <t>▼ 01 战斗反馈（续）· 子弹特效（FX01-06 系列）</t>
        </is>
      </c>
      <c r="B25" s="98" t="n"/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9" t="n"/>
      <c r="Q25" s="92" t="n"/>
    </row>
    <row r="26" ht="15" customHeight="1" s="52">
      <c r="A26" s="100" t="inlineStr">
        <is>
          <t>FX01-08</t>
        </is>
      </c>
      <c r="B26" s="101" t="inlineStr">
        <is>
          <t>VFX-BULLET-STANDARD-3D</t>
        </is>
      </c>
      <c r="C26" s="51" t="inlineStr">
        <is>
          <t>标准子弹弹体与尾迹特效</t>
        </is>
      </c>
      <c r="D26" s="101" t="inlineStr">
        <is>
          <t>assets/art/vfx/combat_3d/vfx_bullet_standard_root_top3d.tscn</t>
        </is>
      </c>
      <c r="E26" s="51" t="inlineStr">
        <is>
          <t>无（程序几何）</t>
        </is>
      </c>
      <c r="F26" s="51" t="inlineStr">
        <is>
          <t>无（程序几何）</t>
        </is>
      </c>
      <c r="G26" s="51" t="inlineStr">
        <is>
          <t>中性基准弹体：细胶囊弹芯 + 柔和单锥尾迹，无任何元素附加物，不误导观感。</t>
        </is>
      </c>
      <c r="H26" s="101" t="inlineStr">
        <is>
          <t>src/vfx/VfxBulletStandard3D.gd</t>
        </is>
      </c>
      <c r="I26" s="51" t="inlineStr">
        <is>
          <t>无</t>
        </is>
      </c>
      <c r="J26" s="51" t="inlineStr">
        <is>
          <t>无</t>
        </is>
      </c>
      <c r="K26" s="51" t="inlineStr">
        <is>
          <t>无</t>
        </is>
      </c>
      <c r="L26" s="51" t="inlineStr">
        <is>
          <t>弹芯胶囊 r=0.045/h=0.20；外壳 r=0.075/h=0.18；单锥尾迹 底0.055/长0.46；灯 energy1.15/range1.75m</t>
        </is>
      </c>
      <c r="M26" s="51" t="inlineStr">
        <is>
          <t>原点=宿主原点（local position 保持 0，随 Projectile3D 变换）；朝向=弹体沿 local -Z，拖尾向 local +Z（身后）</t>
        </is>
      </c>
      <c r="N26" s="51" t="inlineStr">
        <is>
          <t>玩家/敌人 标准子弹模块（mod_bullet_standard）</t>
        </is>
      </c>
      <c r="O26" s="51" t="inlineStr">
        <is>
          <t>已完成</t>
        </is>
      </c>
      <c r="P26" s="101" t="inlineStr">
        <is>
          <t>v001</t>
        </is>
      </c>
      <c r="Q26" s="109" t="inlineStr">
        <is>
          <t>已实装；Prefab=assets/art/vfx/combat_3d/vfx_bullet_standard_root_top3d.tscn + 脚本=src/vfx/VfxBulletStandard3D.gd；根节点=VfxBulletStandard3D(Node3D)；变体父体 VFX-BULLET-VISUAL-3D；调用方 Projectile3D._build_visual()（BULLET_VISUAL_REGISTRY 路由）；无碰撞体；不进 VfxPool3D；验收：verify_bullet_vfx_profiles。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27" ht="15" customHeight="1" s="52">
      <c r="A27" s="100" t="inlineStr">
        <is>
          <t>FX01-09</t>
        </is>
      </c>
      <c r="B27" s="101" t="inlineStr">
        <is>
          <t>VFX-BULLET-STICKY-3D</t>
        </is>
      </c>
      <c r="C27" s="51" t="inlineStr">
        <is>
          <t>黏黏弹附着与倒计时特效</t>
        </is>
      </c>
      <c r="D27" s="101" t="inlineStr">
        <is>
          <t>assets/art/vfx/combat_3d/vfx_bullet_sticky_root_top3d.tscn</t>
        </is>
      </c>
      <c r="E27" s="51" t="inlineStr">
        <is>
          <t>无（程序几何）</t>
        </is>
      </c>
      <c r="F27" s="51" t="inlineStr">
        <is>
          <t>无（程序几何）</t>
        </is>
      </c>
      <c r="G27" s="51" t="inlineStr">
        <is>
          <t>短粗黏稠弹体 + 滴落小珠尾迹（drip 动画），强调「附着」质感。</t>
        </is>
      </c>
      <c r="H27" s="101" t="inlineStr">
        <is>
          <t>src/vfx/VfxBulletSticky3D.gd</t>
        </is>
      </c>
      <c r="I27" s="51" t="inlineStr">
        <is>
          <t>无</t>
        </is>
      </c>
      <c r="J27" s="51" t="inlineStr">
        <is>
          <t>无</t>
        </is>
      </c>
      <c r="K27" s="51" t="inlineStr">
        <is>
          <t>无</t>
        </is>
      </c>
      <c r="L27" s="51" t="inlineStr">
        <is>
          <t>弹芯胶囊 r=0.050/h=0.16；外壳 r=0.086/h=0.16；锥尾迹 底0.062/长0.34 + 3 滴落珠；灯 energy1.20/range1.80m</t>
        </is>
      </c>
      <c r="M27" s="51" t="inlineStr">
        <is>
          <t>原点=宿主原点（local position 保持 0，随 Projectile3D 变换）；朝向=弹体沿 local -Z，拖尾向 local +Z（身后）</t>
        </is>
      </c>
      <c r="N27" s="51" t="inlineStr">
        <is>
          <t>玩家/敌人 黏黏弹模块（mod_bullet_sticky）</t>
        </is>
      </c>
      <c r="O27" s="51" t="inlineStr">
        <is>
          <t>已完成</t>
        </is>
      </c>
      <c r="P27" s="101" t="inlineStr">
        <is>
          <t>v001</t>
        </is>
      </c>
      <c r="Q27" s="109" t="inlineStr">
        <is>
          <t>已实装；Prefab=assets/art/vfx/combat_3d/vfx_bullet_sticky_root_top3d.tscn + 脚本=src/vfx/VfxBulletSticky3D.gd；根节点=VfxBulletSticky3D(Node3D)；变体父体 VFX-BULLET-VISUAL-3D；调用方 Projectile3D._build_visual()（BULLET_VISUAL_REGISTRY 路由）；无碰撞体；不进 VfxPool3D；验收：verify_bullet_vfx_profiles。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28" ht="15" customHeight="1" s="52">
      <c r="A28" s="100" t="inlineStr">
        <is>
          <t>FX01-10</t>
        </is>
      </c>
      <c r="B28" s="101" t="inlineStr">
        <is>
          <t>VFX-BULLET-BOUNCE-3D</t>
        </is>
      </c>
      <c r="C28" s="51" t="inlineStr">
        <is>
          <t>回旋镖弹反弹折线与计数特效</t>
        </is>
      </c>
      <c r="D28" s="101" t="inlineStr">
        <is>
          <t>assets/art/vfx/combat_3d/vfx_bullet_bounce_root_top3d.tscn</t>
        </is>
      </c>
      <c r="E28" s="51" t="inlineStr">
        <is>
          <t>无（程序几何）</t>
        </is>
      </c>
      <c r="F28" s="51" t="inlineStr">
        <is>
          <t>无（程序几何）</t>
        </is>
      </c>
      <c r="G28" s="51" t="inlineStr">
        <is>
          <t>圆润弹体 + 三段左右错位的折线尾迹，方向变化一眼可读。</t>
        </is>
      </c>
      <c r="H28" s="101" t="inlineStr">
        <is>
          <t>src/vfx/VfxBulletBounce3D.gd</t>
        </is>
      </c>
      <c r="I28" s="51" t="inlineStr">
        <is>
          <t>无</t>
        </is>
      </c>
      <c r="J28" s="51" t="inlineStr">
        <is>
          <t>无</t>
        </is>
      </c>
      <c r="K28" s="51" t="inlineStr">
        <is>
          <t>无</t>
        </is>
      </c>
      <c r="L28" s="51" t="inlineStr">
        <is>
          <t>弹芯胶囊 r=0.048/h=0.14；外壳 r=0.072/h=0.13；三段折线锥 底0.052/0.040/0.030；灯 energy1.20/range1.80m</t>
        </is>
      </c>
      <c r="M28" s="51" t="inlineStr">
        <is>
          <t>原点=宿主原点（local position 保持 0，随 Projectile3D 变换）；朝向=弹体沿 local -Z，拖尾向 local +Z（身后）</t>
        </is>
      </c>
      <c r="N28" s="51" t="inlineStr">
        <is>
          <t>玩家/敌人 回旋镖弹模块（mod_bullet_bounce）</t>
        </is>
      </c>
      <c r="O28" s="51" t="inlineStr">
        <is>
          <t>已完成</t>
        </is>
      </c>
      <c r="P28" s="101" t="inlineStr">
        <is>
          <t>v001</t>
        </is>
      </c>
      <c r="Q28" s="109" t="inlineStr">
        <is>
          <t>已实装；Prefab=assets/art/vfx/combat_3d/vfx_bullet_bounce_root_top3d.tscn + 脚本=src/vfx/VfxBulletBounce3D.gd；根节点=VfxBulletBounce3D(Node3D)；变体父体 VFX-BULLET-VISUAL-3D；调用方 Projectile3D._build_visual()（BULLET_VISUAL_REGISTRY 路由）；无碰撞体；不进 VfxPool3D；验收：verify_bullet_vfx_profiles。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29" ht="15" customHeight="1" s="52">
      <c r="A29" s="100" t="inlineStr">
        <is>
          <t>FX01-11</t>
        </is>
      </c>
      <c r="B29" s="101" t="inlineStr">
        <is>
          <t>VFX-BULLET-PIERCING-3D</t>
        </is>
      </c>
      <c r="C29" s="51" t="inlineStr">
        <is>
          <t>穿甲弹贯穿线与层数特效</t>
        </is>
      </c>
      <c r="D29" s="101" t="inlineStr">
        <is>
          <t>assets/art/vfx/combat_3d/vfx_bullet_piercing_root_top3d.tscn</t>
        </is>
      </c>
      <c r="E29" s="51" t="inlineStr">
        <is>
          <t>无（程序几何）</t>
        </is>
      </c>
      <c r="F29" s="51" t="inlineStr">
        <is>
          <t>无（程序几何）</t>
        </is>
      </c>
      <c r="G29" s="51" t="inlineStr">
        <is>
          <t>细长针形弹体 + 细长双段贯穿尾迹，笔直的贯穿感。</t>
        </is>
      </c>
      <c r="H29" s="101" t="inlineStr">
        <is>
          <t>src/vfx/VfxBulletPiercing3D.gd</t>
        </is>
      </c>
      <c r="I29" s="51" t="inlineStr">
        <is>
          <t>无</t>
        </is>
      </c>
      <c r="J29" s="51" t="inlineStr">
        <is>
          <t>无</t>
        </is>
      </c>
      <c r="K29" s="51" t="inlineStr">
        <is>
          <t>无</t>
        </is>
      </c>
      <c r="L29" s="51" t="inlineStr">
        <is>
          <t>弹芯胶囊 r=0.028/h=0.30；外壳 r=0.044/h=0.28；两段针形尾迹 底0.036/0.022；灯 energy1.35/range1.95m</t>
        </is>
      </c>
      <c r="M29" s="51" t="inlineStr">
        <is>
          <t>原点=宿主原点（local position 保持 0，随 Projectile3D 变换）；朝向=弹体沿 local -Z，拖尾向 local +Z（身后）</t>
        </is>
      </c>
      <c r="N29" s="51" t="inlineStr">
        <is>
          <t>玩家/敌人 穿甲弹模块（mod_bullet_piercing）</t>
        </is>
      </c>
      <c r="O29" s="51" t="inlineStr">
        <is>
          <t>已完成</t>
        </is>
      </c>
      <c r="P29" s="101" t="inlineStr">
        <is>
          <t>v001</t>
        </is>
      </c>
      <c r="Q29" s="109" t="inlineStr">
        <is>
          <t>已实装；Prefab=assets/art/vfx/combat_3d/vfx_bullet_piercing_root_top3d.tscn + 脚本=src/vfx/VfxBulletPiercing3D.gd；根节点=VfxBulletPiercing3D(Node3D)；变体父体 VFX-BULLET-VISUAL-3D；调用方 Projectile3D._build_visual()（BULLET_VISUAL_REGISTRY 路由）；无碰撞体；不进 VfxPool3D；验收：verify_bullet_vfx_profiles。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0" ht="15" customHeight="1" s="52">
      <c r="A30" s="100" t="inlineStr">
        <is>
          <t>FX01-12</t>
        </is>
      </c>
      <c r="B30" s="101" t="inlineStr">
        <is>
          <t>VFX-BULLET-EXPLOSIVE-3D</t>
        </is>
      </c>
      <c r="C30" s="51" t="inlineStr">
        <is>
          <t>爆炸弹弹体与爆炸时点特效</t>
        </is>
      </c>
      <c r="D30" s="101" t="inlineStr">
        <is>
          <t>assets/art/vfx/combat_3d/vfx_bullet_explosive_root_top3d.tscn</t>
        </is>
      </c>
      <c r="E30" s="51" t="inlineStr">
        <is>
          <t>无（程序几何）</t>
        </is>
      </c>
      <c r="F30" s="51" t="inlineStr">
        <is>
          <t>无（程序几何）</t>
        </is>
      </c>
      <c r="G30" s="51" t="inlineStr">
        <is>
          <t>粗壮弹体 + 带飞散火星的锥尾迹（flicker 动画），体积感与弹重匹配。</t>
        </is>
      </c>
      <c r="H30" s="101" t="inlineStr">
        <is>
          <t>src/vfx/VfxBulletExplosive3D.gd</t>
        </is>
      </c>
      <c r="I30" s="51" t="inlineStr">
        <is>
          <t>无</t>
        </is>
      </c>
      <c r="J30" s="51" t="inlineStr">
        <is>
          <t>无</t>
        </is>
      </c>
      <c r="K30" s="51" t="inlineStr">
        <is>
          <t>无</t>
        </is>
      </c>
      <c r="L30" s="51" t="inlineStr">
        <is>
          <t>弹芯胶囊 r=0.055/h=0.22；外壳 r=0.094/h=0.20；锥尾迹 底0.078/长0.40 + 3 火星条；灯 energy1.65/range2.40m</t>
        </is>
      </c>
      <c r="M30" s="51" t="inlineStr">
        <is>
          <t>原点=宿主原点（local position 保持 0，随 Projectile3D 变换）；朝向=弹体沿 local -Z，拖尾向 local +Z（身后）</t>
        </is>
      </c>
      <c r="N30" s="51" t="inlineStr">
        <is>
          <t>玩家/敌人 爆炸弹模块（mod_bullet_explosive）</t>
        </is>
      </c>
      <c r="O30" s="51" t="inlineStr">
        <is>
          <t>已完成</t>
        </is>
      </c>
      <c r="P30" s="101" t="inlineStr">
        <is>
          <t>v001</t>
        </is>
      </c>
      <c r="Q30" s="109" t="inlineStr">
        <is>
          <t>已实装；Prefab=assets/art/vfx/combat_3d/vfx_bullet_explosive_root_top3d.tscn + 脚本=src/vfx/VfxBulletExplosive3D.gd；根节点=VfxBulletExplosive3D(Node3D)；变体父体 VFX-BULLET-VISUAL-3D；调用方 Projectile3D._build_visual()（BULLET_VISUAL_REGISTRY 路由）；无碰撞体；不进 VfxPool3D；验收：verify_bullet_vfx_profiles。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1" ht="15" customHeight="1" s="52">
      <c r="A31" s="100" t="inlineStr">
        <is>
          <t>FX01-13</t>
        </is>
      </c>
      <c r="B31" s="101" t="inlineStr">
        <is>
          <t>VFX-BULLET-HOMING-3D</t>
        </is>
      </c>
      <c r="C31" s="51" t="inlineStr">
        <is>
          <t>蜂卵弹锁定框与弯曲尾迹特效</t>
        </is>
      </c>
      <c r="D31" s="101" t="inlineStr">
        <is>
          <t>assets/art/vfx/combat_3d/vfx_bullet_homing_root_top3d.tscn</t>
        </is>
      </c>
      <c r="E31" s="51" t="inlineStr">
        <is>
          <t>无（程序几何）</t>
        </is>
      </c>
      <c r="F31" s="51" t="inlineStr">
        <is>
          <t>无（程序几何）</t>
        </is>
      </c>
      <c r="G31" s="51" t="inlineStr">
        <is>
          <t>椭圆蜂卵弹体 + 向两侧摆动的弯曲尾迹（wave 动画），读得出「在追」。</t>
        </is>
      </c>
      <c r="H31" s="101" t="inlineStr">
        <is>
          <t>src/vfx/VfxBulletHoming3D.gd</t>
        </is>
      </c>
      <c r="I31" s="51" t="inlineStr">
        <is>
          <t>无</t>
        </is>
      </c>
      <c r="J31" s="51" t="inlineStr">
        <is>
          <t>无</t>
        </is>
      </c>
      <c r="K31" s="51" t="inlineStr">
        <is>
          <t>无</t>
        </is>
      </c>
      <c r="L31" s="51" t="inlineStr">
        <is>
          <t>弹芯胶囊 r=0.050/h=0.18；外壳 r=0.082/h=0.16；三段摆动尾迹；灯 energy1.25/range1.90m</t>
        </is>
      </c>
      <c r="M31" s="51" t="inlineStr">
        <is>
          <t>原点=宿主原点（local position 保持 0，随 Projectile3D 变换）；朝向=弹体沿 local -Z，拖尾向 local +Z（身后）</t>
        </is>
      </c>
      <c r="N31" s="51" t="inlineStr">
        <is>
          <t>玩家/敌人 蜂卵弹模块（mod_bullet_homing）</t>
        </is>
      </c>
      <c r="O31" s="51" t="inlineStr">
        <is>
          <t>已完成</t>
        </is>
      </c>
      <c r="P31" s="101" t="inlineStr">
        <is>
          <t>v001</t>
        </is>
      </c>
      <c r="Q31" s="109" t="inlineStr">
        <is>
          <t>已实装；Prefab=assets/art/vfx/combat_3d/vfx_bullet_homing_root_top3d.tscn + 脚本=src/vfx/VfxBulletHoming3D.gd；根节点=VfxBulletHoming3D(Node3D)；变体父体 VFX-BULLET-VISUAL-3D；调用方 Projectile3D._build_visual()（BULLET_VISUAL_REGISTRY 路由）；无碰撞体；不进 VfxPool3D；验收：verify_bullet_vfx_profiles。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2" ht="15" customHeight="1" s="52">
      <c r="A32" s="100" t="inlineStr">
        <is>
          <t>FX01-14</t>
        </is>
      </c>
      <c r="B32" s="101" t="inlineStr">
        <is>
          <t>VFX-BULLET-BLACKHOLE-3D</t>
        </is>
      </c>
      <c r="C32" s="51" t="inlineStr">
        <is>
          <t>黑洞弹核心与吸入流线特效</t>
        </is>
      </c>
      <c r="D32" s="101" t="inlineStr">
        <is>
          <t>assets/art/vfx/combat_3d/vfx_bullet_blackhole_root_top3d.tscn</t>
        </is>
      </c>
      <c r="E32" s="51" t="inlineStr">
        <is>
          <t>无（程序几何）</t>
        </is>
      </c>
      <c r="F32" s="51" t="inlineStr">
        <is>
          <t>无（程序几何）</t>
        </is>
      </c>
      <c r="G32" s="51" t="inlineStr">
        <is>
          <t>暗核球形 + 紫光环 + 外扩喇叭尾迹（spin 旋转），读得出「在吸」。</t>
        </is>
      </c>
      <c r="H32" s="101" t="inlineStr">
        <is>
          <t>src/vfx/VfxBulletBlackhole3D.gd</t>
        </is>
      </c>
      <c r="I32" s="51" t="inlineStr">
        <is>
          <t>无</t>
        </is>
      </c>
      <c r="J32" s="51" t="inlineStr">
        <is>
          <t>无</t>
        </is>
      </c>
      <c r="K32" s="51" t="inlineStr">
        <is>
          <t>无</t>
        </is>
      </c>
      <c r="L32" s="51" t="inlineStr">
        <is>
          <t>弹芯球 r=0.058；外壳球 r=0.098；外扩喇叭三段 底0.040/0.068/0.096；灯 energy1.45/range2.20m</t>
        </is>
      </c>
      <c r="M32" s="51" t="inlineStr">
        <is>
          <t>原点=宿主原点（local position 保持 0，随 Projectile3D 变换）；朝向=弹体沿 local -Z，拖尾向 local +Z（身后）</t>
        </is>
      </c>
      <c r="N32" s="51" t="inlineStr">
        <is>
          <t>玩家/敌人 黑洞弹模块（mod_bullet_blackhole）</t>
        </is>
      </c>
      <c r="O32" s="51" t="inlineStr">
        <is>
          <t>已完成</t>
        </is>
      </c>
      <c r="P32" s="101" t="inlineStr">
        <is>
          <t>v001</t>
        </is>
      </c>
      <c r="Q32" s="109" t="inlineStr">
        <is>
          <t>已实装；Prefab=assets/art/vfx/combat_3d/vfx_bullet_blackhole_root_top3d.tscn + 脚本=src/vfx/VfxBulletBlackhole3D.gd；根节点=VfxBulletBlackhole3D(Node3D)；变体父体 VFX-BULLET-VISUAL-3D；调用方 Projectile3D._build_visual()（BULLET_VISUAL_REGISTRY 路由）；无碰撞体；不进 VfxPool3D；验收：verify_bullet_vfx_profiles。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3" ht="15" customHeight="1" s="52">
      <c r="A33" s="100" t="inlineStr">
        <is>
          <t>FX01-15</t>
        </is>
      </c>
      <c r="B33" s="101" t="inlineStr">
        <is>
          <t>VFX-BULLET-BALLOON-3D</t>
        </is>
      </c>
      <c r="C33" s="51" t="inlineStr">
        <is>
          <t>气球弹膨胀弹体与命中体积特效</t>
        </is>
      </c>
      <c r="D33" s="101" t="inlineStr">
        <is>
          <t>assets/art/vfx/combat_3d/vfx_bullet_balloon_root_top3d.tscn</t>
        </is>
      </c>
      <c r="E33" s="51" t="inlineStr">
        <is>
          <t>无（程序几何）</t>
        </is>
      </c>
      <c r="F33" s="51" t="inlineStr">
        <is>
          <t>无（程序几何）</t>
        </is>
      </c>
      <c r="G33" s="51" t="inlineStr">
        <is>
          <t>大球体弹体 + 粗短厚重尾迹，并支持 apply_growth 继续膨胀。</t>
        </is>
      </c>
      <c r="H33" s="101" t="inlineStr">
        <is>
          <t>src/vfx/VfxBulletBalloon3D.gd</t>
        </is>
      </c>
      <c r="I33" s="51" t="inlineStr">
        <is>
          <t>无</t>
        </is>
      </c>
      <c r="J33" s="51" t="inlineStr">
        <is>
          <t>无</t>
        </is>
      </c>
      <c r="K33" s="51" t="inlineStr">
        <is>
          <t>无</t>
        </is>
      </c>
      <c r="L33" s="51" t="inlineStr">
        <is>
          <t>弹芯球 r=0.070；外壳球 r=0.118；粗短锥尾迹 底0.104/长0.36；灯 energy1.30/range2.05m</t>
        </is>
      </c>
      <c r="M33" s="51" t="inlineStr">
        <is>
          <t>原点=宿主原点（local position 保持 0，随 Projectile3D 变换）；朝向=弹体沿 local -Z，拖尾向 local +Z（身后）</t>
        </is>
      </c>
      <c r="N33" s="51" t="inlineStr">
        <is>
          <t>玩家/敌人 气球弹模块（mod_bullet_balloon）</t>
        </is>
      </c>
      <c r="O33" s="51" t="inlineStr">
        <is>
          <t>已完成</t>
        </is>
      </c>
      <c r="P33" s="101" t="inlineStr">
        <is>
          <t>v001</t>
        </is>
      </c>
      <c r="Q33" s="109" t="inlineStr">
        <is>
          <t>已实装；Prefab=assets/art/vfx/combat_3d/vfx_bullet_balloon_root_top3d.tscn + 脚本=src/vfx/VfxBulletBalloon3D.gd；根节点=VfxBulletBalloon3D(Node3D)；变体父体 VFX-BULLET-VISUAL-3D；调用方 Projectile3D._build_visual()（BULLET_VISUAL_REGISTRY 路由）；无碰撞体；不进 VfxPool3D；验收：verify_bullet_vfx_profiles。
【枪族弹体尺寸档 2026-10-14】业主「每把枪的子弹大小要做出区分」+「散射喷壶的子弹太小了，出生和结束都增加 2 倍」+「减面，减到 100 个面以下先」：① **尺寸两层**：弹体视觉尺寸 = 弹种 profile × 枪身族档位（档位真源 WeaponModel3D.BULLET_GEOMETRY_BY_GUN_TAG，键 = 枪身 tags 族标识，不是 gun_id —— 按族声明，新增同族枪自动继承）。三档：散射喷壶 shotgun 各向同性 ×2.00 + 由小变大（出生 0.84、0.30s 线性长到 2.00；grow_from = 0.42 是**比例**，保持不变即出生与长满两端同步 ×2）；反胃榴弹筒 launcher ×1.55；弹弓狙击 sniper 横向 ×0.95 + 沿飞行轴 ×2.0（净长 1.90 倍）；其余枪中性档。轴向拉伸只落各件自己的局部长轴与尾迹段距，不写父级 scale/rotation（父级非均匀缩放 × 子级旋转 = 剪切变形）。② **链路**：WeaponModel3D 解析 → projectile_config.gun_bullet_geometry → Projectile3D._gun_bullet_geometry → activate 的 context（axial_scale / grow_from / grow_duration）→ VfxBulletBody3D；子投射物继承，池化复借在 configure 与 deactivate 双处复位。③ **纯视觉边界**：枪身档位不进碰撞半径 —— Projectile3D 的 _visual_scale_factor()（弹种 × 命运 × 枪身族，供视觉）与 _collision_scale_factor()（只含弹种 × 命运，供 0.12 基准球）已拆开，验收有正面断言钉住。④ **低面数档**：弹芯/外壳由 CapsuleMesh 改为 4 边棱柱（CylinderMesh，16 面/件）—— CapsuleMesh 的圆头来自 rings，rings=0 的「胶囊」等价平盖圆柱且贵 8 面，rings=1 要 48 面/件、两件即吃掉 100 面全部预算；尾迹锥 4 段（12 面）、滴珠改 BoxMesh（16→12 面，滴珠世界尺寸仅 0.011~0.018m 不可分辨）、黑洞/气球球核 SphereMesh 4×1（16 面）。单弹总面数 **44~80**（改前 468~1020，降 92%~94%）；均值 819 → **61.3**；霰弹枪一次 5 发 3660 → **220** 面。**件数与尾迹构图未动**（件数属账本与验收契约）。缩放不改变面数。分段常量集中在 VfxBulletBody3D 顶部与 VfxBulletVisual3D._SEGMENTS。⑤ **验收**：verify_bullet_vfx_profiles（samples=69）—— 9 枪档位 + 生长包络步进 + 中性档不启用 + 复借复位 + 碰撞半径守卫 + 面数预算（上限 100 与逐弹种实测值双层钉住，期望硬编码在验收侧）；反向对照 RC1~RC8 全部精准变红后还原复绿（文件 md5 与改前一致）。</t>
        </is>
      </c>
    </row>
    <row r="34" ht="66" customHeight="1" s="52">
      <c r="A34" s="97" t="inlineStr">
        <is>
          <t>▼ 01 战斗反馈（续）· 怪物启动表现</t>
        </is>
      </c>
      <c r="B34" s="98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98" t="n"/>
      <c r="N34" s="98" t="n"/>
      <c r="O34" s="98" t="n"/>
      <c r="P34" s="99" t="n"/>
      <c r="Q34" s="92" t="n"/>
    </row>
    <row r="35" ht="15" customHeight="1" s="52">
      <c r="A35" s="100" t="inlineStr">
        <is>
          <t>FX01-16</t>
        </is>
      </c>
      <c r="B35" s="101" t="inlineStr">
        <is>
          <t>VFX-MONSTER-ROAR-ICON-3D</t>
        </is>
      </c>
      <c r="C35" s="51" t="inlineStr">
        <is>
          <t>怪物启动吼叫头顶图标</t>
        </is>
      </c>
      <c r="D35" s="101" t="inlineStr">
        <is>
          <t>assets/art/vfx/combat_3d/vfx_monster_roar_icon_root_top3d.tscn</t>
        </is>
      </c>
      <c r="E35" s="51" t="inlineStr">
        <is>
          <t>无（程序 Sprite3D + gpt-image-2 贴图）</t>
        </is>
      </c>
      <c r="F35" s="51" t="inlineStr">
        <is>
          <t>无（贴图非 Blender 产物）</t>
        </is>
      </c>
      <c r="G35" s="51" t="inlineStr">
        <is>
          <t>怪物启动过程的头顶吼叫提示：怪物从待机/巡游进入攻击前有 0.30–0.60s 随机启动过程，转向玩家后头顶弹出本图标（业主 2026-10-14 设计），随后才进入攻击。尺寸按体型等比：世界边长 = 该怪头顶血条宽 × 0.42，钳制 0.45–1.20 m，因此 8 档体型各不同（炸弹果 0.483m → Boss 1.113m）；公式真源 src/enemy3d/MonsterStartupProfile.gd。</t>
        </is>
      </c>
      <c r="H35" s="101" t="inlineStr">
        <is>
          <t>src/vfx/VfxMonsterRoarIcon3D.gd</t>
        </is>
      </c>
      <c r="I35" s="51" t="inlineStr">
        <is>
          <t>无</t>
        </is>
      </c>
      <c r="J35" s="51" t="inlineStr">
        <is>
          <t>无</t>
        </is>
      </c>
      <c r="K35" s="51" t="inlineStr">
        <is>
          <t>无</t>
        </is>
      </c>
      <c r="L35" s="51" t="inlineStr">
        <is>
          <t>原生贴图 256² × pixel_size 0.005 = 世界 1.28m/边；运行时按目标边长重算基准缩放（0.352–0.938）；弹出段 ×0.70→×1.08→×1.00；图标世界边长 0.483 / 0.580 / 0.651 / 0.756 / 0.861 / 1.113 m（对应 6 档体型）</t>
        </is>
      </c>
      <c r="M35" s="51" t="inlineStr">
        <is>
          <t>原点=怪物头顶锚点上方（偏移 = 血条高/2 + 0.12 + 图标边长/2，相对头顶血条槽根）；朝向=BILLBOARD_ENABLED 永久朝向摄像机、关闭深度测试（不被怪物身体或墙挡住）</t>
        </is>
      </c>
      <c r="N35" s="51" t="inlineStr">
        <is>
          <t>普通怪与唯一精英头顶（Boss 豁免）</t>
        </is>
      </c>
      <c r="O35" s="51" t="inlineStr">
        <is>
          <t>已完成</t>
        </is>
      </c>
      <c r="P35" s="101" t="inlineStr">
        <is>
          <t>v002</t>
        </is>
      </c>
      <c r="Q35" s="51" t="inlineStr">
        <is>
          <t>已实装 v002（2026-10-14 业主指定改版）；Prefab=assets/art/vfx/combat_3d/vfx_monster_roar_icon_root_top3d.tscn；贴图=assets/art/vfx/textures/vfx_monster_roar_icon_atlas_v001.png；根节点=VfxMonsterRoarIcon3D(Node3D)；脚本=src/vfx/VfxMonsterRoarIcon3D.gd。**本次改版**：图形换为纯红感叹号；**新增「弹出后停顿」节奏** —— 四段 ① 弹出 0.70→1.15（过冲）② 回稳 →1.00 ③ **停顿：严格静止** ④ 淡出，停顿段实测 scale 逐位相同；图标与血条间隙改为按图标边长 0.30 的比例（原固定 0.12m 会贴住血条）。尺寸按体型等比（血条宽 × 0.42，钳制 0.45–1.20m），公式真源 src/enemy3d/MonsterStartupProfile.gd。归属：每怪常驻 Sprite3D 由怪物自身持有，**刻意不进 VfxPool3D**；提前退场 `dismiss()` 幂等；纯视觉无碰撞体。验收 verify_monster_startup_roar。设计见 docs/v0.1/06A_怪物AI系统完整设计_评审稿.md §6.1.1，施工见 06 §3.2。</t>
        </is>
      </c>
    </row>
    <row r="36" ht="15" customHeight="1" s="52">
      <c r="A36" s="97" t="inlineStr">
        <is>
          <t>▼ 01 战斗反馈（续）· 死亡表现与命中分流</t>
        </is>
      </c>
      <c r="B36" s="98" t="n"/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98" t="n"/>
      <c r="N36" s="98" t="n"/>
      <c r="O36" s="98" t="n"/>
      <c r="P36" s="99" t="n"/>
      <c r="Q36" s="92" t="n"/>
    </row>
    <row r="37" ht="15" customHeight="1" s="52">
      <c r="A37" s="100" t="inlineStr">
        <is>
          <t>FX01-17</t>
        </is>
      </c>
      <c r="B37" s="101" t="inlineStr">
        <is>
          <t>VFX-DEATH-BLAST-3D</t>
        </is>
      </c>
      <c r="C37" s="51" t="inlineStr">
        <is>
          <t>胖子僵尸死亡表现（小僵尸死亡表现 ×2 + 绿色冲击波）</t>
        </is>
      </c>
      <c r="D37" s="101" t="inlineStr">
        <is>
          <t>assets/art/vfx/combat_3d/vfx_death_blast_root_top3d.tscn</t>
        </is>
      </c>
      <c r="E37" s="51" t="inlineStr">
        <is>
          <t>无（程序几何）</t>
        </is>
      </c>
      <c r="F37" s="51" t="inlineStr">
        <is>
          <t>无（程序几何）</t>
        </is>
      </c>
      <c r="G37" s="51" t="inlineStr">
        <is>
          <t>胖子僵尸被打死瞬间的死亡表现（业主 2026-10-14「把小僵尸的死亡特效放大两倍给胖子僵尸用，然后带一个绿色冲击波的效果」）：12 枚绿方块从胸口炸开 → 14 枚抛物线飞溅、落地压扁缩没 → 4 块扁平方形地面液体落在飞溅粒子的真实落点（出现 → 严格停留 0.50s → 下沉 0.30m 淡出）→ 3 层绿色冲击波贴地向外扫；全程 1.35s。</t>
        </is>
      </c>
      <c r="H37" s="101" t="inlineStr">
        <is>
          <t>src/vfx/VfxDeathBlast3D.gd</t>
        </is>
      </c>
      <c r="I37" s="51" t="inlineStr">
        <is>
          <t>无</t>
        </is>
      </c>
      <c r="J37" s="51" t="inlineStr">
        <is>
          <t>无</t>
        </is>
      </c>
      <c r="K37" s="51" t="inlineStr">
        <is>
          <t>无</t>
        </is>
      </c>
      <c r="L37" s="51" t="inlineStr">
        <is>
          <t>基准方块 0.34m（爆炸粒子）/ 0.26m（飞溅粒子）；地面液体 0.72m × (0.86~1.16)；GooLight 范围 4.2 × size、能量峰值 6.0、0.34s 归零；绿色冲击波 3 层、外缘 ≈1.548 × size；lifetime 1.35s。**调用方固定 size = 2.0**（Enemy3D.FAT_DEATH_EFFECT_SIZE）</t>
        </is>
      </c>
      <c r="M37" s="51" t="inlineStr">
        <is>
          <t>原点 = 根节点中心（＝怪胸口，脚底 + 0.65m）；**无朝向契约（全向对称）**；地面件（液体 + 冲击波）平铺 XZ、只绕 Y 轴转</t>
        </is>
      </c>
      <c r="N37" s="51" t="inlineStr">
        <is>
          <t>远征01 胖子僵尸死亡自爆（Enemy3D._detonate_death_explosion）</t>
        </is>
      </c>
      <c r="O37" s="51" t="inlineStr">
        <is>
          <t>已完成</t>
        </is>
      </c>
      <c r="P37" s="101" t="inlineStr">
        <is>
          <t>v002</t>
        </is>
      </c>
      <c r="Q37" s="51" t="inlineStr">
        <is>
          <t>已实装 v002（2026-10-14 整体重做）；Prefab=assets/art/vfx/combat_3d/vfx_death_blast_root_top3d.tscn + 脚本=src/vfx/VfxDeathBlast3D.gd（extends src/vfx/VfxGooDeathBase3D.gd，只覆盖资产身份与冲击波开关）+ 驱动 src/enemy3d/Enemy3D.gd；走 VfxPool3D 的 FX01_DEATH_BLAST；验收 verify_death_blast_vfx（samples=12）。⚠ 尺寸不再按伤害半径反推 —— 观感与伤害是两条独立的线。</t>
        </is>
      </c>
    </row>
    <row r="38" ht="15" customHeight="1" s="52">
      <c r="A38" s="100" t="inlineStr">
        <is>
          <t>FX01-18</t>
        </is>
      </c>
      <c r="B38" s="101" t="inlineStr">
        <is>
          <t>VFX-BLAST-ZONE-3D</t>
        </is>
      </c>
      <c r="C38" s="51" t="inlineStr">
        <is>
          <t>自爆地面残留伤害场</t>
        </is>
      </c>
      <c r="D38" s="101" t="inlineStr">
        <is>
          <t>assets/art/vfx/combat_3d/vfx_blast_zone_root_top3d.tscn</t>
        </is>
      </c>
      <c r="E38" s="51" t="inlineStr">
        <is>
          <t>无（程序几何）</t>
        </is>
      </c>
      <c r="F38" s="51" t="inlineStr">
        <is>
          <t>无（程序几何）</t>
        </is>
      </c>
      <c r="G38" s="51" t="inlineStr">
        <is>
          <t>自爆后**留在地上的持续伤害范围**的视觉层（业主 2026-10-14「在地上留一个持续伤害的范围效果，持续3秒」）：半透明场底面（CylinderMesh 薄片）+ 外缘定环（把杀伤边界钉死）+ 3 层错峰脉冲环 + 6 枚上升余烬 + 一盏 OmniLight3D（名 ZoneLight，shadow_enabled=false）。**纯视觉**：不含碰撞体、不结算伤害 —— 伤害由玩法节点 src/enemy3d/DeathBlastZone3D.gd 按周期处理。**地面朝向契约**：整件平铺在 XZ 平面，调用方在地面高度 activate 且不做任何旋转。</t>
        </is>
      </c>
      <c r="H38" s="101" t="inlineStr">
        <is>
          <t>src/vfx/VfxBlastZone3D.gd</t>
        </is>
      </c>
      <c r="I38" s="51" t="inlineStr">
        <is>
          <t>无（纯视觉；伤害在玩法节点结算）</t>
        </is>
      </c>
      <c r="J38" s="51" t="inlineStr">
        <is>
          <t>无</t>
        </is>
      </c>
      <c r="K38" s="51" t="inlineStr">
        <is>
          <t>无CollisionObject3D/CollisionShape3D</t>
        </is>
      </c>
      <c r="L38" s="51" t="inlineStr">
        <is>
          <t>场底面半径 = size（＝规格半径）；外缘定环半径 = size；脉冲环 0.45→1.0×size；lifetime = context.zone_seconds（默认 3.0s）；ZoneLight range 4.5m×size、峰值 light_energy 3.4、寿命末端归零</t>
        </is>
      </c>
      <c r="M38" s="51" t="inlineStr">
        <is>
          <t>原点=根节点中心（＝地面上的圆心）；朝向=**平铺 XZ，调用方不旋转**</t>
        </is>
      </c>
      <c r="N38" s="51" t="inlineStr">
        <is>
          <t>远征01 胖子僵尸自爆地面残留（DeathBlastZone3D 子实例）</t>
        </is>
      </c>
      <c r="O38" s="51" t="inlineStr">
        <is>
          <t>已完成</t>
        </is>
      </c>
      <c r="P38" s="101" t="inlineStr">
        <is>
          <t>v001</t>
        </is>
      </c>
      <c r="Q38" s="51" t="inlineStr">
        <is>
          <t>已实装；Prefab=assets/art/vfx/combat_3d/vfx_blast_zone_root_top3d.tscn + 脚本=src/vfx/VfxBlastZone3D.gd；根节点=VfxBlastZone3D(Node3D)；FX编号 FX01-18；**宿主自持、刻意不进 VfxPool3D**（生命周期归 DeathBlastZone3D，同 FX01-16 头顶图标、FX03-03 收音机音符口径）；AssetID 常量见 DeathBlastZone3D.ZONE_VFX_ASSET_ID；验收=verify_death_blast_vfx。</t>
        </is>
      </c>
    </row>
    <row r="39" ht="15" customHeight="1" s="52">
      <c r="A39" s="100" t="inlineStr">
        <is>
          <t>FX01-19</t>
        </is>
      </c>
      <c r="B39" s="101" t="inlineStr">
        <is>
          <t>VFX-ZOMBIE-GOO-DEATH-3D</t>
        </is>
      </c>
      <c r="C39" s="51" t="inlineStr">
        <is>
          <t>僵尸死亡绿色方块爆开特效</t>
        </is>
      </c>
      <c r="D39" s="101" t="inlineStr">
        <is>
          <t>assets/art/vfx/combat_3d/vfx_zombie_goo_death_root_top3d.tscn</t>
        </is>
      </c>
      <c r="E39" s="51" t="inlineStr">
        <is>
          <t>无（程序几何）</t>
        </is>
      </c>
      <c r="F39" s="51" t="inlineStr">
        <is>
          <t>无（程序几何）</t>
        </is>
      </c>
      <c r="G39" s="51" t="inlineStr">
        <is>
          <t>小僵尸 / 警察僵尸被打死瞬间的一次性死亡表现（业主 2026-10-14）：12 枚绿色方块从胸口炸开（尺度过冲 4.6 倍后收缩，0.24s 收干净）→ 14 枚方块按 g=30 抛物线飞溅、落地压扁后缩没 → 4 块扁平方形「液体」落在飞溅粒子的真实落点上，出现后**严格停留 0.50s**，再慢慢下沉 0.30m 并淡出；全程 1.35s。全向对称，刻意不消费 forward/normal。</t>
        </is>
      </c>
      <c r="H39" s="101" t="inlineStr">
        <is>
          <t>src/vfx/VfxZombieGooDeath3D.gd</t>
        </is>
      </c>
      <c r="I39" s="51" t="inlineStr">
        <is>
          <t>无</t>
        </is>
      </c>
      <c r="J39" s="51" t="inlineStr">
        <is>
          <t>无</t>
        </is>
      </c>
      <c r="K39" s="51" t="inlineStr">
        <is>
          <t>无CollisionObject3D/CollisionShape3D</t>
        </is>
      </c>
      <c r="L39" s="51" t="inlineStr">
        <is>
          <t>基准方块 0.34m（爆炸粒子）/ 0.26m（飞溅粒子）；地面液体 0.72m × (0.86~1.16)；GooLight 范围 4.2 × size、能量峰值 6.0；lifetime 1.35s</t>
        </is>
      </c>
      <c r="M39" s="51" t="inlineStr">
        <is>
          <t>原点 = 根节点中心（＝怪胸口，脚底 + 0.65m）；**无朝向契约（全向对称）**；地面件平铺 XZ、只绕 Y 轴转</t>
        </is>
      </c>
      <c r="N39" s="51" t="inlineStr">
        <is>
          <t>小僵尸（melee_chaser）/ 警察僵尸（ranged_caster）死亡（Enemy3D._die → _spawn_goo_death_burst）</t>
        </is>
      </c>
      <c r="O39" s="51" t="inlineStr">
        <is>
          <t>已完成</t>
        </is>
      </c>
      <c r="P39" s="101" t="inlineStr">
        <is>
          <t>v001</t>
        </is>
      </c>
      <c r="Q39" s="51" t="inlineStr">
        <is>
          <t>已实装；Prefab=assets/art/vfx/combat_3d/vfx_zombie_goo_death_root_top3d.tscn + 脚本=src/vfx/VfxZombieGooDeath3D.gd；根节点=VfxZombieGooDeath3D(Node3D)；走 VfxPool3D 的 FX01_ZOMBIE_GOO_DEATH；调用方 Enemy3D._die()（goo 怪种无尸体、无倒地动画）；验收 verify_zombie_goo_death_vfx（samples=14）。</t>
        </is>
      </c>
    </row>
    <row r="40" ht="15" customHeight="1" s="52">
      <c r="A40" s="100" t="inlineStr">
        <is>
          <t>FX01-20</t>
        </is>
      </c>
      <c r="B40" s="101" t="inlineStr">
        <is>
          <t>VFX-GOO-HIT-3D</t>
        </is>
      </c>
      <c r="C40" s="51" t="inlineStr">
        <is>
          <t>僵尸受击特效（绿色金属火星）</t>
        </is>
      </c>
      <c r="D40" s="101" t="inlineStr">
        <is>
          <t>assets/art/vfx/combat_3d/vfx_goo_hit_root_top3d.tscn</t>
        </is>
      </c>
      <c r="E40" s="51" t="inlineStr">
        <is>
          <t>无（程序几何）</t>
        </is>
      </c>
      <c r="F40" s="51" t="inlineStr">
        <is>
          <t>无（程序几何）</t>
        </is>
      </c>
      <c r="G40" s="51" t="inlineStr">
        <is>
          <t>子弹或近战打中「僵尸三兄弟」（小僵尸 / 警察僵尸 / 胖子僵尸）时的受击反馈。**v002（2026-10-14 第四轮）**：造型整体换成 FX01-21 `VFX-METAL-SPARK-HIT-3D` 那一套（5 颗绿方块 + 2 根绿色长条火星），寿命 0.32s；与 FX01-21 **逐字同形、只差色板**（共用父类 `VfxMetalSparkHit3D`）；尺寸由调用方按同档位 ×1.10 给；**消费 `context.normal`**；命中点先经 `Enemy3D.hit_effect_anchor()` 收进模型 0.2m。刻意无灯（高频件）。</t>
        </is>
      </c>
      <c r="H40" s="101" t="inlineStr">
        <is>
          <t>src/vfx/VfxGooHit3D.gd</t>
        </is>
      </c>
      <c r="I40" s="51" t="inlineStr">
        <is>
          <t>无</t>
        </is>
      </c>
      <c r="J40" s="51" t="inlineStr">
        <is>
          <t>无</t>
        </is>
      </c>
      <c r="K40" s="51" t="inlineStr">
        <is>
          <t>无CollisionObject3D/CollisionShape3D</t>
        </is>
      </c>
      <c r="L40" s="51" t="inlineStr">
        <is>
          <t>方块 5 颗（基准边长 0.16m）+ 长条火星 2 根（长 0.50→1.30 × size，沿切平面擦出）；尺度包络 0.45→1.05→0.30；lifetime 0.32s；尺寸 = 金属火星同档位 ×1.10（枪击目标档 0.374 / 吸收档 0.462；近战基准 0.42）；命中点沿外法线反向下沉 0.20m；无灯</t>
        </is>
      </c>
      <c r="M40" s="51" t="inlineStr">
        <is>
          <t>原点 = 命中点（已沿外法线反向下沉 0.20m）；**消费 context.normal**：局部 +Y 对齐被击面，长条火星落在切平面内（|方向·法线| ≤ 0.20）</t>
        </is>
      </c>
      <c r="N40" s="51" t="inlineStr">
        <is>
          <t>小僵尸/警察僵尸/胖子僵尸被枪击或近战命中（Projectile3D / PlayerMeleeCombat3D）</t>
        </is>
      </c>
      <c r="O40" s="51" t="inlineStr">
        <is>
          <t>已完成</t>
        </is>
      </c>
      <c r="P40" s="101" t="inlineStr">
        <is>
          <t>v002</t>
        </is>
      </c>
      <c r="Q40" s="51" t="inlineStr">
        <is>
          <t>已实装 v002；Prefab = assets/art/vfx/combat_3d/vfx_goo_hit_root_top3d.tscn + 脚本 = src/vfx/VfxGooHit3D.gd（extends VfxMetalSparkHit3D）；走 VfxPool3D 的 FX01_GOO_HIT；调用方 Projectile3D._spawn_hit_effect() / PlayerMeleeCombat3D._spawn_hit_feedback()，分流入口 Enemy3D.uses_goo_hit_burst()；验收 verify_hit_routing_vfx（samples=27，含「与 FX01-21 同形」双向对照、贴肉落点三向判定、尺寸路由静态门禁）。</t>
        </is>
      </c>
    </row>
    <row r="41" ht="15" customHeight="1" s="52">
      <c r="A41" s="100" t="inlineStr">
        <is>
          <t>FX01-21</t>
        </is>
      </c>
      <c r="B41" s="101" t="inlineStr">
        <is>
          <t>VFX-METAL-SPARK-HIT-3D</t>
        </is>
      </c>
      <c r="C41" s="51" t="inlineStr">
        <is>
          <t>金属打击火星命中特效</t>
        </is>
      </c>
      <c r="D41" s="101" t="inlineStr">
        <is>
          <t>assets/art/vfx/combat_3d/vfx_metal_spark_hit_root_top3d.tscn</t>
        </is>
      </c>
      <c r="E41" s="51" t="inlineStr">
        <is>
          <t>无（程序几何）</t>
        </is>
      </c>
      <c r="F41" s="51" t="inlineStr">
        <is>
          <t>无（程序几何）</t>
        </is>
      </c>
      <c r="G41" s="51" t="inlineStr">
        <is>
          <t>打在墙面 / 掩体 / 地面 / 非僵尸怪种上的命中反馈（业主 2026-10-14「重新制作一个…打击到金属的粒子反馈」）：5 颗白色方块沿法线外喷 + 2 根金色长条火星在**切平面内**擦出（从短粗拉成细长），全程 0.32s。**唯一消费 context.normal 的战斗命中件**；刻意无灯（高频件）。</t>
        </is>
      </c>
      <c r="H41" s="101" t="inlineStr">
        <is>
          <t>src/vfx/VfxMetalSparkHit3D.gd</t>
        </is>
      </c>
      <c r="I41" s="51" t="inlineStr">
        <is>
          <t>无</t>
        </is>
      </c>
      <c r="J41" s="51" t="inlineStr">
        <is>
          <t>无</t>
        </is>
      </c>
      <c r="K41" s="51" t="inlineStr">
        <is>
          <t>无CollisionObject3D/CollisionShape3D</t>
        </is>
      </c>
      <c r="L41" s="51" t="inlineStr">
        <is>
          <t>白方块基准 0.16m；金色长条 0.50→1.30 × size、截面 0.055m；两梗张角 ±0.62 rad；lifetime 0.32s；无灯</t>
        </is>
      </c>
      <c r="M41" s="51" t="inlineStr">
        <is>
          <t>原点 = 命中点；朝向 = 局部 +Y 对齐 context.normal（缺省 UP）⇒ 局部 XZ 即被击表面；金色火星沿切平面、白方块沿法线</t>
        </is>
      </c>
      <c r="N41" s="51" t="inlineStr">
        <is>
          <t>击中非僵尸三兄弟的一切目标（Projectile3D 的命中/反弹/落地/链电路径）</t>
        </is>
      </c>
      <c r="O41" s="51" t="inlineStr">
        <is>
          <t>已完成</t>
        </is>
      </c>
      <c r="P41" s="101" t="inlineStr">
        <is>
          <t>v001</t>
        </is>
      </c>
      <c r="Q41" s="51" t="inlineStr">
        <is>
          <t>已实装；Prefab=assets/art/vfx/combat_3d/vfx_metal_spark_hit_root_top3d.tscn + 脚本=src/vfx/VfxMetalSparkHit3D.gd；走 VfxPool3D 的 FX01_METAL_SPARK_HIT；替代原本「把 VFX-IMPACT-3D 缩小 60%」的临时口径（业主改口为重新制作）；VFX-IMPACT-3D 保留给非僵尸死亡爆点 / 护盾弹开；验收 verify_hit_routing_vfx（samples=26）。</t>
        </is>
      </c>
    </row>
    <row r="42" ht="15" customHeight="1" s="52">
      <c r="A42" s="100" t="inlineStr">
        <is>
          <t>FX01-22</t>
        </is>
      </c>
      <c r="B42" s="101" t="inlineStr">
        <is>
          <t>VFX-FATE-ROCK-3D</t>
        </is>
      </c>
      <c r="C42" s="51" t="inlineStr">
        <is>
          <t>力量滚石弹</t>
        </is>
      </c>
      <c r="D42" s="101" t="inlineStr">
        <is>
          <t>assets/art/vfx/combat_3d/vfx_fate_rock_root_top3d.tscn</t>
        </is>
      </c>
      <c r="E42" s="51" t="inlineStr">
        <is>
          <t>无（Prefab几何）</t>
        </is>
      </c>
      <c r="F42" s="51" t="inlineStr">
        <is>
          <t>无（Prefab几何）</t>
        </is>
      </c>
      <c r="G42" s="51" t="inlineStr">
        <is>
          <t>低多边形石头，直径0.36m；随弹体滚动，不进入VfxPool3D</t>
        </is>
      </c>
      <c r="H42" s="101" t="inlineStr">
        <is>
          <t>src/vfx/VfxFateRock3D.gd</t>
        </is>
      </c>
      <c r="I42" s="51" t="inlineStr">
        <is>
          <t>无</t>
        </is>
      </c>
      <c r="J42" s="51" t="inlineStr">
        <is>
          <t>Projectile3D玩法碰撞</t>
        </is>
      </c>
      <c r="K42" s="51" t="inlineStr">
        <is>
          <t>无CollisionObject3D/CollisionShape3D</t>
        </is>
      </c>
      <c r="L42" s="51" t="inlineStr">
        <is>
          <t>0.36m</t>
        </is>
      </c>
      <c r="M42" s="51" t="inlineStr">
        <is>
          <t>原点=弹心；-Z前向；局部X滚动</t>
        </is>
      </c>
      <c r="N42" s="51" t="inlineStr">
        <is>
          <t>Projectile3D</t>
        </is>
      </c>
      <c r="O42" s="51" t="inlineStr">
        <is>
          <t>已完成</t>
        </is>
      </c>
      <c r="P42" s="101" t="inlineStr">
        <is>
          <t>v001</t>
        </is>
      </c>
      <c r="Q42" s="51" t="inlineStr">
        <is>
          <t>verify_star_physical_mounts与真实渲染通过；开发记录2026-10-16_star_physical_mounts.md</t>
        </is>
      </c>
    </row>
    <row r="43" ht="15" customHeight="1" s="52">
      <c r="A43" s="100" t="inlineStr">
        <is>
          <t>FX01-23</t>
        </is>
      </c>
      <c r="B43" s="101" t="inlineStr">
        <is>
          <t>VFX-FATE-ROCK-SHATTER-3D</t>
        </is>
      </c>
      <c r="C43" s="51" t="inlineStr">
        <is>
          <t>力量碎石爆散</t>
        </is>
      </c>
      <c r="D43" s="101" t="inlineStr">
        <is>
          <t>assets/art/vfx/combat_3d/vfx_fate_rock_shatter_root_top3d.tscn</t>
        </is>
      </c>
      <c r="E43" s="51" t="inlineStr">
        <is>
          <t>无（Prefab几何）</t>
        </is>
      </c>
      <c r="F43" s="51" t="inlineStr">
        <is>
          <t>无（Prefab几何）</t>
        </is>
      </c>
      <c r="G43" s="51" t="inlineStr">
        <is>
          <t>8枚石块径向飞散，0.55s；无灯无碰撞；进入VfxPool3D</t>
        </is>
      </c>
      <c r="H43" s="101" t="inlineStr">
        <is>
          <t>src/vfx/VfxFateRockShatter3D.gd</t>
        </is>
      </c>
      <c r="I43" s="51" t="inlineStr">
        <is>
          <t>无</t>
        </is>
      </c>
      <c r="J43" s="51" t="inlineStr">
        <is>
          <t>Projectile3D玩法碰撞</t>
        </is>
      </c>
      <c r="K43" s="51" t="inlineStr">
        <is>
          <t>无CollisionObject3D/CollisionShape3D</t>
        </is>
      </c>
      <c r="L43" s="51" t="inlineStr">
        <is>
          <t>0.55s，8枚碎块</t>
        </is>
      </c>
      <c r="M43" s="51" t="inlineStr">
        <is>
          <t>原点=命中点；径向碎裂</t>
        </is>
      </c>
      <c r="N43" s="51" t="inlineStr">
        <is>
          <t>Projectile3D</t>
        </is>
      </c>
      <c r="O43" s="51" t="inlineStr">
        <is>
          <t>已完成</t>
        </is>
      </c>
      <c r="P43" s="101" t="inlineStr">
        <is>
          <t>v001</t>
        </is>
      </c>
      <c r="Q43" s="51" t="inlineStr">
        <is>
          <t>verify_star_physical_mounts与真实渲染通过；开发记录2026-10-16_star_physical_mounts.md</t>
        </is>
      </c>
    </row>
    <row r="44" ht="70" customHeight="1" s="52">
      <c r="A44" s="100" t="inlineStr">
        <is>
          <t>FX01-24</t>
        </is>
      </c>
      <c r="B44" s="101" t="inlineStr">
        <is>
          <t>VFX-MELEE-AXE-CHARGE-3D</t>
        </is>
      </c>
      <c r="C44" s="51" t="inlineStr">
        <is>
          <t>战斧蓄力环</t>
        </is>
      </c>
      <c r="D44" s="101" t="inlineStr">
        <is>
          <t>assets/art/vfx/combat_3d/vfx_axe_charge_root_top3d.tscn</t>
        </is>
      </c>
      <c r="G44" s="51" t="inlineStr">
        <is>
          <t>收缩橙金双环，随玩家，持有至释放</t>
        </is>
      </c>
      <c r="H44" s="101" t="inlineStr">
        <is>
          <t>src/vfx/VfxAxeCharge3D.gd</t>
        </is>
      </c>
      <c r="I44" s="51" t="inlineStr">
        <is>
          <t>无</t>
        </is>
      </c>
      <c r="J44" s="51" t="inlineStr">
        <is>
          <t>无</t>
        </is>
      </c>
      <c r="K44" s="51" t="inlineStr">
        <is>
          <t>无</t>
        </is>
      </c>
      <c r="L44" s="51" t="inlineStr">
        <is>
          <t>基础半径1m×size</t>
        </is>
      </c>
      <c r="M44" s="51" t="inlineStr">
        <is>
          <t>local -Z前方；中心为特效原点</t>
        </is>
      </c>
      <c r="N44" s="51" t="inlineStr">
        <is>
          <t>PlayerMeleeCombat3D → VfxPool3D</t>
        </is>
      </c>
      <c r="O44" s="51" t="inlineStr">
        <is>
          <t>完成</t>
        </is>
      </c>
      <c r="P44" s="101" t="inlineStr">
        <is>
          <t>v001</t>
        </is>
      </c>
      <c r="Q44" s="101" t="inlineStr">
        <is>
          <t>docs/v0.1/development/2026-10-16_melee_styles_v041.md</t>
        </is>
      </c>
    </row>
    <row r="45" ht="70" customHeight="1" s="52">
      <c r="A45" s="100" t="inlineStr">
        <is>
          <t>FX01-25</t>
        </is>
      </c>
      <c r="B45" s="101" t="inlineStr">
        <is>
          <t>VFX-MELEE-AXE-CLEAVE-3D</t>
        </is>
      </c>
      <c r="C45" s="51" t="inlineStr">
        <is>
          <t>战斧下劈弧光</t>
        </is>
      </c>
      <c r="D45" s="101" t="inlineStr">
        <is>
          <t>assets/art/vfx/combat_3d/vfx_axe_cleave_root_top3d.tscn</t>
        </is>
      </c>
      <c r="G45" s="51" t="inlineStr">
        <is>
          <t>竖向橙金弧，随玩家朝向，有效阶段消退</t>
        </is>
      </c>
      <c r="H45" s="101" t="inlineStr">
        <is>
          <t>src/vfx/VfxAxeCleave3D.gd</t>
        </is>
      </c>
      <c r="I45" s="51" t="inlineStr">
        <is>
          <t>无</t>
        </is>
      </c>
      <c r="J45" s="51" t="inlineStr">
        <is>
          <t>无</t>
        </is>
      </c>
      <c r="K45" s="51" t="inlineStr">
        <is>
          <t>无</t>
        </is>
      </c>
      <c r="L45" s="51" t="inlineStr">
        <is>
          <t>基础半径1m×size</t>
        </is>
      </c>
      <c r="M45" s="51" t="inlineStr">
        <is>
          <t>local -Z前方；中心为特效原点</t>
        </is>
      </c>
      <c r="N45" s="51" t="inlineStr">
        <is>
          <t>PlayerMeleeCombat3D → VfxPool3D</t>
        </is>
      </c>
      <c r="O45" s="51" t="inlineStr">
        <is>
          <t>完成</t>
        </is>
      </c>
      <c r="P45" s="101" t="inlineStr">
        <is>
          <t>v001</t>
        </is>
      </c>
      <c r="Q45" s="101" t="inlineStr">
        <is>
          <t>docs/v0.1/development/2026-10-16_melee_styles_v041.md</t>
        </is>
      </c>
    </row>
    <row r="46" ht="70" customHeight="1" s="52">
      <c r="A46" s="100" t="inlineStr">
        <is>
          <t>FX01-26</t>
        </is>
      </c>
      <c r="B46" s="101" t="inlineStr">
        <is>
          <t>VFX-MELEE-AXE-IMPACT-3D</t>
        </is>
      </c>
      <c r="C46" s="51" t="inlineStr">
        <is>
          <t>战斧触地冲击</t>
        </is>
      </c>
      <c r="D46" s="101" t="inlineStr">
        <is>
          <t>assets/art/vfx/combat_3d/vfx_axe_impact_root_top3d.tscn</t>
        </is>
      </c>
      <c r="G46" s="51" t="inlineStr">
        <is>
          <t>落点扩散环与8枚碎屑，世界锚定</t>
        </is>
      </c>
      <c r="H46" s="101" t="inlineStr">
        <is>
          <t>src/vfx/VfxAxeImpact3D.gd</t>
        </is>
      </c>
      <c r="I46" s="51" t="inlineStr">
        <is>
          <t>无</t>
        </is>
      </c>
      <c r="J46" s="51" t="inlineStr">
        <is>
          <t>无</t>
        </is>
      </c>
      <c r="K46" s="51" t="inlineStr">
        <is>
          <t>无</t>
        </is>
      </c>
      <c r="L46" s="51" t="inlineStr">
        <is>
          <t>基础半径1m×size</t>
        </is>
      </c>
      <c r="M46" s="51" t="inlineStr">
        <is>
          <t>local -Z前方；中心为特效原点</t>
        </is>
      </c>
      <c r="N46" s="51" t="inlineStr">
        <is>
          <t>PlayerMeleeCombat3D → VfxPool3D</t>
        </is>
      </c>
      <c r="O46" s="51" t="inlineStr">
        <is>
          <t>完成</t>
        </is>
      </c>
      <c r="P46" s="101" t="inlineStr">
        <is>
          <t>v001</t>
        </is>
      </c>
      <c r="Q46" s="101" t="inlineStr">
        <is>
          <t>docs/v0.1/development/2026-10-16_melee_styles_v041.md</t>
        </is>
      </c>
    </row>
    <row r="47" ht="70" customHeight="1" s="52">
      <c r="A47" s="100" t="inlineStr">
        <is>
          <t>FX01-27</t>
        </is>
      </c>
      <c r="B47" s="101" t="inlineStr">
        <is>
          <t>VFX-MELEE-BLADE-SWEEP-3D</t>
        </is>
      </c>
      <c r="C47" s="51" t="inlineStr">
        <is>
          <t>大剑横扫弧光</t>
        </is>
      </c>
      <c r="D47" s="101" t="inlineStr">
        <is>
          <t>assets/art/vfx/combat_3d/vfx_blade_sweep_root_top3d.tscn</t>
        </is>
      </c>
      <c r="G47" s="51" t="inlineStr">
        <is>
          <t>蓝白弧，第二击反向，随玩家</t>
        </is>
      </c>
      <c r="H47" s="101" t="inlineStr">
        <is>
          <t>src/vfx/VfxBladeSweep3D.gd</t>
        </is>
      </c>
      <c r="I47" s="51" t="inlineStr">
        <is>
          <t>无</t>
        </is>
      </c>
      <c r="J47" s="51" t="inlineStr">
        <is>
          <t>无</t>
        </is>
      </c>
      <c r="K47" s="51" t="inlineStr">
        <is>
          <t>无</t>
        </is>
      </c>
      <c r="L47" s="51" t="inlineStr">
        <is>
          <t>基础半径1m×size</t>
        </is>
      </c>
      <c r="M47" s="51" t="inlineStr">
        <is>
          <t>local -Z前方；中心为特效原点</t>
        </is>
      </c>
      <c r="N47" s="51" t="inlineStr">
        <is>
          <t>PlayerMeleeCombat3D → VfxPool3D</t>
        </is>
      </c>
      <c r="O47" s="51" t="inlineStr">
        <is>
          <t>完成</t>
        </is>
      </c>
      <c r="P47" s="101" t="inlineStr">
        <is>
          <t>v001</t>
        </is>
      </c>
      <c r="Q47" s="101" t="inlineStr">
        <is>
          <t>docs/v0.1/development/2026-10-16_melee_styles_v041.md</t>
        </is>
      </c>
    </row>
    <row r="48" ht="70" customHeight="1" s="52">
      <c r="A48" s="100" t="inlineStr">
        <is>
          <t>FX01-28</t>
        </is>
      </c>
      <c r="B48" s="101" t="inlineStr">
        <is>
          <t>VFX-MELEE-BLADE-WHIRLWIND-3D</t>
        </is>
      </c>
      <c r="C48" s="51" t="inlineStr">
        <is>
          <t>大剑旋风环</t>
        </is>
      </c>
      <c r="D48" s="101" t="inlineStr">
        <is>
          <t>assets/art/vfx/combat_3d/vfx_blade_whirlwind_root_top3d.tscn</t>
        </is>
      </c>
      <c r="G48" s="51" t="inlineStr">
        <is>
          <t>蓝白双层断续环，每0.55秒旋转，释放/中断归还</t>
        </is>
      </c>
      <c r="H48" s="101" t="inlineStr">
        <is>
          <t>src/vfx/VfxBladeWhirlwind3D.gd</t>
        </is>
      </c>
      <c r="I48" s="51" t="inlineStr">
        <is>
          <t>无</t>
        </is>
      </c>
      <c r="J48" s="51" t="inlineStr">
        <is>
          <t>无</t>
        </is>
      </c>
      <c r="K48" s="51" t="inlineStr">
        <is>
          <t>无</t>
        </is>
      </c>
      <c r="L48" s="51" t="inlineStr">
        <is>
          <t>基础半径1m×size</t>
        </is>
      </c>
      <c r="M48" s="51" t="inlineStr">
        <is>
          <t>local -Z前方；中心为特效原点</t>
        </is>
      </c>
      <c r="N48" s="51" t="inlineStr">
        <is>
          <t>PlayerMeleeCombat3D → VfxPool3D</t>
        </is>
      </c>
      <c r="O48" s="51" t="inlineStr">
        <is>
          <t>完成</t>
        </is>
      </c>
      <c r="P48" s="101" t="inlineStr">
        <is>
          <t>v001</t>
        </is>
      </c>
      <c r="Q48" s="101" t="inlineStr">
        <is>
          <t>docs/v0.1/development/2026-10-16_melee_styles_v041.md</t>
        </is>
      </c>
    </row>
    <row r="49" ht="15" customHeight="1" s="52">
      <c r="A49" s="100" t="inlineStr">
        <is>
          <t>FX01-29</t>
        </is>
      </c>
      <c r="B49" s="101" t="inlineStr">
        <is>
          <t>VFX-FATE-FIRE-3D</t>
        </is>
      </c>
      <c r="C49" s="51" t="inlineStr">
        <is>
          <t>命运火焰跳动</t>
        </is>
      </c>
      <c r="D49" s="101" t="inlineStr">
        <is>
          <t>assets/art/vfx/combat_3d/vfx_fate_fire_root_top3d.tscn</t>
        </is>
      </c>
      <c r="E49" s="51" t="inlineStr">
        <is>
          <t>无（Prefab几何）</t>
        </is>
      </c>
      <c r="F49" s="51" t="inlineStr">
        <is>
          <t>无（Prefab几何）</t>
        </is>
      </c>
      <c r="G49" s="51" t="inlineStr">
        <is>
          <t>4枚橙红火舌错相跳动，状态Owner驱动结束</t>
        </is>
      </c>
      <c r="H49" s="101" t="inlineStr">
        <is>
          <t>src/vfx/VfxFateFire3D.gd</t>
        </is>
      </c>
      <c r="I49" s="51" t="inlineStr">
        <is>
          <t>无</t>
        </is>
      </c>
      <c r="J49" s="51" t="inlineStr">
        <is>
          <t>无</t>
        </is>
      </c>
      <c r="K49" s="51" t="inlineStr">
        <is>
          <t>无碰撞体</t>
        </is>
      </c>
      <c r="L49" s="51" t="inlineStr">
        <is>
          <t>4枚橙红火舌错相跳动，状态Owner驱动结束</t>
        </is>
      </c>
      <c r="M49" s="51" t="inlineStr">
        <is>
          <t>原点=脚底</t>
        </is>
      </c>
      <c r="N49" s="51" t="inlineStr">
        <is>
          <t>Enemy3D</t>
        </is>
      </c>
      <c r="O49" s="51" t="inlineStr">
        <is>
          <t>已完成</t>
        </is>
      </c>
      <c r="P49" s="101" t="inlineStr">
        <is>
          <t>v001</t>
        </is>
      </c>
      <c r="Q49" s="51" t="inlineStr">
        <is>
          <t>机制/池化/接线与真实渲染；docs/v0.1/development/2026-10-18_fate_elements.md</t>
        </is>
      </c>
    </row>
    <row r="50" ht="15" customHeight="1" s="52">
      <c r="A50" s="100" t="inlineStr">
        <is>
          <t>FX01-30</t>
        </is>
      </c>
      <c r="B50" s="101" t="inlineStr">
        <is>
          <t>VFX-FATE-FROST-3D</t>
        </is>
      </c>
      <c r="C50" s="51" t="inlineStr">
        <is>
          <t>命运脚底冰霜</t>
        </is>
      </c>
      <c r="D50" s="101" t="inlineStr">
        <is>
          <t>assets/art/vfx/combat_3d/vfx_fate_frost_root_top3d.tscn</t>
        </is>
      </c>
      <c r="E50" s="51" t="inlineStr">
        <is>
          <t>无（Prefab几何）</t>
        </is>
      </c>
      <c r="F50" s="51" t="inlineStr">
        <is>
          <t>无（Prefab几何）</t>
        </is>
      </c>
      <c r="G50" s="51" t="inlineStr">
        <is>
          <t>4枚冰晶＋薄霜面，冻结/命运减速期间跟随脚底</t>
        </is>
      </c>
      <c r="H50" s="101" t="inlineStr">
        <is>
          <t>src/vfx/VfxFateFrost3D.gd</t>
        </is>
      </c>
      <c r="I50" s="51" t="inlineStr">
        <is>
          <t>无</t>
        </is>
      </c>
      <c r="J50" s="51" t="inlineStr">
        <is>
          <t>无</t>
        </is>
      </c>
      <c r="K50" s="51" t="inlineStr">
        <is>
          <t>无碰撞体</t>
        </is>
      </c>
      <c r="L50" s="51" t="inlineStr">
        <is>
          <t>4枚冰晶＋薄霜面，冻结/命运减速期间跟随脚底</t>
        </is>
      </c>
      <c r="M50" s="51" t="inlineStr">
        <is>
          <t>原点=脚底</t>
        </is>
      </c>
      <c r="N50" s="51" t="inlineStr">
        <is>
          <t>Enemy3D</t>
        </is>
      </c>
      <c r="O50" s="51" t="inlineStr">
        <is>
          <t>已完成</t>
        </is>
      </c>
      <c r="P50" s="101" t="inlineStr">
        <is>
          <t>v001</t>
        </is>
      </c>
      <c r="Q50" s="51" t="inlineStr">
        <is>
          <t>机制/池化/接线与真实渲染；docs/v0.1/development/2026-10-18_fate_elements.md</t>
        </is>
      </c>
    </row>
    <row r="51" ht="15" customHeight="1" s="52">
      <c r="A51" s="100" t="inlineStr">
        <is>
          <t>FX01-31</t>
        </is>
      </c>
      <c r="B51" s="101" t="inlineStr">
        <is>
          <t>VFX-FATE-POISON-3D</t>
        </is>
      </c>
      <c r="C51" s="51" t="inlineStr">
        <is>
          <t>命运环绕毒雾</t>
        </is>
      </c>
      <c r="D51" s="101" t="inlineStr">
        <is>
          <t>assets/art/vfx/combat_3d/vfx_fate_poison_root_top3d.tscn</t>
        </is>
      </c>
      <c r="E51" s="51" t="inlineStr">
        <is>
          <t>无（Prefab几何）</t>
        </is>
      </c>
      <c r="F51" s="51" t="inlineStr">
        <is>
          <t>无（Prefab几何）</t>
        </is>
      </c>
      <c r="G51" s="51" t="inlineStr">
        <is>
          <t>4团半透明绿雾环绕，叠层不增加粒子</t>
        </is>
      </c>
      <c r="H51" s="101" t="inlineStr">
        <is>
          <t>src/vfx/VfxFatePoison3D.gd</t>
        </is>
      </c>
      <c r="I51" s="51" t="inlineStr">
        <is>
          <t>无</t>
        </is>
      </c>
      <c r="J51" s="51" t="inlineStr">
        <is>
          <t>无</t>
        </is>
      </c>
      <c r="K51" s="51" t="inlineStr">
        <is>
          <t>无碰撞体</t>
        </is>
      </c>
      <c r="L51" s="51" t="inlineStr">
        <is>
          <t>4团半透明绿雾环绕，叠层不增加粒子</t>
        </is>
      </c>
      <c r="M51" s="51" t="inlineStr">
        <is>
          <t>原点=脚底</t>
        </is>
      </c>
      <c r="N51" s="51" t="inlineStr">
        <is>
          <t>Enemy3D</t>
        </is>
      </c>
      <c r="O51" s="51" t="inlineStr">
        <is>
          <t>已完成</t>
        </is>
      </c>
      <c r="P51" s="101" t="inlineStr">
        <is>
          <t>v001</t>
        </is>
      </c>
      <c r="Q51" s="51" t="inlineStr">
        <is>
          <t>机制/池化/接线与真实渲染；docs/v0.1/development/2026-10-18_fate_elements.md</t>
        </is>
      </c>
    </row>
    <row r="52" ht="15" customHeight="1" s="52">
      <c r="A52" s="100" t="inlineStr">
        <is>
          <t>FX01-32</t>
        </is>
      </c>
      <c r="B52" s="101" t="inlineStr">
        <is>
          <t>VFX-FATE-LIGHTNING-3D</t>
        </is>
      </c>
      <c r="C52" s="51" t="inlineStr">
        <is>
          <t>命运连锁闪电</t>
        </is>
      </c>
      <c r="D52" s="101" t="inlineStr">
        <is>
          <t>assets/art/vfx/combat_3d/vfx_fate_lightning_root_top3d.tscn</t>
        </is>
      </c>
      <c r="E52" s="51" t="inlineStr">
        <is>
          <t>无（Prefab几何）</t>
        </is>
      </c>
      <c r="F52" s="51" t="inlineStr">
        <is>
          <t>无（Prefab几何）</t>
        </is>
      </c>
      <c r="G52" s="51" t="inlineStr">
        <is>
          <t>4枚火星（两端各2）＋6段电弧/光晕；0.045s飞出，0.20s收尾</t>
        </is>
      </c>
      <c r="H52" s="101" t="inlineStr">
        <is>
          <t>src/vfx/VfxFateLightning3D.gd</t>
        </is>
      </c>
      <c r="I52" s="51" t="inlineStr">
        <is>
          <t>无</t>
        </is>
      </c>
      <c r="J52" s="51" t="inlineStr">
        <is>
          <t>无</t>
        </is>
      </c>
      <c r="K52" s="51" t="inlineStr">
        <is>
          <t>无碰撞体</t>
        </is>
      </c>
      <c r="L52" s="51" t="inlineStr">
        <is>
          <t>4枚火星（两端各2）＋6段电弧/光晕；0.045s飞出，0.20s收尾</t>
        </is>
      </c>
      <c r="M52" s="51" t="inlineStr">
        <is>
          <t>原点=起点；context.end_position为世界终点</t>
        </is>
      </c>
      <c r="N52" s="51" t="inlineStr">
        <is>
          <t>Projectile3D</t>
        </is>
      </c>
      <c r="O52" s="51" t="inlineStr">
        <is>
          <t>已完成</t>
        </is>
      </c>
      <c r="P52" s="101" t="inlineStr">
        <is>
          <t>v001</t>
        </is>
      </c>
      <c r="Q52" s="51" t="inlineStr">
        <is>
          <t>机制/池化/接线与真实渲染；docs/v0.1/development/2026-10-18_fate_elements.md</t>
        </is>
      </c>
    </row>
    <row r="53" ht="15" customHeight="1" s="52">
      <c r="A53" s="100" t="inlineStr">
        <is>
          <t>FX01-33</t>
        </is>
      </c>
      <c r="B53" s="101" t="inlineStr">
        <is>
          <t>VFX-BOARD-DEBRIS-3D</t>
        </is>
      </c>
      <c r="C53" s="51" t="inlineStr">
        <is>
          <t>暗门木板碎块飞溅</t>
        </is>
      </c>
      <c r="D53" s="101" t="inlineStr">
        <is>
          <t>assets/art/vfx/combat_3d/vfx_board_debris_root_top3d.tscn</t>
        </is>
      </c>
      <c r="E53" s="51" t="inlineStr">
        <is>
          <t>无（Prefab几何）</t>
        </is>
      </c>
      <c r="F53" s="51" t="inlineStr">
        <is>
          <t>无（Prefab几何）</t>
        </is>
      </c>
      <c r="G53" s="51" t="inlineStr">
        <is>
          <t>暗门木板被打碎时，整面板崩成 8 块大木片 + 5 片小碎屑飞向房间侧，抛物落地、弹一下、贴地滑行后停住；自带 0.55s 暖色短灯照亮碎块</t>
        </is>
      </c>
      <c r="H53" s="101" t="inlineStr">
        <is>
          <t>src/vfx/VfxBoardDebris3D.gd</t>
        </is>
      </c>
      <c r="I53" s="51" t="inlineStr">
        <is>
          <t>无</t>
        </is>
      </c>
      <c r="J53" s="51" t="inlineStr">
        <is>
          <t>无</t>
        </is>
      </c>
      <c r="K53" s="51" t="inlineStr">
        <is>
          <t>无</t>
        </is>
      </c>
      <c r="L53" s="51" t="inlineStr">
        <is>
          <t>8 大块（0.36~0.58m 长 × 0.16~0.26m 宽 × 0.07~0.10m 厚）+ 5 片小碎屑（0.045~0.085m）；2.85s 寿命；散布 3~5m</t>
        </is>
      </c>
      <c r="M53" s="51" t="inlineStr">
        <is>
          <t>原点=门底中心（装配点），出生时抬高 1.25m 到门洞中部；局部 -Z 对齐 context.forward（门→房间侧），碎块朝房间内崩</t>
        </is>
      </c>
      <c r="N53" s="51" t="inlineStr">
        <is>
          <t>暗门木板被打碎时（SecretDoor3D._break_open → VfxPool3D.acquire）</t>
        </is>
      </c>
      <c r="O53" s="51" t="inlineStr">
        <is>
          <t>完成</t>
        </is>
      </c>
      <c r="P53" s="101" t="inlineStr">
        <is>
          <t>v001</t>
        </is>
      </c>
      <c r="Q53" s="51" t="inlineStr">
        <is>
          <t>2026-10-19 新建（业主：「做一个门被打碎的木头飞出来的特效，大块一点的」）。8 大块 + 5 片小碎屑，程序化抛物飞行 → 触地弹跳 1 次 → 贴地滑行 → 放平静止（不接物理引擎，无碰撞体）；自带 DebrisLight（峰值 1.5 / 范围 3.6m / 无阴影 / 0.55s 归零）——塔内夜间光，无灯就是黑剪影。材质：金属度 metallic=0.0 / 反光度 roughness=0.86（PER_PIXEL 受光）+ 自发光 0.38（暗房里保住「木头」读法）。确定性：脚本内无 randf()，散开由调用方给的 context.seed 派生（同 seed 逐位可复现）。调用方 SecretDoor3D._break_open()：只在真打破时播，读档恢复 / 静默打开不重播。验收 tests/verification/verify_board_debris_vfx.tscn（9 条，含大块下限 0.30m + 上限 0.65m 双向）。</t>
        </is>
      </c>
    </row>
    <row r="54" ht="15" customHeight="1" s="52">
      <c r="H54" s="101" t="n"/>
      <c r="I54" s="51" t="n"/>
      <c r="N54" s="51" t="n"/>
    </row>
    <row r="55" ht="15" customHeight="1" s="52">
      <c r="H55" s="101" t="n"/>
      <c r="I55" s="51" t="n"/>
      <c r="N55" s="51" t="n"/>
    </row>
    <row r="56" ht="15" customHeight="1" s="52">
      <c r="H56" s="101" t="n"/>
      <c r="I56" s="51" t="n"/>
      <c r="N56" s="51" t="n"/>
    </row>
    <row r="57" ht="15" customHeight="1" s="52">
      <c r="H57" s="101" t="n"/>
      <c r="I57" s="51" t="n"/>
      <c r="N57" s="51" t="n"/>
    </row>
    <row r="58" ht="15" customHeight="1" s="52">
      <c r="H58" s="101" t="n"/>
      <c r="I58" s="51" t="n"/>
      <c r="N58" s="51" t="n"/>
    </row>
    <row r="59" ht="15" customHeight="1" s="52">
      <c r="H59" s="101" t="n"/>
      <c r="I59" s="51" t="n"/>
      <c r="N59" s="51" t="n"/>
    </row>
    <row r="60" ht="15" customHeight="1" s="52">
      <c r="H60" s="101" t="n"/>
      <c r="I60" s="51" t="n"/>
      <c r="N60" s="51" t="n"/>
    </row>
    <row r="61" ht="15" customHeight="1" s="52">
      <c r="H61" s="101" t="n"/>
      <c r="I61" s="51" t="n"/>
      <c r="N61" s="51" t="n"/>
    </row>
    <row r="62" ht="15" customHeight="1" s="52">
      <c r="H62" s="101" t="n"/>
      <c r="I62" s="51" t="n"/>
      <c r="N62" s="51" t="n"/>
    </row>
    <row r="63" ht="15" customHeight="1" s="52">
      <c r="H63" s="101" t="n"/>
      <c r="I63" s="51" t="n"/>
      <c r="N63" s="51" t="n"/>
    </row>
    <row r="64" ht="15" customHeight="1" s="52">
      <c r="H64" s="101" t="n"/>
      <c r="I64" s="51" t="n"/>
      <c r="N64" s="51" t="n"/>
    </row>
    <row r="65" ht="15" customHeight="1" s="52">
      <c r="H65" s="101" t="n"/>
      <c r="I65" s="51" t="n"/>
      <c r="N65" s="51" t="n"/>
    </row>
    <row r="66" ht="15" customHeight="1" s="52">
      <c r="H66" s="101" t="n"/>
      <c r="I66" s="51" t="n"/>
      <c r="N66" s="51" t="n"/>
    </row>
    <row r="67" ht="15" customHeight="1" s="52">
      <c r="H67" s="101" t="n"/>
      <c r="I67" s="51" t="n"/>
      <c r="N67" s="51" t="n"/>
    </row>
    <row r="68" ht="15" customHeight="1" s="52">
      <c r="H68" s="101" t="n"/>
      <c r="I68" s="51" t="n"/>
      <c r="N68" s="51" t="n"/>
    </row>
    <row r="69" ht="15" customHeight="1" s="52">
      <c r="H69" s="101" t="n"/>
      <c r="I69" s="51" t="n"/>
      <c r="N69" s="51" t="n"/>
    </row>
    <row r="70" ht="15" customHeight="1" s="52">
      <c r="H70" s="101" t="n"/>
      <c r="I70" s="51" t="n"/>
      <c r="N70" s="51" t="n"/>
    </row>
    <row r="71" ht="15" customHeight="1" s="52">
      <c r="H71" s="101" t="n"/>
      <c r="I71" s="51" t="n"/>
      <c r="N71" s="51" t="n"/>
    </row>
    <row r="72" ht="15" customHeight="1" s="52">
      <c r="H72" s="101" t="n"/>
      <c r="I72" s="51" t="n"/>
      <c r="N72" s="51" t="n"/>
    </row>
    <row r="73" ht="15" customHeight="1" s="52">
      <c r="H73" s="101" t="n"/>
      <c r="I73" s="51" t="n"/>
      <c r="N73" s="51" t="n"/>
    </row>
    <row r="74" ht="15" customHeight="1" s="52">
      <c r="H74" s="101" t="n"/>
      <c r="I74" s="51" t="n"/>
      <c r="N74" s="51" t="n"/>
    </row>
    <row r="75" ht="15" customHeight="1" s="52">
      <c r="H75" s="101" t="n"/>
      <c r="I75" s="51" t="n"/>
      <c r="N75" s="51" t="n"/>
    </row>
    <row r="76" ht="15" customHeight="1" s="52">
      <c r="H76" s="101" t="n"/>
      <c r="I76" s="51" t="n"/>
      <c r="N76" s="51" t="n"/>
    </row>
    <row r="77" ht="15" customHeight="1" s="52">
      <c r="H77" s="101" t="n"/>
      <c r="I77" s="51" t="n"/>
      <c r="N77" s="51" t="n"/>
    </row>
    <row r="78" ht="15" customHeight="1" s="52">
      <c r="H78" s="101" t="n"/>
      <c r="I78" s="51" t="n"/>
      <c r="N78" s="51" t="n"/>
    </row>
    <row r="79" ht="15" customHeight="1" s="52">
      <c r="H79" s="101" t="n"/>
      <c r="I79" s="51" t="n"/>
      <c r="N79" s="51" t="n"/>
    </row>
    <row r="80" ht="15" customHeight="1" s="52">
      <c r="H80" s="101" t="n"/>
      <c r="I80" s="51" t="n"/>
      <c r="N80" s="51" t="n"/>
    </row>
    <row r="81" ht="15" customHeight="1" s="52">
      <c r="H81" s="101" t="n"/>
      <c r="I81" s="51" t="n"/>
      <c r="N81" s="51" t="n"/>
    </row>
    <row r="82" ht="15" customHeight="1" s="52">
      <c r="H82" s="101" t="n"/>
      <c r="I82" s="51" t="n"/>
      <c r="N82" s="51" t="n"/>
    </row>
    <row r="83" ht="15" customHeight="1" s="52">
      <c r="H83" s="101" t="n"/>
      <c r="I83" s="51" t="n"/>
      <c r="N83" s="51" t="n"/>
    </row>
    <row r="84" ht="15" customHeight="1" s="52">
      <c r="H84" s="101" t="n"/>
      <c r="I84" s="51" t="n"/>
      <c r="N84" s="51" t="n"/>
    </row>
    <row r="85" ht="15" customHeight="1" s="52">
      <c r="H85" s="101" t="n"/>
      <c r="I85" s="51" t="n"/>
      <c r="N85" s="51" t="n"/>
    </row>
    <row r="86" ht="15" customHeight="1" s="52">
      <c r="H86" s="101" t="n"/>
      <c r="I86" s="51" t="n"/>
      <c r="N86" s="51" t="n"/>
    </row>
    <row r="87" ht="15" customHeight="1" s="52">
      <c r="H87" s="101" t="n"/>
      <c r="I87" s="51" t="n"/>
      <c r="N87" s="51" t="n"/>
    </row>
    <row r="88" ht="15" customHeight="1" s="52">
      <c r="H88" s="101" t="n"/>
      <c r="I88" s="51" t="n"/>
      <c r="N88" s="51" t="n"/>
    </row>
    <row r="89" ht="15" customHeight="1" s="52">
      <c r="H89" s="101" t="n"/>
      <c r="I89" s="51" t="n"/>
      <c r="N89" s="51" t="n"/>
    </row>
    <row r="90" ht="15" customHeight="1" s="52">
      <c r="H90" s="101" t="n"/>
      <c r="I90" s="51" t="n"/>
      <c r="N90" s="51" t="n"/>
    </row>
    <row r="91" ht="15" customHeight="1" s="52">
      <c r="H91" s="101" t="n"/>
      <c r="I91" s="51" t="n"/>
      <c r="N91" s="51" t="n"/>
    </row>
    <row r="92" ht="15" customHeight="1" s="52">
      <c r="H92" s="101" t="n"/>
      <c r="I92" s="51" t="n"/>
      <c r="N92" s="51" t="n"/>
    </row>
    <row r="93" ht="15" customHeight="1" s="52">
      <c r="H93" s="101" t="n"/>
      <c r="I93" s="51" t="n"/>
      <c r="N93" s="51" t="n"/>
    </row>
    <row r="94" ht="15" customHeight="1" s="52">
      <c r="H94" s="101" t="n"/>
      <c r="I94" s="51" t="n"/>
      <c r="N94" s="51" t="n"/>
    </row>
    <row r="95" ht="15" customHeight="1" s="52">
      <c r="H95" s="101" t="n"/>
      <c r="I95" s="51" t="n"/>
      <c r="N95" s="51" t="n"/>
    </row>
    <row r="96" ht="15" customHeight="1" s="52">
      <c r="H96" s="101" t="n"/>
      <c r="I96" s="51" t="n"/>
      <c r="N96" s="51" t="n"/>
    </row>
    <row r="97" ht="15" customHeight="1" s="52">
      <c r="H97" s="101" t="n"/>
      <c r="I97" s="51" t="n"/>
      <c r="N97" s="51" t="n"/>
    </row>
    <row r="98" ht="15" customHeight="1" s="52">
      <c r="H98" s="101" t="n"/>
      <c r="I98" s="51" t="n"/>
      <c r="N98" s="51" t="n"/>
    </row>
    <row r="99" ht="15" customHeight="1" s="52">
      <c r="H99" s="101" t="n"/>
      <c r="I99" s="51" t="n"/>
      <c r="N99" s="51" t="n"/>
    </row>
    <row r="100" ht="15" customHeight="1" s="52">
      <c r="H100" s="101" t="n"/>
      <c r="I100" s="51" t="n"/>
      <c r="N100" s="51" t="n"/>
    </row>
    <row r="101" ht="15" customHeight="1" s="52">
      <c r="H101" s="101" t="n"/>
      <c r="I101" s="51" t="n"/>
      <c r="N101" s="51" t="n"/>
    </row>
    <row r="102" ht="15" customHeight="1" s="52">
      <c r="H102" s="101" t="n"/>
      <c r="I102" s="51" t="n"/>
      <c r="N102" s="51" t="n"/>
    </row>
    <row r="103" ht="15" customHeight="1" s="52">
      <c r="H103" s="101" t="n"/>
      <c r="I103" s="51" t="n"/>
      <c r="N103" s="51" t="n"/>
    </row>
    <row r="104" ht="15" customHeight="1" s="52">
      <c r="H104" s="101" t="n"/>
      <c r="I104" s="51" t="n"/>
      <c r="N104" s="51" t="n"/>
    </row>
    <row r="105" ht="15" customHeight="1" s="52">
      <c r="H105" s="101" t="n"/>
      <c r="I105" s="51" t="n"/>
      <c r="N105" s="51" t="n"/>
    </row>
    <row r="106" ht="15" customHeight="1" s="52">
      <c r="H106" s="101" t="n"/>
      <c r="I106" s="51" t="n"/>
      <c r="N106" s="51" t="n"/>
    </row>
    <row r="107" ht="15" customHeight="1" s="52">
      <c r="H107" s="101" t="n"/>
      <c r="I107" s="51" t="n"/>
      <c r="N107" s="51" t="n"/>
    </row>
    <row r="108" ht="15" customHeight="1" s="52">
      <c r="H108" s="101" t="n"/>
      <c r="I108" s="51" t="n"/>
      <c r="N108" s="51" t="n"/>
    </row>
    <row r="109" ht="15" customHeight="1" s="52">
      <c r="H109" s="101" t="n"/>
      <c r="I109" s="51" t="n"/>
      <c r="N109" s="51" t="n"/>
    </row>
    <row r="110" ht="15" customHeight="1" s="52">
      <c r="H110" s="101" t="n"/>
      <c r="I110" s="51" t="n"/>
      <c r="N110" s="51" t="n"/>
    </row>
    <row r="111" ht="15" customHeight="1" s="52">
      <c r="H111" s="101" t="n"/>
      <c r="I111" s="51" t="n"/>
      <c r="N111" s="51" t="n"/>
    </row>
    <row r="112" ht="15" customHeight="1" s="52">
      <c r="H112" s="101" t="n"/>
      <c r="I112" s="51" t="n"/>
      <c r="N112" s="51" t="n"/>
    </row>
    <row r="113" ht="15" customHeight="1" s="52">
      <c r="H113" s="101" t="n"/>
      <c r="I113" s="51" t="n"/>
      <c r="N113" s="51" t="n"/>
    </row>
    <row r="114" ht="15" customHeight="1" s="52">
      <c r="H114" s="101" t="n"/>
      <c r="I114" s="51" t="n"/>
      <c r="N114" s="51" t="n"/>
    </row>
    <row r="115" ht="15" customHeight="1" s="52">
      <c r="H115" s="101" t="n"/>
      <c r="I115" s="51" t="n"/>
      <c r="N115" s="51" t="n"/>
    </row>
    <row r="116" ht="15" customHeight="1" s="52">
      <c r="H116" s="101" t="n"/>
      <c r="I116" s="51" t="n"/>
      <c r="N116" s="51" t="n"/>
    </row>
    <row r="117" ht="15" customHeight="1" s="52">
      <c r="H117" s="101" t="n"/>
      <c r="I117" s="51" t="n"/>
      <c r="N117" s="51" t="n"/>
    </row>
    <row r="118" ht="15" customHeight="1" s="52">
      <c r="H118" s="101" t="n"/>
      <c r="I118" s="51" t="n"/>
      <c r="N118" s="51" t="n"/>
    </row>
    <row r="119" ht="15" customHeight="1" s="52">
      <c r="H119" s="101" t="n"/>
      <c r="I119" s="51" t="n"/>
      <c r="N119" s="51" t="n"/>
    </row>
    <row r="120" ht="15" customHeight="1" s="52">
      <c r="H120" s="101" t="n"/>
      <c r="I120" s="51" t="n"/>
      <c r="N120" s="51" t="n"/>
    </row>
    <row r="121" ht="15" customHeight="1" s="52">
      <c r="H121" s="101" t="n"/>
      <c r="I121" s="51" t="n"/>
      <c r="N121" s="51" t="n"/>
    </row>
    <row r="122" ht="15" customHeight="1" s="52">
      <c r="H122" s="101" t="n"/>
      <c r="I122" s="51" t="n"/>
      <c r="N122" s="51" t="n"/>
    </row>
    <row r="123" ht="15" customHeight="1" s="52">
      <c r="H123" s="101" t="n"/>
      <c r="I123" s="51" t="n"/>
      <c r="N123" s="51" t="n"/>
    </row>
    <row r="124" ht="15" customHeight="1" s="52">
      <c r="H124" s="101" t="n"/>
      <c r="I124" s="51" t="n"/>
      <c r="N124" s="51" t="n"/>
    </row>
    <row r="125" ht="15" customHeight="1" s="52">
      <c r="H125" s="101" t="n"/>
      <c r="I125" s="51" t="n"/>
      <c r="N125" s="51" t="n"/>
    </row>
    <row r="126" ht="15" customHeight="1" s="52">
      <c r="H126" s="101" t="n"/>
      <c r="I126" s="51" t="n"/>
      <c r="N126" s="51" t="n"/>
    </row>
    <row r="127" ht="15" customHeight="1" s="52">
      <c r="H127" s="101" t="n"/>
      <c r="I127" s="51" t="n"/>
      <c r="N127" s="51" t="n"/>
    </row>
    <row r="128" ht="15" customHeight="1" s="52">
      <c r="H128" s="101" t="n"/>
      <c r="I128" s="51" t="n"/>
      <c r="N128" s="51" t="n"/>
    </row>
    <row r="129" ht="15" customHeight="1" s="52">
      <c r="H129" s="101" t="n"/>
      <c r="I129" s="51" t="n"/>
      <c r="N129" s="51" t="n"/>
    </row>
    <row r="130" ht="15" customHeight="1" s="52">
      <c r="H130" s="101" t="n"/>
      <c r="I130" s="51" t="n"/>
      <c r="N130" s="51" t="n"/>
    </row>
    <row r="131" ht="15" customHeight="1" s="52">
      <c r="H131" s="101" t="n"/>
      <c r="I131" s="51" t="n"/>
      <c r="N131" s="51" t="n"/>
    </row>
    <row r="132" ht="15" customHeight="1" s="52">
      <c r="H132" s="101" t="n"/>
      <c r="I132" s="51" t="n"/>
      <c r="N132" s="51" t="n"/>
    </row>
    <row r="133" ht="15" customHeight="1" s="52">
      <c r="H133" s="101" t="n"/>
      <c r="I133" s="51" t="n"/>
      <c r="N133" s="51" t="n"/>
    </row>
    <row r="134" ht="15" customHeight="1" s="52">
      <c r="H134" s="101" t="n"/>
      <c r="I134" s="51" t="n"/>
      <c r="N134" s="51" t="n"/>
    </row>
    <row r="135" ht="15" customHeight="1" s="52">
      <c r="H135" s="101" t="n"/>
      <c r="I135" s="51" t="n"/>
      <c r="N135" s="51" t="n"/>
    </row>
    <row r="136" ht="15" customHeight="1" s="52">
      <c r="H136" s="101" t="n"/>
      <c r="I136" s="51" t="n"/>
      <c r="N136" s="51" t="n"/>
    </row>
    <row r="137" ht="15" customHeight="1" s="52">
      <c r="H137" s="101" t="n"/>
      <c r="I137" s="51" t="n"/>
      <c r="N137" s="51" t="n"/>
    </row>
    <row r="138" ht="15" customHeight="1" s="52">
      <c r="H138" s="101" t="n"/>
      <c r="I138" s="51" t="n"/>
      <c r="N138" s="51" t="n"/>
    </row>
    <row r="139" ht="15" customHeight="1" s="52">
      <c r="H139" s="101" t="n"/>
      <c r="I139" s="51" t="n"/>
      <c r="N139" s="51" t="n"/>
    </row>
    <row r="140" ht="15" customHeight="1" s="52">
      <c r="H140" s="101" t="n"/>
      <c r="I140" s="51" t="n"/>
      <c r="N140" s="51" t="n"/>
    </row>
    <row r="141" ht="15" customHeight="1" s="52">
      <c r="H141" s="101" t="n"/>
      <c r="I141" s="51" t="n"/>
      <c r="N141" s="51" t="n"/>
    </row>
    <row r="142" ht="15" customHeight="1" s="52">
      <c r="H142" s="101" t="n"/>
      <c r="I142" s="51" t="n"/>
      <c r="N142" s="51" t="n"/>
    </row>
    <row r="143" ht="15" customHeight="1" s="52">
      <c r="H143" s="101" t="n"/>
      <c r="I143" s="51" t="n"/>
      <c r="N143" s="51" t="n"/>
    </row>
    <row r="144" ht="15" customHeight="1" s="52">
      <c r="H144" s="101" t="n"/>
      <c r="I144" s="51" t="n"/>
      <c r="N144" s="51" t="n"/>
    </row>
    <row r="145" ht="15" customHeight="1" s="52">
      <c r="H145" s="101" t="n"/>
      <c r="I145" s="51" t="n"/>
      <c r="N145" s="51" t="n"/>
    </row>
    <row r="146" ht="15" customHeight="1" s="52">
      <c r="H146" s="101" t="n"/>
      <c r="I146" s="51" t="n"/>
      <c r="N146" s="51" t="n"/>
    </row>
    <row r="147" ht="15" customHeight="1" s="52">
      <c r="H147" s="101" t="n"/>
      <c r="I147" s="51" t="n"/>
      <c r="N147" s="51" t="n"/>
    </row>
    <row r="148" ht="15" customHeight="1" s="52">
      <c r="H148" s="101" t="n"/>
      <c r="I148" s="51" t="n"/>
      <c r="N148" s="51" t="n"/>
    </row>
    <row r="149" ht="15" customHeight="1" s="52">
      <c r="H149" s="101" t="n"/>
      <c r="I149" s="51" t="n"/>
      <c r="N149" s="51" t="n"/>
    </row>
    <row r="150" ht="15" customHeight="1" s="52">
      <c r="H150" s="101" t="n"/>
      <c r="I150" s="51" t="n"/>
      <c r="N150" s="51" t="n"/>
    </row>
    <row r="151" ht="15" customHeight="1" s="52">
      <c r="H151" s="101" t="n"/>
      <c r="I151" s="51" t="n"/>
      <c r="N151" s="51" t="n"/>
    </row>
    <row r="152" ht="15" customHeight="1" s="52">
      <c r="H152" s="101" t="n"/>
      <c r="I152" s="51" t="n"/>
      <c r="N152" s="51" t="n"/>
    </row>
    <row r="153" ht="15" customHeight="1" s="52">
      <c r="H153" s="101" t="n"/>
      <c r="I153" s="51" t="n"/>
      <c r="N153" s="51" t="n"/>
    </row>
    <row r="154" ht="15" customHeight="1" s="52">
      <c r="H154" s="101" t="n"/>
      <c r="I154" s="51" t="n"/>
      <c r="N154" s="51" t="n"/>
    </row>
    <row r="155" ht="15" customHeight="1" s="52">
      <c r="H155" s="101" t="n"/>
      <c r="I155" s="51" t="n"/>
      <c r="N155" s="51" t="n"/>
    </row>
    <row r="156" ht="15" customHeight="1" s="52">
      <c r="H156" s="101" t="n"/>
      <c r="I156" s="51" t="n"/>
      <c r="N156" s="51" t="n"/>
    </row>
    <row r="157" ht="15" customHeight="1" s="52">
      <c r="H157" s="101" t="n"/>
      <c r="I157" s="51" t="n"/>
      <c r="N157" s="51" t="n"/>
    </row>
    <row r="158" ht="15" customHeight="1" s="52">
      <c r="H158" s="101" t="n"/>
      <c r="I158" s="51" t="n"/>
      <c r="N158" s="51" t="n"/>
    </row>
    <row r="159" ht="15" customHeight="1" s="52">
      <c r="H159" s="101" t="n"/>
      <c r="I159" s="51" t="n"/>
      <c r="N159" s="51" t="n"/>
    </row>
    <row r="160" ht="15" customHeight="1" s="52">
      <c r="H160" s="101" t="n"/>
      <c r="I160" s="51" t="n"/>
      <c r="N160" s="51" t="n"/>
    </row>
    <row r="161" ht="15" customHeight="1" s="52">
      <c r="H161" s="101" t="n"/>
      <c r="I161" s="51" t="n"/>
      <c r="N161" s="51" t="n"/>
    </row>
    <row r="162" ht="15" customHeight="1" s="52">
      <c r="H162" s="101" t="n"/>
      <c r="I162" s="51" t="n"/>
      <c r="N162" s="51" t="n"/>
    </row>
    <row r="163" ht="15" customHeight="1" s="52">
      <c r="H163" s="101" t="n"/>
      <c r="I163" s="51" t="n"/>
      <c r="N163" s="51" t="n"/>
    </row>
    <row r="164" ht="15" customHeight="1" s="52">
      <c r="H164" s="101" t="n"/>
      <c r="I164" s="51" t="n"/>
      <c r="N164" s="51" t="n"/>
    </row>
    <row r="165" ht="15" customHeight="1" s="52">
      <c r="H165" s="101" t="n"/>
      <c r="I165" s="51" t="n"/>
      <c r="N165" s="51" t="n"/>
    </row>
    <row r="166" ht="15" customHeight="1" s="52">
      <c r="H166" s="101" t="n"/>
      <c r="I166" s="51" t="n"/>
      <c r="N166" s="51" t="n"/>
    </row>
    <row r="167" ht="15" customHeight="1" s="52">
      <c r="H167" s="101" t="n"/>
      <c r="I167" s="51" t="n"/>
      <c r="N167" s="51" t="n"/>
    </row>
    <row r="168" ht="15" customHeight="1" s="52">
      <c r="H168" s="101" t="n"/>
      <c r="I168" s="51" t="n"/>
      <c r="N168" s="51" t="n"/>
    </row>
    <row r="169" ht="15" customHeight="1" s="52">
      <c r="H169" s="101" t="n"/>
      <c r="I169" s="51" t="n"/>
      <c r="N169" s="51" t="n"/>
    </row>
    <row r="170" ht="15" customHeight="1" s="52">
      <c r="H170" s="101" t="n"/>
      <c r="I170" s="51" t="n"/>
      <c r="N170" s="51" t="n"/>
    </row>
    <row r="171" ht="15" customHeight="1" s="52">
      <c r="H171" s="101" t="n"/>
      <c r="I171" s="51" t="n"/>
      <c r="N171" s="51" t="n"/>
    </row>
    <row r="172" ht="15" customHeight="1" s="52">
      <c r="H172" s="101" t="n"/>
      <c r="I172" s="51" t="n"/>
      <c r="N172" s="51" t="n"/>
    </row>
    <row r="173" ht="15" customHeight="1" s="52">
      <c r="H173" s="101" t="n"/>
      <c r="I173" s="51" t="n"/>
      <c r="N173" s="51" t="n"/>
    </row>
    <row r="174" ht="15" customHeight="1" s="52">
      <c r="H174" s="101" t="n"/>
      <c r="I174" s="51" t="n"/>
      <c r="N174" s="51" t="n"/>
    </row>
    <row r="175" ht="15" customHeight="1" s="52">
      <c r="H175" s="101" t="n"/>
      <c r="I175" s="51" t="n"/>
      <c r="N175" s="51" t="n"/>
    </row>
    <row r="176" ht="15" customHeight="1" s="52">
      <c r="H176" s="101" t="n"/>
      <c r="I176" s="51" t="n"/>
      <c r="N176" s="51" t="n"/>
    </row>
    <row r="177" ht="15" customHeight="1" s="52">
      <c r="H177" s="101" t="n"/>
      <c r="I177" s="51" t="n"/>
      <c r="N177" s="51" t="n"/>
    </row>
    <row r="178" ht="15" customHeight="1" s="52">
      <c r="H178" s="101" t="n"/>
      <c r="I178" s="51" t="n"/>
      <c r="N178" s="51" t="n"/>
    </row>
    <row r="179" ht="15" customHeight="1" s="52">
      <c r="H179" s="101" t="n"/>
      <c r="I179" s="51" t="n"/>
      <c r="N179" s="51" t="n"/>
    </row>
    <row r="180" ht="15" customHeight="1" s="52">
      <c r="H180" s="101" t="n"/>
      <c r="I180" s="51" t="n"/>
      <c r="N180" s="51" t="n"/>
    </row>
    <row r="181" ht="15" customHeight="1" s="52">
      <c r="H181" s="101" t="n"/>
      <c r="I181" s="51" t="n"/>
      <c r="N181" s="51" t="n"/>
    </row>
    <row r="182" ht="15" customHeight="1" s="52">
      <c r="H182" s="101" t="n"/>
      <c r="I182" s="51" t="n"/>
      <c r="N182" s="51" t="n"/>
    </row>
    <row r="183" ht="15" customHeight="1" s="52">
      <c r="H183" s="101" t="n"/>
      <c r="I183" s="51" t="n"/>
      <c r="N183" s="51" t="n"/>
    </row>
    <row r="184" ht="15" customHeight="1" s="52">
      <c r="H184" s="101" t="n"/>
      <c r="I184" s="51" t="n"/>
      <c r="N184" s="51" t="n"/>
    </row>
    <row r="185" ht="15" customHeight="1" s="52">
      <c r="H185" s="101" t="n"/>
      <c r="I185" s="51" t="n"/>
      <c r="N185" s="51" t="n"/>
    </row>
    <row r="186" ht="15" customHeight="1" s="52">
      <c r="H186" s="101" t="n"/>
      <c r="I186" s="51" t="n"/>
      <c r="N186" s="51" t="n"/>
    </row>
    <row r="187" ht="15" customHeight="1" s="52">
      <c r="H187" s="101" t="n"/>
      <c r="I187" s="51" t="n"/>
      <c r="N187" s="51" t="n"/>
    </row>
    <row r="188" ht="15" customHeight="1" s="52">
      <c r="H188" s="101" t="n"/>
      <c r="I188" s="51" t="n"/>
      <c r="N188" s="51" t="n"/>
    </row>
    <row r="189" ht="15" customHeight="1" s="52">
      <c r="H189" s="101" t="n"/>
      <c r="I189" s="51" t="n"/>
      <c r="N189" s="51" t="n"/>
    </row>
    <row r="190" ht="15" customHeight="1" s="52">
      <c r="H190" s="101" t="n"/>
      <c r="I190" s="51" t="n"/>
      <c r="N190" s="51" t="n"/>
    </row>
    <row r="191" ht="15" customHeight="1" s="52">
      <c r="H191" s="101" t="n"/>
      <c r="I191" s="51" t="n"/>
      <c r="N191" s="51" t="n"/>
    </row>
    <row r="192" ht="15" customHeight="1" s="52">
      <c r="H192" s="101" t="n"/>
      <c r="I192" s="51" t="n"/>
      <c r="N192" s="51" t="n"/>
    </row>
    <row r="193" ht="15" customHeight="1" s="52">
      <c r="H193" s="101" t="n"/>
      <c r="I193" s="51" t="n"/>
      <c r="N193" s="51" t="n"/>
    </row>
    <row r="194" ht="15" customHeight="1" s="52">
      <c r="H194" s="101" t="n"/>
      <c r="I194" s="51" t="n"/>
      <c r="N194" s="51" t="n"/>
    </row>
    <row r="195" ht="15" customHeight="1" s="52">
      <c r="H195" s="101" t="n"/>
      <c r="I195" s="51" t="n"/>
      <c r="N195" s="51" t="n"/>
    </row>
    <row r="196" ht="15" customHeight="1" s="52">
      <c r="H196" s="101" t="n"/>
      <c r="I196" s="51" t="n"/>
      <c r="N196" s="51" t="n"/>
    </row>
    <row r="197" ht="15" customHeight="1" s="52">
      <c r="H197" s="101" t="n"/>
      <c r="I197" s="51" t="n"/>
      <c r="N197" s="51" t="n"/>
    </row>
    <row r="198" ht="15" customHeight="1" s="52">
      <c r="H198" s="101" t="n"/>
      <c r="I198" s="51" t="n"/>
      <c r="N198" s="51" t="n"/>
    </row>
    <row r="199" ht="15" customHeight="1" s="52">
      <c r="H199" s="101" t="n"/>
      <c r="I199" s="51" t="n"/>
      <c r="N199" s="51" t="n"/>
    </row>
    <row r="200" ht="15" customHeight="1" s="52">
      <c r="H200" s="101" t="n"/>
      <c r="I200" s="51" t="n"/>
      <c r="N200" s="51" t="n"/>
    </row>
    <row r="201" ht="15" customHeight="1" s="52">
      <c r="H201" s="101" t="n"/>
      <c r="I201" s="51" t="n"/>
      <c r="N201" s="51" t="n"/>
    </row>
    <row r="202" ht="15" customHeight="1" s="52">
      <c r="H202" s="101" t="n"/>
      <c r="I202" s="51" t="n"/>
      <c r="N202" s="51" t="n"/>
    </row>
    <row r="203" ht="15" customHeight="1" s="52">
      <c r="H203" s="101" t="n"/>
      <c r="I203" s="51" t="n"/>
      <c r="N203" s="51" t="n"/>
    </row>
    <row r="204" ht="15" customHeight="1" s="52">
      <c r="H204" s="101" t="n"/>
      <c r="I204" s="51" t="n"/>
      <c r="N204" s="51" t="n"/>
    </row>
    <row r="205" ht="15" customHeight="1" s="52">
      <c r="H205" s="101" t="n"/>
      <c r="I205" s="51" t="n"/>
      <c r="N205" s="51" t="n"/>
    </row>
    <row r="206" ht="15" customHeight="1" s="52">
      <c r="H206" s="101" t="n"/>
      <c r="I206" s="51" t="n"/>
      <c r="N206" s="51" t="n"/>
    </row>
    <row r="207" ht="15" customHeight="1" s="52">
      <c r="H207" s="101" t="n"/>
      <c r="I207" s="51" t="n"/>
      <c r="N207" s="51" t="n"/>
    </row>
    <row r="208" ht="15" customHeight="1" s="52">
      <c r="H208" s="101" t="n"/>
      <c r="I208" s="51" t="n"/>
      <c r="N208" s="51" t="n"/>
    </row>
    <row r="209" ht="15" customHeight="1" s="52">
      <c r="H209" s="101" t="n"/>
      <c r="I209" s="51" t="n"/>
      <c r="N209" s="51" t="n"/>
    </row>
    <row r="210" ht="15" customHeight="1" s="52">
      <c r="H210" s="101" t="n"/>
      <c r="I210" s="51" t="n"/>
      <c r="N210" s="51" t="n"/>
    </row>
    <row r="211" ht="15" customHeight="1" s="52">
      <c r="H211" s="101" t="n"/>
      <c r="I211" s="51" t="n"/>
      <c r="N211" s="51" t="n"/>
    </row>
    <row r="212" ht="15" customHeight="1" s="52">
      <c r="H212" s="101" t="n"/>
      <c r="I212" s="51" t="n"/>
      <c r="N212" s="51" t="n"/>
    </row>
    <row r="213" ht="15" customHeight="1" s="52">
      <c r="H213" s="101" t="n"/>
      <c r="I213" s="51" t="n"/>
      <c r="N213" s="51" t="n"/>
    </row>
    <row r="214" ht="15" customHeight="1" s="52">
      <c r="H214" s="101" t="n"/>
      <c r="I214" s="51" t="n"/>
      <c r="N214" s="51" t="n"/>
    </row>
    <row r="215" ht="15" customHeight="1" s="52">
      <c r="H215" s="101" t="n"/>
      <c r="I215" s="51" t="n"/>
      <c r="N215" s="51" t="n"/>
    </row>
    <row r="216" ht="15" customHeight="1" s="52">
      <c r="H216" s="101" t="n"/>
      <c r="I216" s="51" t="n"/>
      <c r="N216" s="51" t="n"/>
    </row>
    <row r="217" ht="15" customHeight="1" s="52">
      <c r="H217" s="101" t="n"/>
      <c r="I217" s="51" t="n"/>
      <c r="N217" s="51" t="n"/>
    </row>
    <row r="218" ht="15" customHeight="1" s="52">
      <c r="H218" s="101" t="n"/>
      <c r="I218" s="51" t="n"/>
      <c r="N218" s="51" t="n"/>
    </row>
    <row r="219" ht="15" customHeight="1" s="52">
      <c r="H219" s="101" t="n"/>
      <c r="I219" s="51" t="n"/>
      <c r="N219" s="51" t="n"/>
    </row>
    <row r="220" ht="15" customHeight="1" s="52">
      <c r="H220" s="101" t="n"/>
      <c r="I220" s="51" t="n"/>
      <c r="N220" s="51" t="n"/>
    </row>
    <row r="221" ht="15" customHeight="1" s="52">
      <c r="H221" s="101" t="n"/>
      <c r="I221" s="51" t="n"/>
      <c r="N221" s="51" t="n"/>
    </row>
    <row r="222" ht="15" customHeight="1" s="52">
      <c r="H222" s="101" t="n"/>
      <c r="I222" s="51" t="n"/>
      <c r="N222" s="51" t="n"/>
    </row>
    <row r="223" ht="15" customHeight="1" s="52">
      <c r="H223" s="101" t="n"/>
      <c r="I223" s="51" t="n"/>
      <c r="N223" s="51" t="n"/>
    </row>
    <row r="224" ht="15" customHeight="1" s="52">
      <c r="H224" s="101" t="n"/>
      <c r="I224" s="51" t="n"/>
      <c r="N224" s="51" t="n"/>
    </row>
    <row r="225" ht="15" customHeight="1" s="52">
      <c r="H225" s="101" t="n"/>
      <c r="I225" s="51" t="n"/>
      <c r="N225" s="51" t="n"/>
    </row>
    <row r="226" ht="15" customHeight="1" s="52">
      <c r="H226" s="101" t="n"/>
      <c r="I226" s="51" t="n"/>
      <c r="N226" s="51" t="n"/>
    </row>
    <row r="227" ht="15" customHeight="1" s="52">
      <c r="H227" s="101" t="n"/>
      <c r="I227" s="51" t="n"/>
      <c r="N227" s="51" t="n"/>
    </row>
    <row r="228" ht="15" customHeight="1" s="52">
      <c r="H228" s="101" t="n"/>
      <c r="I228" s="51" t="n"/>
      <c r="N228" s="51" t="n"/>
    </row>
    <row r="229" ht="15" customHeight="1" s="52">
      <c r="H229" s="101" t="n"/>
      <c r="I229" s="51" t="n"/>
      <c r="N229" s="51" t="n"/>
    </row>
    <row r="230" ht="15" customHeight="1" s="52">
      <c r="H230" s="101" t="n"/>
      <c r="I230" s="51" t="n"/>
      <c r="N230" s="51" t="n"/>
    </row>
    <row r="231" ht="15" customHeight="1" s="52">
      <c r="H231" s="101" t="n"/>
      <c r="I231" s="51" t="n"/>
      <c r="N231" s="51" t="n"/>
    </row>
    <row r="232" ht="15" customHeight="1" s="52">
      <c r="H232" s="101" t="n"/>
      <c r="I232" s="51" t="n"/>
      <c r="N232" s="51" t="n"/>
    </row>
    <row r="233" ht="15" customHeight="1" s="52">
      <c r="H233" s="101" t="n"/>
      <c r="I233" s="51" t="n"/>
      <c r="N233" s="51" t="n"/>
    </row>
    <row r="234" ht="15" customHeight="1" s="52">
      <c r="H234" s="101" t="n"/>
      <c r="I234" s="51" t="n"/>
      <c r="N234" s="51" t="n"/>
    </row>
    <row r="235" ht="15" customHeight="1" s="52">
      <c r="H235" s="101" t="n"/>
      <c r="I235" s="51" t="n"/>
      <c r="N235" s="51" t="n"/>
    </row>
    <row r="236" ht="15" customHeight="1" s="52">
      <c r="H236" s="101" t="n"/>
      <c r="I236" s="51" t="n"/>
      <c r="N236" s="51" t="n"/>
    </row>
    <row r="237" ht="15" customHeight="1" s="52">
      <c r="H237" s="101" t="n"/>
      <c r="I237" s="51" t="n"/>
      <c r="N237" s="51" t="n"/>
    </row>
    <row r="238" ht="15" customHeight="1" s="52">
      <c r="H238" s="101" t="n"/>
      <c r="I238" s="51" t="n"/>
      <c r="N238" s="51" t="n"/>
    </row>
    <row r="239" ht="15" customHeight="1" s="52">
      <c r="H239" s="101" t="n"/>
      <c r="I239" s="51" t="n"/>
      <c r="N239" s="51" t="n"/>
    </row>
    <row r="240" ht="15" customHeight="1" s="52">
      <c r="H240" s="101" t="n"/>
      <c r="I240" s="51" t="n"/>
      <c r="N240" s="51" t="n"/>
    </row>
    <row r="241" ht="15" customHeight="1" s="52">
      <c r="H241" s="101" t="n"/>
      <c r="I241" s="51" t="n"/>
      <c r="N241" s="51" t="n"/>
    </row>
    <row r="242" ht="15" customHeight="1" s="52">
      <c r="H242" s="101" t="n"/>
      <c r="I242" s="51" t="n"/>
      <c r="N242" s="51" t="n"/>
    </row>
    <row r="243" ht="15" customHeight="1" s="52">
      <c r="H243" s="101" t="n"/>
      <c r="I243" s="51" t="n"/>
      <c r="N243" s="51" t="n"/>
    </row>
    <row r="244" ht="15" customHeight="1" s="52">
      <c r="H244" s="101" t="n"/>
      <c r="I244" s="51" t="n"/>
      <c r="N244" s="51" t="n"/>
    </row>
    <row r="245" ht="15" customHeight="1" s="52">
      <c r="H245" s="101" t="n"/>
      <c r="I245" s="51" t="n"/>
      <c r="N245" s="51" t="n"/>
    </row>
    <row r="246" ht="15" customHeight="1" s="52">
      <c r="H246" s="101" t="n"/>
      <c r="I246" s="51" t="n"/>
      <c r="N246" s="51" t="n"/>
    </row>
    <row r="247" ht="15" customHeight="1" s="52">
      <c r="H247" s="101" t="n"/>
      <c r="I247" s="51" t="n"/>
      <c r="N247" s="51" t="n"/>
    </row>
    <row r="248" ht="15" customHeight="1" s="52">
      <c r="H248" s="101" t="n"/>
      <c r="I248" s="51" t="n"/>
      <c r="N248" s="51" t="n"/>
    </row>
    <row r="249" ht="15" customHeight="1" s="52">
      <c r="H249" s="101" t="n"/>
      <c r="I249" s="51" t="n"/>
      <c r="N249" s="51" t="n"/>
    </row>
    <row r="250" ht="15" customHeight="1" s="52">
      <c r="H250" s="101" t="n"/>
      <c r="I250" s="51" t="n"/>
      <c r="N250" s="51" t="n"/>
    </row>
  </sheetData>
  <mergeCells count="2">
    <mergeCell ref="A2:Q2"/>
    <mergeCell ref="A1:Q1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51" min="1" max="1"/>
    <col width="15.51" customWidth="1" style="51" min="2" max="2"/>
    <col width="28.65" customWidth="1" style="51" min="3" max="3"/>
    <col width="33.42" customWidth="1" style="51" min="4" max="4"/>
    <col width="83.55" customWidth="1" style="51" min="5" max="5"/>
    <col width="57.29" customWidth="1" style="51" min="6" max="6"/>
    <col width="14.33" customWidth="1" style="51" min="7" max="7"/>
  </cols>
  <sheetData>
    <row r="1" ht="15" customHeight="1" s="52">
      <c r="A1" s="70" t="inlineStr">
        <is>
          <t>特效账本变更日志</t>
        </is>
      </c>
    </row>
    <row r="2" ht="15" customHeight="1" s="52"/>
    <row r="3" ht="15" customHeight="1" s="52">
      <c r="A3" s="54" t="inlineStr">
        <is>
          <t>只记录本账本的域内变更；跨域与全局变更记录在主账本《版本记录》</t>
        </is>
      </c>
    </row>
    <row r="5" ht="15" customHeight="1" s="52">
      <c r="A5" s="58" t="inlineStr">
        <is>
          <t>台账版本</t>
        </is>
      </c>
      <c r="B5" s="58" t="inlineStr">
        <is>
          <t>日期</t>
        </is>
      </c>
      <c r="C5" s="58" t="inlineStr">
        <is>
          <t>变更类型</t>
        </is>
      </c>
      <c r="D5" s="58" t="inlineStr">
        <is>
          <t>范围</t>
        </is>
      </c>
      <c r="E5" s="58" t="inlineStr">
        <is>
          <t>说明</t>
        </is>
      </c>
      <c r="F5" s="58" t="inlineStr">
        <is>
          <t>兼容性</t>
        </is>
      </c>
      <c r="G5" s="58" t="inlineStr">
        <is>
          <t>负责人</t>
        </is>
      </c>
    </row>
    <row r="6" ht="45.75" customHeight="1" s="52">
      <c r="A6" s="69" t="inlineStr">
        <is>
          <t>v0.1.0</t>
        </is>
      </c>
      <c r="B6" s="69" t="inlineStr">
        <is>
          <t>2026-09-18</t>
        </is>
      </c>
      <c r="C6" s="62" t="inlineStr">
        <is>
          <t>分账本建立</t>
        </is>
      </c>
      <c r="D6" s="62" t="inlineStr">
        <is>
          <t>特效</t>
        </is>
      </c>
      <c r="E6" s="62" t="inlineStr">
        <is>
          <t>由单体账本《ShellStorm2_美术资产台账_v001.xlsx》按大类拆分而来；本账本接管大类=特效，条目内容逐格不变，仅登记位置变化。</t>
        </is>
      </c>
      <c r="F6" s="62" t="inlineStr">
        <is>
          <t>资产条目、AssetID、路径与哈希全部不变；只换文件。旧引用可用 scripts/ledger_registry.py 解析。</t>
        </is>
      </c>
      <c r="G6" s="62" t="inlineStr">
        <is>
          <t>摩斯拉</t>
        </is>
      </c>
    </row>
    <row r="7" ht="32.8" customHeight="1" s="52">
      <c r="A7" s="69" t="inlineStr">
        <is>
          <t>v0.1.1</t>
        </is>
      </c>
      <c r="B7" s="69" t="inlineStr">
        <is>
          <t>2026-09-21</t>
        </is>
      </c>
      <c r="C7" s="62" t="inlineStr">
        <is>
          <t>条目更新 + 新增</t>
        </is>
      </c>
      <c r="D7" s="62" t="inlineStr">
        <is>
          <t>特效 · 3D-特效</t>
        </is>
      </c>
      <c r="E7" s="69" t="inlineStr">
        <is>
          <t>FX01-01 枪口花火 / FX01-02 命中爆点 卡通 v002 重做（枪口新增 OmniLight3D MuzzleLight 与 forward 对齐；命中改为按 context.normal 对齐）；新增 FX01-06 VFX-BULLET-VISUAL-3D 飞行子弹纯视觉 Prefab（含 ProjectileLight）；同期修正备注中已废弃的 ..._v001.tscn 路径写法。</t>
        </is>
      </c>
      <c r="F7" s="69" t="inlineStr">
        <is>
          <t>AssetID 不变；仅新增一条 FX01-06；Prefab 路径保持去版本化；资产主表未改动</t>
        </is>
      </c>
      <c r="G7" s="62" t="inlineStr">
        <is>
          <t>摩斯拉</t>
        </is>
      </c>
    </row>
    <row r="8" ht="15" customHeight="1" s="52">
      <c r="A8" s="101" t="inlineStr">
        <is>
          <t>v0.1.2</t>
        </is>
      </c>
      <c r="B8" s="101" t="inlineStr">
        <is>
          <t>2026-09-21</t>
        </is>
      </c>
      <c r="C8" s="51" t="inlineStr">
        <is>
          <t>条目更新</t>
        </is>
      </c>
      <c r="D8" s="51" t="inlineStr">
        <is>
          <t>特效 · 3D-特效</t>
        </is>
      </c>
      <c r="E8" s="101" t="inlineStr">
        <is>
          <t>FX01-01 枪口花火：新增 context.follow 挂点跟随契约（角色移动/转向/后坐力时特效始终贴着枪口，不再残留在开火瞬间的世界坐标）；调用方尺寸基准定为 0.8（视觉体积 80%）；专项验收补端到端接线断言 + 两轮反向对照</t>
        </is>
      </c>
      <c r="F8" s="101" t="inlineStr">
        <is>
          <t>AssetID / Prefab 路径 / 尺寸契约不变；行为为向后兼容增强（未传 follow 时退化为世界锚定）</t>
        </is>
      </c>
      <c r="G8" s="51" t="inlineStr">
        <is>
          <t>摩斯拉</t>
        </is>
      </c>
    </row>
    <row r="9" ht="15" customHeight="1" s="52">
      <c r="A9" s="101" t="inlineStr">
        <is>
          <t>v0.1.3</t>
        </is>
      </c>
      <c r="B9" s="101" t="inlineStr">
        <is>
          <t>2026-09-22</t>
        </is>
      </c>
      <c r="C9" s="51" t="inlineStr">
        <is>
          <t>新增条目</t>
        </is>
      </c>
      <c r="D9" s="51" t="inlineStr">
        <is>
          <t>特效 · 3D-特效</t>
        </is>
      </c>
      <c r="E9" s="51" t="inlineStr">
        <is>
          <t>新增 FX01-07 VFX-SHELL-CASING-3D 抛壳落地特效：独立 Prefab + 脚本，接入 WeaponModel3D 开火链路与 VfxPool3D；弹壳从枪械右侧抛出，按重力下落，最多两次小弹跳后静止并回收；补专项验收与反向对照。</t>
        </is>
      </c>
      <c r="F9" s="51" t="inlineStr">
        <is>
          <t>新增一个 AssetID；不改既有 AssetID；纯视觉无碰撞体；开火调用向后兼容。</t>
        </is>
      </c>
      <c r="G9" s="51" t="inlineStr">
        <is>
          <t>摩斯拉</t>
        </is>
      </c>
    </row>
    <row r="10" ht="15" customHeight="1" s="52">
      <c r="A10" s="101" t="inlineStr">
        <is>
          <t>v0.1.4</t>
        </is>
      </c>
      <c r="B10" s="101" t="inlineStr">
        <is>
          <t>2026-09-22</t>
        </is>
      </c>
      <c r="C10" s="51" t="inlineStr">
        <is>
          <t>条目更新</t>
        </is>
      </c>
      <c r="D10" s="51" t="inlineStr">
        <is>
          <t>特效 · 3D-特效</t>
        </is>
      </c>
      <c r="E10" s="101" t="inlineStr">
        <is>
          <t>FX01-07 VFX-SHELL-CASING-3D：PBR 定档为金属度 metallic=0.8、反光度 roughness=0.6，壳体/底缘/底火三件统一；原先三件各自分散的数值收敛为单一常量组 SHELL_METALLIC / SHELL_ROUGHNESS（各件仅保留基色差异）；专项验收新增 PBR 真值断言（读已挂载材质，期望值硬编码于验收侧）并附反向对照。</t>
        </is>
      </c>
      <c r="F10" s="51" t="inlineStr">
        <is>
          <t>仅材质参数变化，不影响 AssetID / Prefab 路径 / 尺寸契约 / 运动与落地行为；观感为更暗哑统一的黄铜金属弹壳。</t>
        </is>
      </c>
      <c r="G10" s="51" t="inlineStr">
        <is>
          <t>摩斯拉</t>
        </is>
      </c>
    </row>
    <row r="11" ht="15" customHeight="1" s="52">
      <c r="A11" s="101" t="inlineStr">
        <is>
          <t>v0.1.5</t>
        </is>
      </c>
      <c r="B11" s="101" t="inlineStr">
        <is>
          <t>2026-09-22</t>
        </is>
      </c>
      <c r="C11" s="51" t="inlineStr">
        <is>
          <t>条目更新</t>
        </is>
      </c>
      <c r="D11" s="51" t="inlineStr">
        <is>
          <t>特效 · 3D-特效</t>
        </is>
      </c>
      <c r="E11" s="101" t="inlineStr">
        <is>
          <t>FX01-07 VFX-SHELL-CASING-3D 弹壳：落地由「物理射线 / floor_y 兜底」改为**纯程序化模拟碰撞**（解析式越线判定，Prefab 无碰撞体，脚本内无任何物理查询 API）；运动改为 飞行(弹跳) → 贴地滚动 → 躺平静止 三阶段 + 触地挤压包络，手感常量收敛为一组；视觉尺寸缩到原基准 **80%**；贴地半径由壳体 0.045 修正为三件最大径向半展 0.058（底缘）；修复实机缺陷「弹壳特效没了」——floor_y 原硬编码 0，而塔楼楼层向下建（98F ≈ -1176m），导致弹壳出生即判触地、瞬移到世界原点；现由 WeaponModel3D._resolve_shell_floor_y(shooter) 取射击者站立面。资产主表 row22 哈希同步刷新为磁盘真值（Prefab 于 08:47 被重存、去掉 load_steps 提示行）。</t>
        </is>
      </c>
      <c r="F11" s="101" t="inlineStr">
        <is>
          <t>AssetID / Prefab 路径 / 版本号 v001 / PBR 定档值均不变；仅行为、尺寸常量与落地判据变化；调用方签名 _spawn_shell_casing(world) → (shooter: Node3D)（内部方法，无外部调用者）。</t>
        </is>
      </c>
      <c r="G11" s="51" t="inlineStr">
        <is>
          <t>摩斯拉</t>
        </is>
      </c>
    </row>
    <row r="12" ht="84" customHeight="1" s="52">
      <c r="A12" s="101" t="inlineStr">
        <is>
          <t>v0.1.6</t>
        </is>
      </c>
      <c r="B12" s="105" t="n">
        <v>46295</v>
      </c>
      <c r="C12" s="51" t="inlineStr">
        <is>
          <t>新增资产登记</t>
        </is>
      </c>
      <c r="D12" s="51" t="inlineStr">
        <is>
          <t>特效 · 资产主表</t>
        </is>
      </c>
      <c r="E12" s="101" t="inlineStr">
        <is>
          <t>新增 VFX-ENV-CLOUD-SEA-3D：主塔及周边楼群99F以下的室外卡通云海。独立Prefab、缓慢流动与分层半透明表现；避让建筑、桥面及室内。同步查重范围、总览与无损基线。</t>
        </is>
      </c>
      <c r="F12" s="101" t="inlineStr">
        <is>
          <t>新增一个稳定AssetID与Prefab路径；既有条目的身份、路径、状态及哈希保留。</t>
        </is>
      </c>
      <c r="G12" s="51" t="inlineStr">
        <is>
          <t>Codex</t>
        </is>
      </c>
    </row>
    <row r="13" ht="84" customHeight="1" s="52">
      <c r="A13" s="101" t="inlineStr">
        <is>
          <t>v0.1.7</t>
        </is>
      </c>
      <c r="B13" s="105" t="n">
        <v>46295</v>
      </c>
      <c r="C13" s="51" t="inlineStr">
        <is>
          <t>新增Prefab分页</t>
        </is>
      </c>
      <c r="D13" s="51" t="inlineStr">
        <is>
          <t>特效 · 3D-特效</t>
        </is>
      </c>
      <c r="E13" s="101" t="inlineStr">
        <is>
          <t>FX03-02 已登记独立 VFX-ENV-CLOUD-SEA-3D Prefab。记录生成脚本、Shader源、正式放置、建筑与室内避让，以及分层缓慢流动参数。Prefab分页采用独立事务更新对应sheet摘要。</t>
        </is>
      </c>
      <c r="F13" s="101" t="inlineStr">
        <is>
          <t>资产主表不变；特效无碰撞/伤害/交互逻辑，生命周期由所属场景持有。</t>
        </is>
      </c>
      <c r="G13" s="51" t="inlineStr">
        <is>
          <t>Codex</t>
        </is>
      </c>
    </row>
    <row r="14">
      <c r="A14" s="101" t="inlineStr">
        <is>
          <t>v0.1.8</t>
        </is>
      </c>
      <c r="B14" s="105" t="n">
        <v>46303</v>
      </c>
      <c r="C14" s="51" t="inlineStr">
        <is>
          <t>新增资产主表</t>
        </is>
      </c>
      <c r="D14" s="51" t="inlineStr">
        <is>
          <t>特效 · 资产主表</t>
        </is>
      </c>
      <c r="E14" s="101" t="inlineStr">
        <is>
          <t>新增VFX-RADIO-MUSIC-NOTES-3D，查重/总览/DV扩至新行；纯视觉radio附件，不进池。</t>
        </is>
      </c>
      <c r="F14" s="101" t="inlineStr">
        <is>
          <t>稳定ID/路径不变；主体v005几何与灯帽不变；不改点击或玩法</t>
        </is>
      </c>
      <c r="G14" s="51" t="inlineStr">
        <is>
          <t>CodeBuddy</t>
        </is>
      </c>
    </row>
    <row r="15">
      <c r="A15" s="101" t="inlineStr">
        <is>
          <t>v0.1.9</t>
        </is>
      </c>
      <c r="B15" s="105" t="n">
        <v>46303</v>
      </c>
      <c r="C15" s="51" t="inlineStr">
        <is>
          <t>新增Prefab专表</t>
        </is>
      </c>
      <c r="D15" s="51" t="inlineStr">
        <is>
          <t>特效 · 3D-特效</t>
        </is>
      </c>
      <c r="E15" s="101" t="inlineStr">
        <is>
          <t>登记FX03-03收音机音符独立PackedScene，纯视觉无碰撞；专表独立事务更新摘要。</t>
        </is>
      </c>
      <c r="F15" s="101" t="inlineStr">
        <is>
          <t>稳定ID/路径不变；主体v005几何与灯帽不变；不改点击或玩法</t>
        </is>
      </c>
      <c r="G15" s="51" t="inlineStr">
        <is>
          <t>CodeBuddy</t>
        </is>
      </c>
    </row>
    <row r="16">
      <c r="A16" s="51" t="inlineStr">
        <is>
          <t>v0.1.10</t>
        </is>
      </c>
      <c r="B16" s="110" t="n">
        <v>46304</v>
      </c>
      <c r="C16" s="51" t="inlineStr">
        <is>
          <t>新增Blender源资产</t>
        </is>
      </c>
      <c r="D16" s="51" t="inlineStr">
        <is>
          <t>特效 / 资产主表</t>
        </is>
      </c>
      <c r="E16" s="51" t="inlineStr">
        <is>
          <t>新增两套7鸟环境动画；同步查重、总览、下拉范围和无损基线。</t>
        </is>
      </c>
      <c r="F16" s="51" t="inlineStr">
        <is>
          <t>仅源阶段；3D-特效Prefab专表保持不变。</t>
        </is>
      </c>
      <c r="G16" s="51" t="inlineStr">
        <is>
          <t>Codex</t>
        </is>
      </c>
    </row>
    <row r="17">
      <c r="A17" s="51" t="inlineStr">
        <is>
          <t>v0.1.11</t>
        </is>
      </c>
      <c r="B17" s="110" t="inlineStr">
        <is>
          <t>2026-10-09 00:00:00</t>
        </is>
      </c>
      <c r="C17" s="51" t="inlineStr">
        <is>
          <t>运行时摆位与播放修正</t>
        </is>
      </c>
      <c r="D17" s="51" t="inlineStr">
        <is>
          <t>特效 / 资产主表</t>
        </is>
      </c>
      <c r="E17" s="51" t="inlineStr">
        <is>
          <t>修正两套鸟群运行时接入：① 逐鸟播放(每鸟一条Action，原只播第一条致6只冻结)；② 单次演出改为环境循环(原播完即销毁，玩家看不到)；③ 飞行组移至塔2上方+吊桥第1跨中段(20.0,1.6,-64.5)；停留组移至100F天台吊桥北出口以东局部(25.0,0.0,-31.0)。</t>
        </is>
      </c>
      <c r="F17" s="51" t="inlineStr">
        <is>
          <t>稳定ID/路径/版本v001不变；GLB与源动画未改；SHA归属仍为runtime tscn；无碰撞、不改玩法。</t>
        </is>
      </c>
      <c r="G17" s="51" t="inlineStr">
        <is>
          <t>Codex</t>
        </is>
      </c>
    </row>
    <row r="18">
      <c r="A18" s="51" t="inlineStr">
        <is>
          <t>v0.1.12</t>
        </is>
      </c>
      <c r="B18" s="110" t="n">
        <v>46307</v>
      </c>
      <c r="C18" s="51" t="inlineStr">
        <is>
          <t>环境鸟群运行表现调整</t>
        </is>
      </c>
      <c r="D18" s="51" t="inlineStr">
        <is>
          <t>特效 / 资产主表</t>
        </is>
      </c>
      <c r="E18" s="51" t="inlineStr">
        <is>
          <t>鸟尺寸50%；空中200m/12s；错落队形、振翅135%；新增吊桥下塔2屋顶上方实例。</t>
        </is>
      </c>
      <c r="F18" s="51" t="inlineStr">
        <is>
          <t>仅现有两行；模型与GLB仍v001。</t>
        </is>
      </c>
      <c r="G18" s="51" t="inlineStr">
        <is>
          <t>Codex</t>
        </is>
      </c>
    </row>
    <row r="19">
      <c r="A19" s="51" t="inlineStr">
        <is>
          <t>v0.1.13</t>
        </is>
      </c>
      <c r="B19" s="110" t="n">
        <v>46307</v>
      </c>
      <c r="C19" s="51" t="inlineStr">
        <is>
          <t>鸟群尺寸与速度调整</t>
        </is>
      </c>
      <c r="D19" s="51" t="inlineStr">
        <is>
          <t>特效 / 资产主表</t>
        </is>
      </c>
      <c r="E19" s="51" t="inlineStr">
        <is>
          <t>尺寸比上版大50%，各鸟±10%变化；空中速度减半为200m/24s。</t>
        </is>
      </c>
      <c r="F19" s="51" t="inlineStr">
        <is>
          <t>运行包装v003；既有两个AssetID。</t>
        </is>
      </c>
      <c r="G19" s="51" t="inlineStr">
        <is>
          <t>Codex</t>
        </is>
      </c>
    </row>
    <row r="20" ht="46" customHeight="1" s="52">
      <c r="A20" s="51" t="inlineStr">
        <is>
          <t>v0.1.14</t>
        </is>
      </c>
      <c r="B20" s="51" t="inlineStr">
        <is>
          <t>2026-10-13</t>
        </is>
      </c>
      <c r="C20" s="51" t="inlineStr">
        <is>
          <t>新增大类 + 新增条目</t>
        </is>
      </c>
      <c r="D20" s="51" t="inlineStr">
        <is>
          <t>特效 / 子弹特效</t>
        </is>
      </c>
      <c r="E20" s="51" t="inlineStr">
        <is>
          <t>新增域内第二大类「子弹特效」：逐弹种专属弹体/尾迹/命中特效各占一行，8 个弹种（标准/黏黏弹/回旋镖弹/穿甲弹/爆炸弹/蜂卵弹/黑洞弹/气球弹）全部为「待制作」，以内容库《武器》S 列表现要求与 04 §6.2 子弹模块 visual_id 契约为设计依据；同时把原只登记在《3D-特效》分页的通用弹体 VFX-BULLET-VISUAL-3D 补登进《资产主表》并作为 8 条的变体父体。同步：C 列下拉加入新大类、S 列查重区间与总览公式区间 $25→$34、条件格式与 auto_filter 扩到 r34；《3D-特效》分页刻意未改（8 条尚无 PackedScene，且该页一行 = 一个实际存在的 PackedScene）。</t>
        </is>
      </c>
      <c r="F20" s="51" t="inlineStr">
        <is>
          <t>稳定 AssetID 与既有 Prefab 路径不变；《3D-特效》逐格不变；主目录《分账本索引》特效行大类数 1→2、《分类与编码》新增一行；纯登记变更，不改玩法数值与运行时行为。</t>
        </is>
      </c>
      <c r="G20" s="51" t="inlineStr">
        <is>
          <t>CodeBuddy</t>
        </is>
      </c>
    </row>
    <row r="21" ht="46" customHeight="1" s="52">
      <c r="A21" s="51" t="inlineStr">
        <is>
          <t>v0.1.15</t>
        </is>
      </c>
      <c r="B21" s="51" t="inlineStr">
        <is>
          <t>2026-10-13</t>
        </is>
      </c>
      <c r="C21" s="51" t="inlineStr">
        <is>
          <t>条目更新（待制作 → 已完成）+ 新增 Prefab</t>
        </is>
      </c>
      <c r="D21" s="51" t="inlineStr">
        <is>
          <t>特效 · 子弹特效</t>
        </is>
      </c>
      <c r="E21" s="51" t="inlineStr">
        <is>
          <t>把 8 个弹种专属弹体特效（VFX-BULLET-{STANDARD,STICKY,BOUNCE,PIERCING,EXPLOSIVE,HOMING,BLACKHOLE,BALLOON}-3D）从「待制作」推进到「已完成」：《3D-特效》分页登记 8 个实际存在的 PackedScene（FX01-08..FX01-15，为 FX01-06 通用弹体 VFX-BULLET-VISUAL-3D 的弹种专属变体）；《资产主表》逐行回填 O 列路径、T 列 SHA-256，K 列推进「已完成」并同步 N 规格/U 负责人/V 更新时间/W 来源。实现：共享基类 src/vfx/VfxBulletBody3D.gd 提供弹芯（胶囊/球）/外壳（弹色半透明）/尾迹（锥段/小珠/火星条）/跟随灯四层，8 个子类只覆写 _bullet_profile() 声明弹体形态、配色、尾迹构图与灯参数；由 Projectile3D 依 visual_id 经 BULLET_VISUAL_REGISTRY 路由为子节点持有，随 ProjectilePool3D 回收，刻意不进 VfxPool3D（避免弹体池与特效池双重 ownership）。专项验收 verify_bullet_vfx_profiles。</t>
        </is>
      </c>
      <c r="F21" s="51" t="inlineStr">
        <is>
          <t>稳定 AssetID 全部保持不变（r27..r34 的 AssetID/子类/逻辑ID 逐格不变）；新增 8 个 Prefab 路径与哈希；O 列由「待定」变为去版本化运行路径（无 _vNNN），版本仍锁在 Prefab 根 meta asset_version=v001 与账本 M 列；纯视觉无碰撞体、不含玩法行为，运行时调用方式（AssetID/visual_id 路由）为向后兼容增强。</t>
        </is>
      </c>
      <c r="G21" s="51" t="inlineStr">
        <is>
          <t>CodeBuddy</t>
        </is>
      </c>
    </row>
    <row r="22" ht="46" customHeight="1" s="52">
      <c r="A22" s="51" t="inlineStr">
        <is>
          <t>v0.1.16</t>
        </is>
      </c>
      <c r="B22" s="51" t="inlineStr">
        <is>
          <t>2026-10-14</t>
        </is>
      </c>
      <c r="C22" s="51" t="inlineStr">
        <is>
          <t>新增条目 + 新增 Prefab 分页</t>
        </is>
      </c>
      <c r="D22" s="51" t="inlineStr">
        <is>
          <t>特效 · 资产主表 / 3D-特效</t>
        </is>
      </c>
      <c r="E22" s="51" t="inlineStr">
        <is>
          <t>新增 FX01-16 VFX-MONSTER-ROAR-ICON-3D「怪物启动吼叫头顶图标」：怪物从待机/巡游进入攻击前的 0.30–0.60s 启动过程里，转向玩家后头顶弹出的一次性吼叫提示（业主 2026-10-14 设计，见 06A §6.1.1）。独立 Prefab + 脚本 + 256² RGBA 透明底贴图（gpt-image-2 绘制，四版迭代）。尺寸按体型等比（血条宽 × 0.42，钳制 0.45–1.20m），体型输入复用 Enemy3D.HEALTH_BAR_SIZE_BY_KIND。《总览》公式、DataValidation 与查重区间同步扩至新行；无损基线连带重建（3D-特效 摘要漂移）。</t>
        </is>
      </c>
      <c r="F22" s="51" t="inlineStr">
        <is>
          <t>新增一个稳定 AssetID 与 Prefab 路径；既有条目的身份、路径、状态与哈希逐格保留；纯视觉无碰撞体、不含玩法行为，不进 VfxPool3D；Boss 豁免不叠加既有激活流程。</t>
        </is>
      </c>
      <c r="G22" s="51" t="inlineStr">
        <is>
          <t>摩斯拉</t>
        </is>
      </c>
    </row>
    <row r="23" s="52">
      <c r="A23" s="51" t="inlineStr">
        <is>
          <t>v0.1.17</t>
        </is>
      </c>
      <c r="B23" s="51" t="inlineStr">
        <is>
          <t>2026-10-14</t>
        </is>
      </c>
      <c r="C23" s="51" t="inlineStr">
        <is>
          <t>新增条目 + 新增 Prefab 分页</t>
        </is>
      </c>
      <c r="D23" s="51" t="inlineStr">
        <is>
          <t>特效 · 资产主表 / 3D-特效</t>
        </is>
      </c>
      <c r="E23" s="51" t="inlineStr">
        <is>
          <t>新增 FX01-17 VFX-DEATH-BLAST-3D「胖子僵尸死亡自爆特效」与 FX01-18 VFX-BLAST-ZONE-3D「自爆地面残留伤害场」：前者是一次性爆炸视觉（亮芯 + 2 层冲击环 + 9 星芒 + 8 碎屑 + BlastLight，lifetime 0.62s），走 VfxPool3D 路由；后者是自爆后留在地上、持续 3 秒的持续伤害范围之**视觉层**（场底面 + 外缘定环 + 3 脉冲环 + 6 余烬 + ZoneLight），由玩法节点 DeathBlastZone3D 宿主自持、**刻意不进 VfxPool3D**。伤害结算（敌我通吃、同房过滤、首跳排在 tick_interval）在 src/enemy3d/DeathBlastZone3D.gd，规格落在远征01 monster_rules.death_explosion.fat_zombie03.zone。</t>
        </is>
      </c>
      <c r="F23" s="51" t="inlineStr">
        <is>
          <t>新增两个稳定 AssetID 与 Prefab 路径；既有条目的身份、路径、状态与哈希逐格保留；两个 Prefab 均为纯视觉、无碰撞体、不含玩法逻辑；未配置 zone 段的关卡（塔楼等）逐行为 0。</t>
        </is>
      </c>
      <c r="G23" s="51" t="inlineStr">
        <is>
          <t>摩斯拉</t>
        </is>
      </c>
    </row>
    <row r="24" s="52">
      <c r="A24" s="51" t="inlineStr">
        <is>
          <t>v0.1.18</t>
        </is>
      </c>
      <c r="B24" s="51" t="inlineStr">
        <is>
          <t>2026-10-14</t>
        </is>
      </c>
      <c r="C24" s="51" t="inlineStr">
        <is>
          <t>条目更新（改版升版）</t>
        </is>
      </c>
      <c r="D24" s="51" t="inlineStr">
        <is>
          <t>特效 · 资产主表 / 3D-特效</t>
        </is>
      </c>
      <c r="E24" s="51" t="inlineStr">
        <is>
          <t>FX01-16 VFX-MONSTER-ROAR-ICON-3D 改版 v002（业主 2026-10-14 指定）：① 图形由「怪兽大嘴」改为**红色感叹号**（整支统一纯红、粗黑描边、去掉青色高光）；② **新增「弹出后停顿一下」的动画节奏** ——① 弹出 0.70→1.15（t=0.10 过冲）② 回稳 →1.00（t=0.18）③ 停顿（0.18→hold 全程严格静止）④ 淡出，停顿段 scale 实测逐位相同；③ 图标与血条的间隙由固定 0.12m 改为**按图标边长 0.30 的比例**（感叹号圆点落在方框底部，固定米数会贴住血条，预览实测 elite/boss 档间隙 −1px 即重叠）。贴图重制（gpt-image-2 三版迭代），原图留 art_source/.../source/v002/。Prefab 路径与 SHA 未变；仅资产内容、版本与备注更新。</t>
        </is>
      </c>
      <c r="F24" s="51" t="inlineStr">
        <is>
          <t>AssetID / Prefab 路径 / **Prefab SHA 均不变**（.tscn 未改）；仅资产版本升 v002 与备注更新，调用方式（AssetID 路由 + 每怪常驻 Sprite3D）不变；尺寸公式中「间隙」一项由常量改为比例，六档体型下的图标-血条间隙统一变为等比（+4~+10px），不遮挡血条。</t>
        </is>
      </c>
      <c r="G24" s="51" t="inlineStr">
        <is>
          <t>摩斯拉</t>
        </is>
      </c>
    </row>
    <row r="25">
      <c r="A25" s="109" t="inlineStr">
        <is>
          <t>v0.1.19</t>
        </is>
      </c>
      <c r="B25" s="109" t="inlineStr">
        <is>
          <t>2026-10-14</t>
        </is>
      </c>
      <c r="C25" s="109" t="inlineStr">
        <is>
          <t>条目更新（尺寸契约）</t>
        </is>
      </c>
      <c r="D25" s="109" t="inlineStr">
        <is>
          <t>特效 · 子弹特效 / 3D-特效</t>
        </is>
      </c>
      <c r="E25" s="109" t="inlineStr">
        <is>
          <t>按枪族给弹体视觉定尺寸档：弹体尺寸改为「弹种 profile × 枪身族档位」两层。新增 WeaponModel3D.BULLET_GEOMETRY_BY_GUN_TAG（按枪身 tags 族标识登记）：shotgun 由小变大（出生 42% / 0.30s 长满）、launcher ×1.55、sniper 横向 ×0.95 + 沿飞行轴 ×2.0，其余枪中性（1.0/1.0/无生长）。VfxBulletBody3D 新增 axial_scale / grow_from / grow_duration 三项 context 入参与确定性生长包络；轴向拉伸只落各件局部长轴与尾迹段距，不写父级 scale/rotation（避免非均匀缩放 × 子级旋转的剪切）。Projectile3D 新增 _gun_bullet_geometry 随 configure 读取、activate 下发，子投射物继承。验收 verify_bullet_vfx_profiles 扩至 samples=59，反向对照三组。</t>
        </is>
      </c>
      <c r="F25" s="109" t="inlineStr">
        <is>
          <t>稳定 AssetID / Prefab 路径 / Prefab SHA / 版本号全部不变（未改 .tscn）；仅运行时尺寸契约变化（缺省 context 一律中性 ⇒ 未上档的枪外观逐帧不变）；无碰撞体改动、不含玩法数值。</t>
        </is>
      </c>
      <c r="G25" s="109" t="inlineStr">
        <is>
          <t>摩斯拉</t>
        </is>
      </c>
    </row>
    <row r="26">
      <c r="A26" s="109" t="inlineStr">
        <is>
          <t>v0.1.20</t>
        </is>
      </c>
      <c r="B26" s="109" t="inlineStr">
        <is>
          <t>2026-10-14</t>
        </is>
      </c>
      <c r="C26" s="109" t="inlineStr">
        <is>
          <t>新增条目 + 新增 Prefab 分页</t>
        </is>
      </c>
      <c r="D26" s="109" t="inlineStr">
        <is>
          <t>特效 · 资产主表 / 3D-特效</t>
        </is>
      </c>
      <c r="E26" s="109" t="inlineStr">
        <is>
          <t>新增 FX01-19 VFX-ZOMBIE-GOO-DEATH-3D「僵尸死亡绿色方块爆开特效」（业主 2026-10-14）：① 爆炸粒子 12 枚绿色方块（尺度 0.25→1.15→0.35，0.24s 收干净）；② 飞溅粒子 14 枚（g=30 抛物线，解析式求落点，落地压扁缩没）；③ 地面液体 4 块扁平方形（落在飞溅真实落点，出现后严格停留 0.50s，再下沉 0.30m 淡出）；全程 1.35s，纯视觉无碰撞体，走 VfxPool3D。接线：Enemy3D._die() 对 GOO_DEATH_KINDS=[melee_chaser, ranged_caster] 借出该特效，并以 _retire_goo_death_visual() **去掉 2.4s 倒地动画与尸体**（模型同帧收起、节点本帧回收、不进死亡显影组）；其余怪行为逐字不变。新增专项 verify_zombie_goo_death_vfx（samples=14，含四组反向对照）；verify_melee_zombie_death_visibility 同步改写为新契约。</t>
        </is>
      </c>
      <c r="F26" s="109" t="inlineStr">
        <is>
          <t>新增一个稳定 AssetID 与 Prefab 路径；既有条目的 AssetID / 路径 / 状态 / 哈希逐格保留（含另一会话未提交的子弹特效尺寸档备注，未改动）。行为面为「小僵尸 / 警察僵尸死亡表现替换」，属业主指定的显式变更：该两类怪不再播倒地动画、不留尸体；胖子僵尸 / Boss 等其它怪种的死亡链路逐字不变（由 verify_fat_zombie03_death_visibility 与 verify_zombie_goo_death_vfx 的双向对照守护）。</t>
        </is>
      </c>
      <c r="G26" s="109" t="inlineStr">
        <is>
          <t>摩斯拉</t>
        </is>
      </c>
    </row>
    <row r="27">
      <c r="A27" s="109" t="inlineStr">
        <is>
          <t>v0.1.21</t>
        </is>
      </c>
      <c r="B27" s="109" t="inlineStr">
        <is>
          <t>2026-10-14</t>
        </is>
      </c>
      <c r="C27" s="109" t="inlineStr">
        <is>
          <t>条目更新（尺寸档调整 + 契约修正）</t>
        </is>
      </c>
      <c r="D27" s="109" t="inlineStr">
        <is>
          <t>特效 · 子弹特效 / 3D-特效</t>
        </is>
      </c>
      <c r="E27" s="109" t="inlineStr">
        <is>
          <t>① 散射喷壶弹体 ×2（业主「子弹太小了，出生和结束都增加 2 倍」）：shotgun 档位 scale 1.00 → 2.00，grow_from 0.42 保持不变 ⇒ 出生 0.42→0.84、长满 1.00→2.00，比例关系与过程感不变。② **修正一处契约未兑现**：v0.1.19 备注声明「本档位不改碰撞半径」，但实现上 Projectile3D._apply_visual_configuration() 复用了含枪身倍率的 _visual_scale_factor() 计算碰撞球半径，霰弹 ×2 会把判定半径从 0.12 悄悄抬到 0.24。本轮把倍率拆成 _visual_scale_factor()（弹种 × 命运 × 枪身）与 _collision_scale_factor()（只含弹种 × 命运），碰撞半径回到基准 0.12，兑现纯视觉契约；balloon 弹的 1.55 弹种倍率仍照常进入碰撞（既有行为不变）。③ Projectile3D.get_orientation_snapshot() 暴露 collision_radius 供验收读取；验收 verify_bullet_vfx_profiles 扩至 samples=60，新增「纯视觉边界」正面断言，反向对照 RC4（shotgun.scale→1.0）/ RC5（碰撞倍率误含枪身档位）均精准变红。④ 弹体规模实测（探针 _scratch/probe_bullet_mesh_stats）：标准弹 732 三角面 / 3 件，八弹种 468~1020 面（均值 819），件数 3~6；缩放不改变面数。</t>
        </is>
      </c>
      <c r="F27" s="109" t="inlineStr">
        <is>
          <t>稳定 AssetID / Prefab 路径 / Prefab SHA / 版本号全部不变（未改 .tscn）；仅运行时尺寸与碰撞半径口径变化：霰弹枪观感 ×2，其碰撞判定与改动前逐位相同；其余枪外观与判定均不变。⚠️ 本行补录：本事务原写入的 v0.1.20 日志行被并发会话的同编号写入覆盖（对方新增 VFX-ZOMBIE-GOO-DEATH-3D），备注改动未受影响；此处以 v0.1.21 补录，内容完整。</t>
        </is>
      </c>
      <c r="G27" s="109" t="inlineStr">
        <is>
          <t>摩斯拉</t>
        </is>
      </c>
    </row>
    <row r="28">
      <c r="A28" s="109" t="inlineStr">
        <is>
          <t>v0.1.22</t>
        </is>
      </c>
      <c r="B28" s="109" t="inlineStr">
        <is>
          <t>2026-10-14</t>
        </is>
      </c>
      <c r="C28" s="109" t="inlineStr">
        <is>
          <t>新增条目 + 条目更新（改版升版）</t>
        </is>
      </c>
      <c r="D28" s="109" t="inlineStr">
        <is>
          <t>特效 · 资产主表 / 3D-特效</t>
        </is>
      </c>
      <c r="E28" s="109" t="inlineStr">
        <is>
          <t>① 新增 FX01-20 VFX-GOO-HIT-3D「僵尸命中爆点特效」——12 枚绿方块从命中点炸开、0.26s，刻意无灯、刻意不消费 normal；由 Projectile3D._spawn_hit_effect() 与 PlayerMeleeCombat3D._spawn_hit_feedback() 共用分流入口 Enemy3D.uses_goo_hit_burst()（ZOMBIE_KINDS = melee_chaser / ranged_caster / fat_zombie03）。② 新增 FX01-21 VFX-METAL-SPARK-HIT-3D「金属打击火星命中特效」——5 颗白方块 + 2 根金色长条火星，火星沿切平面擦出；替代原本「把 VFX-IMPACT-3D 缩小 60%」的临时口径（业主改口为重新制作）；VFX-IMPACT-3D 保留给非僵尸死亡爆点 / 护盾弹开，命中路径不再借它。③ FX01-17 VFX-DEATH-BLAST-3D 整体重做并升 v002：改为「小僵尸的死亡表现 ×2 + 3 层绿色冲击波」（业主把口径更正为「把小僵尸的特效放大两倍给胖子僵尸用」），v001 的亮芯/星芒/碎屑整组退役；尺寸由调用方固定 2.0，不再按伤害半径反推。④ FX01-19 VFX-ZOMBIE-GOO-DEATH-3D 保持 v001 不变（业主「小僵尸的死亡特效不要改变」）；中途那一版「×2 + 冲击波」撤回，冲击波改为只有胖子僵尸那条有。⑤ 结构：抽 src/vfx/VfxGooDeathBase3D.gd 作两条僵尸死亡链路的共享身体（子类只覆盖资产身份与冲击波开关，尺寸由调用方给）；抽 src/vfx/ToonVfxBurst.gd 作方块爆开/冲击波的共享运动学（纯静态、确定性、无 randf）。⑥ 受击特效尺寸下调约 40%（业主「受击的特效也不要太大，小一点」）。⑦ 新增专项 verify_hit_routing_vfx（samples=26）；verify_death_blast_vfx 改按新设计；verify_zombie_goo_death_vfx 回到 v001 并新增冲击波开关的两侧断言。</t>
        </is>
      </c>
      <c r="F28" s="109" t="inlineStr">
        <is>
          <t>新增两个稳定 AssetID 与 Prefab 路径；既有条目的 AssetID / 路径 / 状态逐格保留。FX01-17 因换造型语言升 v002 ⇒ 该行 Prefab SHA 变化（属显式改版，非漂移）。行为面：胖子僵尸的死亡表现改为与小僵尸同源 ×2 + 绿色冲击波；命中特效按「僵尸三兄弟 vs 其余」分流（枪击与近战同一判据）。小僵尸 / 警察僵尸的死亡表现逐字未变。</t>
        </is>
      </c>
      <c r="G28" s="109" t="inlineStr">
        <is>
          <t>摩斯拉</t>
        </is>
      </c>
    </row>
    <row r="29">
      <c r="A29" s="109" t="inlineStr">
        <is>
          <t>v0.1.23</t>
        </is>
      </c>
      <c r="B29" s="109" t="inlineStr">
        <is>
          <t>2026-10-14</t>
        </is>
      </c>
      <c r="C29" s="109" t="inlineStr">
        <is>
          <t>条目更新（减面 + 尺寸契约补齐）</t>
        </is>
      </c>
      <c r="D29" s="109" t="inlineStr">
        <is>
          <t>特效 · 子弹特效 / 3D-特效</t>
        </is>
      </c>
      <c r="E29" s="109" t="inlineStr">
        <is>
          <t>弹体视觉**减面到 100 面以内**（业主「减面，减到 100 个面以下先」）。先用探针 _scratch/probe_mesh_lod_sweep 实测 CapsuleMesh / CylinderMesh / SphereMesh / BoxMesh 的分段→面数表，再据此定档：关键发现是 CapsuleMesh 的圆头来自 rings，rings=0 的「胶囊」= 平盖圆柱且比 CylinderMesh 贵 8 面（24 vs 16），而 rings=1 需 48 面/件、弹芯+外壳两件即吃掉 100 面全部预算 ⇒ 弹芯与外壳改 4 边棱柱。尾迹锥 rs=12→4（12 面）、滴珠 SphereMesh→BoxMesh（16→12 面）、黑洞/气球球核 SphereMesh 12×6→4×1（16 面）。结果：八弹种 44~80 面（改前 468~1020），均值 819→61.3，全部 &lt; 100；霰弹一次 5 发 3660→220 面。件数与尾迹构图未动（件数是账本与验收 EXPECTED_TRAIL_PARTS 的契约）。新增 prism 键为低面数弹体形状，旧键 capsule 在低面数档下按棱柱产出以免误用高价图元。验收 verify_bullet_vfx_profiles 扩至 samples=69，新增面数预算用例（上限 100 + 逐弹种实测值双层硬编码）；反向对照 RC6（MESH_SEGMENTS→12 精确报 132 面）/ RC7（SPHERE_RINGS→6 精确报 148 面）/ RC8（通用弹体 _SEGMENTS→12 精确报 132 面）均精准变红。另：本行同时收口 v0.1.19/v0.1.21 的尺寸档与碰撞分离契约（见备注列完整表述）。</t>
        </is>
      </c>
      <c r="F29" s="109" t="inlineStr">
        <is>
          <t>稳定 AssetID / Prefab 路径 / Prefab SHA / 版本号全部不变（未改 .tscn，几何为运行时程序生成）；纯视觉：碰撞半径 / 伤害 / 射程 / 灯光契约均未动；外观为更低面数的方形棱柱（端面平），已记入开发记录并给出升档方案。</t>
        </is>
      </c>
      <c r="G29" s="109" t="inlineStr">
        <is>
          <t>摩斯拉</t>
        </is>
      </c>
    </row>
    <row r="30">
      <c r="A30" s="109" t="inlineStr">
        <is>
          <t>v0.1.23</t>
        </is>
      </c>
      <c r="B30" s="109" t="inlineStr">
        <is>
          <t>2026-10-14</t>
        </is>
      </c>
      <c r="C30" s="109" t="inlineStr">
        <is>
          <t>条目更新（改版升版 + 落点契约）</t>
        </is>
      </c>
      <c r="D30" s="109" t="inlineStr">
        <is>
          <t>特效 · 资产主表 / 3D-特效</t>
        </is>
      </c>
      <c r="E30" s="109" t="inlineStr">
        <is>
          <t>FX01-20 VFX-GOO-HIT-3D 升 v002（业主 2026-10-14 第四轮）：① 造型语言由「12 枚绿方块爆开」换成 FX01-21 `VFX-METAL-SPARK-HIT-3D` 那一套 —— 5 颗方块 + 2 根长条火星，色板换成僵尸绿；两件共用父类 `VfxMetalSparkHit3D`（父类只留「资产身份 + 色板三项」钩子）⇒ 几何与运动学**逐字相同**，两件不可能各自漂移。② 尺寸不再独立定档：改为金属火星同档位 ×1.10（业主「放大大概 10%」）—— `Projectile3D.ZOMBIE_HIT_SIZE_RATIO = 1.10`，`GOO_HIT_SIZE_TARGET/ABSORB` 由金属那组派生（0.374 / 0.462）；近战侧新增 `PlayerMeleeCombat3D.ZOMBIE_HIT_BASE_SIZE = 0.42`，不再把近战件那套 size（0.88~1.6，按 FX01-05 基准定的）直接喂给火星造型（那正是业主说的「太大」）。③ 新增**贴肉落点契约**（业主同轮「受击的盒子没有贴着模型，碰撞盒里陷进去坐标大概 0.2 米」）：`Enemy3D.HIT_EFFECT_INSET_M = 0.20` + `hit_effect_anchor(hit_point, surface_normal)`，把碰撞壳上的命中点沿外法线反向收进模型；`Projectile3D._spawn_hit_effect()` 对 Enemy3D 一律先收，墙面 / 掩体不收（收了会钻进墙里）。④ 朝向契约由「全向对称、不消费 normal」改为**消费 `context.normal`**（v002 与 FX01-21 同形）；近战侧由 `PlayerMeleeCombat3D._hit_surface_normal()` 补「从怪体中心指向玩家」的外法线。⑤ 验收：`verify_hit_routing_vfx` 改按 v002（samples 26 → **27**），新增「两件同形」双向对照（同一 size 下件数 / 方块尺度 / 外推量 / 长条长度逐项相等，且颜色必须不同）、贴肉落点三向判定（给定法线 0.2m / 换法线落点跟着换 / 零法线兜底一致）、以及两条静态门禁（Projectile3D 必须过 hit_effect_anchor 且尺寸派生自 1.10；近战必须用 ZOMBIE_HIT_BASE_SIZE）。</t>
        </is>
      </c>
      <c r="F30" s="109" t="inlineStr">
        <is>
          <t>既有条目的 AssetID / 路径 / 状态 / 其他分页逐格保留；本行只升 FX01-20 的版本与 Prefab SHA（脚本改动不改 tscn 结构，但 tscn 内 meta 版本号随 v002 更新 ⇒ SHA 变化，属显式升版、非漂移）。行为面：僵尸三兄弟的受击特效整体变小并转绿（与打其它物体的那件同形、大 10%），命中落点贴回模型 0.2m；FX01-21 与其他特效逐字未变。</t>
        </is>
      </c>
      <c r="G30" s="109" t="inlineStr">
        <is>
          <t>摩斯拉</t>
        </is>
      </c>
    </row>
    <row r="31">
      <c r="A31" s="51" t="inlineStr">
        <is>
          <t>v0.1.star-r3</t>
        </is>
      </c>
      <c r="B31" s="51" t="inlineStr">
        <is>
          <t>2026-10-16</t>
        </is>
      </c>
      <c r="C31" s="51" t="inlineStr">
        <is>
          <t>新增</t>
        </is>
      </c>
      <c r="D31" s="51" t="inlineStr">
        <is>
          <t>FX01-22/23</t>
        </is>
      </c>
      <c r="E31" s="51" t="inlineStr">
        <is>
          <t>力量石头弹与碎裂独立Prefab；正式路由接入，验收中</t>
        </is>
      </c>
      <c r="F31" s="51" t="inlineStr">
        <is>
          <t>不改旧资产路径</t>
        </is>
      </c>
      <c r="G31" s="51" t="inlineStr">
        <is>
          <t>Codex</t>
        </is>
      </c>
    </row>
    <row r="32">
      <c r="A32" s="51" t="inlineStr">
        <is>
          <t>v0.1.24</t>
        </is>
      </c>
      <c r="B32" s="51" t="inlineStr">
        <is>
          <t>2026-10-16</t>
        </is>
      </c>
      <c r="C32" s="51" t="inlineStr">
        <is>
          <t>条目更新（样式重做 + P0 修复 + 调用方收口）</t>
        </is>
      </c>
      <c r="D32" s="51" t="inlineStr">
        <is>
          <t>特效 · 3D-特效（FX02-01 / FX02-02）</t>
        </is>
      </c>
      <c r="E32" s="51" t="inlineStr">
        <is>
          <t>数字飘字字体与样式重做（业主：「先收口，然后要修改字体和样式，走漫画风格的粗体+沟边的，大一点，然后字体飘起的力度感强一些，不要太整齐，带一些随机」）。① 收口四项：删 Enemy3D 里与 _spawn_damage_number 双发的 _spawn_effect("VFX-DAMAGE-NUMBER-3D")（无 context ⇒ 飘红字 0，2026-09-21 审计 P0-1）；治疗改走 VFX-HEAL-NUMBER-3D；字体口径收敛到新建单一真源 src/vfx/DamageNumberStyle.gd；verify_3d_enemy_behavior_flow 的字体断言改从池取生效实例。② 样式：漫画风超粗体（Impact 链 / 字重 900 / MSDF 128）+ 粗勾边（26/30/34 ≈ 字高 22%）+ 放大（世界字高 0.320 → 0.435/0.503/0.570 m，普通档 1.36×）。③ 力度：基线上升 0.60 → 0.90 m、改 ease-out cubic、出生弹出 [1.28,1.48] 后 0.14s 收束。④ 随机：五维全由调用方生成，特效脚本保持逐位确定性。⑤ P0：_on_tick 原以赋值写 position，出生坐标第一帧被清零（飘字跑到世界原点上方不到 1 米）；改为叠加出生点基准。</t>
        </is>
      </c>
      <c r="F32" s="51" t="inlineStr">
        <is>
          <t>AssetID / Prefab 路径 / 版本号（升 v002）稳定；Prefab .tscn 文件逐字未改（样式全在脚本侧）；VfxPool3D 注册表未动；碰撞/伤害/存档无影响。既有条目 AssetID / 路径 / 状态逐格保留。</t>
        </is>
      </c>
      <c r="G32" s="51" t="inlineStr">
        <is>
          <t>摩斯拉</t>
        </is>
      </c>
    </row>
    <row r="33">
      <c r="A33" s="51" t="inlineStr">
        <is>
          <t>v0.1.25</t>
        </is>
      </c>
      <c r="B33" s="51" t="inlineStr">
        <is>
          <t>2026-10-17</t>
        </is>
      </c>
      <c r="C33" s="51" t="inlineStr">
        <is>
          <t>条目更新（勾边修复）</t>
        </is>
      </c>
      <c r="D33" s="51" t="inlineStr">
        <is>
          <t>特效 · 3D-特效（FX02-01 / FX02-02）</t>
        </is>
      </c>
      <c r="E33" s="51" t="inlineStr">
        <is>
          <t>数字飘字黑色勾边修复（业主：「要带黑色描边，我说的是伤害飘字」）。上一轮 v003.9 把描边定到 26/30/34 并声称按字高 22%，但实机从来没画出来过：Godot 的 MSDF 字体下描边可达上限 ≈ msdf_pixel_range / 2，默认 16 只够到 8，26/30/34 远超上限被提前截断成约 1px 细丝（症状：不报错、不变红，且 outline_size 填 26 与填 116 渲染结果逐像素完全相同）。修法：DamageNumberStyle 新增 MSDF_PIXEL_RANGE = 64 并在 make_font() 赋值，VfxDamageNumber3D / VfxHealNumber3D / CombatDamageNumber3D 三条链路共用该工厂故一处即全覆盖。定档：需求 range = 2 × max(描边 × msdf_size / 字号) = 2 × (34 × 128 / 152) ≈ 57.4 ⇒ 取 64；实测 range 16 → 6px、48 → 21px、64/80 → 26px 足额、96 → 左右不对称（过大反崩）⇒ 护栏上界 80。验收新增常量钉子 + 下界不等式 + 上界护栏 + 逐档「实机实例真带该值」断言；反向对照三组（range→16 / range→96 / 删掉 make_font 里那行赋值）均精准变红后还原复绿。</t>
        </is>
      </c>
      <c r="F33" s="51" t="inlineStr">
        <is>
          <t>AssetID / Prefab 路径 / 版本号（升 v003）稳定；Prefab .tscn 文件逐字未改（纯脚本侧）；VfxPool3D 注册表未动；碰撞/伤害/存档无影响。既有条目 AssetID / 路径 / 状态逐格保留。</t>
        </is>
      </c>
      <c r="G33" s="51" t="inlineStr">
        <is>
          <t>摩斯拉</t>
        </is>
      </c>
    </row>
    <row r="34" ht="70" customHeight="1" s="52">
      <c r="A34" s="69" t="inlineStr">
        <is>
          <t>v0.1.26</t>
        </is>
      </c>
      <c r="B34" s="69" t="inlineStr">
        <is>
          <t>2026-10-16</t>
        </is>
      </c>
      <c r="C34" s="62" t="inlineStr">
        <is>
          <t>五种近战专属VFX</t>
        </is>
      </c>
      <c r="D34" s="62" t="inlineStr">
        <is>
          <t>近战差异 v041</t>
        </is>
      </c>
      <c r="E34" s="62" t="inlineStr">
        <is>
          <t>FX01-24至28；独立Prefab，池化跟随与显式结束，动作机唯一调用。</t>
        </is>
      </c>
      <c r="F34" s="62" t="inlineStr">
        <is>
          <t>docs/v0.1/development/2026-10-16_melee_styles_v041.md</t>
        </is>
      </c>
      <c r="G34" s="62" t="inlineStr">
        <is>
          <t>Codex</t>
        </is>
      </c>
    </row>
    <row r="35">
      <c r="A35" s="69" t="inlineStr">
        <is>
          <t>v0.1.27</t>
        </is>
      </c>
      <c r="B35" s="69" t="inlineStr">
        <is>
          <t>2026-10-17</t>
        </is>
      </c>
      <c r="C35" s="62" t="inlineStr">
        <is>
          <t>条目更新（描边减半）</t>
        </is>
      </c>
      <c r="D35" s="62" t="inlineStr">
        <is>
          <t>特效 · 3D-特效（FX02-01 / FX02-02）</t>
        </is>
      </c>
      <c r="E35" s="62" t="inlineStr">
        <is>
          <t>数字飘字描边减半（业主：「太粗了，缩小一半」）。v003 修好 msdf_pixel_range 后描边第一次足额渲染，实机反馈过粗 ⇒ 描边 26/30/34 → 13/15/17（占字高 22% → 11%）。真源 DamageNumberStyle 的 NORMAL/HEAVY/CRITICAL_OUTLINE_SIZE 一处改动即覆盖 VfxDamageNumber3D / VfxHealNumber3D / 兜底 CombatDamageNumber3D 三条链路。距离场宽度不动（仍 64）：需求 2 × max(描边 × msdf_size / 字号) 由 57.4 降到 28.7，64 依旧足额且支持描边到约 38 @ 字号 152，留余量以便后续微调不必重新定档。验收 verify_damage_number_style_flow 的硬编码期望同步为 13/15/17，下界不等式随之重算为 28.7；反向对照两组（range→16 下界红／真源描边偷偷改回 26 常量钉子红）均精准变红后还原复绿。实机同帧 A/B（红色字形像素恒为 5,105 ⇒ 字形本身未变）：近黑描边像素 12,613 → 6,392（×0.507）。</t>
        </is>
      </c>
      <c r="F35" s="62" t="inlineStr">
        <is>
          <t>AssetID / Prefab 路径 / 版本号（升 v004）稳定；Prefab .tscn 文件逐字未改（纯样式常量）；VfxPool3D 注册表未动；碰撞 / 伤害 / 存档无影响。既有条目 AssetID / 路径 / 状态逐格保留。</t>
        </is>
      </c>
      <c r="G35" s="62" t="inlineStr">
        <is>
          <t>摩斯拉</t>
        </is>
      </c>
    </row>
    <row r="36" s="52">
      <c r="A36" s="51" t="inlineStr">
        <is>
          <t>v0.1.28</t>
        </is>
      </c>
      <c r="B36" s="51" t="inlineStr">
        <is>
          <t>2026-10-18</t>
        </is>
      </c>
      <c r="C36" s="51" t="inlineStr">
        <is>
          <t>元素表现与数字升级</t>
        </is>
      </c>
      <c r="D36" s="51" t="inlineStr">
        <is>
          <t>FX01-29至32/FX02-01</t>
        </is>
      </c>
      <c r="E36" s="51" t="inlineStr">
        <is>
          <t>四个独立低粒子Prefab；伤害数字v005元素颜色与0.56秒；补齐既有3D数字主表登记</t>
        </is>
      </c>
      <c r="F36" s="51" t="inlineStr">
        <is>
          <t>稳定ID/运行路径不带版本；旧2D占位保留</t>
        </is>
      </c>
      <c r="G36" s="51" t="inlineStr">
        <is>
          <t>Codex</t>
        </is>
      </c>
    </row>
    <row r="37" s="52">
      <c r="A37" s="51" t="inlineStr">
        <is>
          <t>v0.1.29</t>
        </is>
      </c>
      <c r="B37" s="51" t="inlineStr">
        <is>
          <t>2026-10-19</t>
        </is>
      </c>
      <c r="C37" s="51" t="inlineStr">
        <is>
          <t>新增</t>
        </is>
      </c>
      <c r="D37" s="51" t="inlineStr">
        <is>
          <t>特效 · 资产主表 / 3D-特效</t>
        </is>
      </c>
      <c r="E37" s="51" t="inlineStr">
        <is>
          <t>新增 FX01-33 VFX-BOARD-DEBRIS-3D（暗门木板碎块飞溅）：8 大块木片（0.36~0.58m）+ 5 片小碎屑，程序化抛物/弹跳/滑行/静止，自带 DebrisLight 0.55s 短灯；调用方 SecretDoor3D._break_open()，读档恢复不重播。《资产主表》新增 r53，《3D-特效》新增 r53，《总览》区间由 $6:$52 扩到 $6:$53。</t>
        </is>
      </c>
      <c r="F37" s="51" t="inlineStr">
        <is>
          <t>新增资产行 ⇒ 既有 47 行内容未变，但《总览》区间与查重结果公式区间随之变化，属预期；AssetID / 既有 Prefab 路径 / 既有条目 SHA 均未改动。</t>
        </is>
      </c>
      <c r="G37" s="51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2026-09-18T02:30:04Z</dcterms:created>
  <dcterms:modified xmlns:dcterms="http://purl.org/dc/terms/" xmlns:xsi="http://www.w3.org/2001/XMLSchema-instance" xsi:type="dcterms:W3CDTF">2026-10-19T11:18:26Z</dcterms:modified>
  <cp:revision>0</cp:revision>
</cp:coreProperties>
</file>