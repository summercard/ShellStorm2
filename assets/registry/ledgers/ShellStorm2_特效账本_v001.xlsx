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COUNTA('资产主表'!$A$6:$A$37)</f>
        <v/>
      </c>
      <c r="B6" s="55" t="n"/>
      <c r="C6" s="57">
        <f>COUNTIF('资产主表'!$K$6:$K$37,"已完成")+COUNTIF('资产主表'!$K$6:$K$37,"原型已接入")+COUNTIF('资产主表'!$K$6:$K$37,"正式美术已接入")+COUNTIF('资产主表'!$K$6:$K$37,"已优化并正式接入")+COUNTIF('资产主表'!$K$6:$K$37,"Blender源已完成")+COUNTIF('资产主表'!$K$6:$K$37,"已导入；优化完成")+COUNTIF('资产主表'!$K$6:$K$37,"白模源已完成；QA PASS")</f>
        <v/>
      </c>
      <c r="D6" s="55" t="n"/>
      <c r="E6" s="57">
        <f>COUNTIF('资产主表'!$K$6:$K$37,"待制作")+COUNTIF('资产主表'!$K$6:$K$37,"程序占位")</f>
        <v/>
      </c>
      <c r="F6" s="55" t="n"/>
      <c r="G6" s="57">
        <f>COUNTIF('资产主表'!$S$6:$S$37,"重复")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COUNTIF('资产主表'!$C$6:$C$37,A10)</f>
        <v/>
      </c>
      <c r="C10" s="62">
        <f>SUMPRODUCT(('资产主表'!$C$6:$C$37=A10)*(('资产主表'!$K$6:$K$37="已完成")+('资产主表'!$K$6:$K$37="原型已接入")+('资产主表'!$K$6:$K$37="正式美术已接入")+('资产主表'!$K$6:$K$37="已优化并正式接入")+('资产主表'!$K$6:$K$37="Blender源已完成")+('资产主表'!$K$6:$K$37="已导入；优化完成")+('资产主表'!$K$6:$K$37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COUNTIF('资产主表'!$C$6:$C$37,A11)</f>
        <v/>
      </c>
      <c r="C11" s="62">
        <f>SUMPRODUCT(('资产主表'!$C$6:$C$37=A11)*(('资产主表'!$K$6:$K$37="已完成")+('资产主表'!$K$6:$K$37="原型已接入")+('资产主表'!$K$6:$K$37="正式美术已接入")+('资产主表'!$K$6:$K$37="已优化并正式接入")+('资产主表'!$K$6:$K$37="Blender源已完成")+('资产主表'!$K$6:$K$37="已导入；优化完成")+('资产主表'!$K$6:$K$37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IF(COUNTIF($R$6:$R$37,R6)&gt;1,"重复","唯一")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IF(COUNTIF($R$6:$R$37,R7)&gt;1,"重复","唯一")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IF(COUNTIF($R$6:$R$37,R8)&gt;1,"重复","唯一")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IF(COUNTIF($R$6:$R$37,R9)&gt;1,"重复","唯一")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IF(COUNTIF($R$6:$R$37,R10)&gt;1,"重复","唯一")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IF(COUNTIF($R$6:$R$37,R11)&gt;1,"重复","唯一")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IF(COUNTIF($R$6:$R$37,R12)&gt;1,"重复","唯一")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IF(COUNTIF($R$6:$R$37,R13)&gt;1,"重复","唯一")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IF(COUNTIF($R$6:$R$37,R14)&gt;1,"重复","唯一")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IF(COUNTIF($R$6:$R$37,R15)&gt;1,"重复","唯一")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IF(COUNTIF($R$6:$R$37,R16)&gt;1,"重复","唯一")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IF(COUNTIF($R$6:$R$37,R17)&gt;1,"重复","唯一")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IF(COUNTIF($R$6:$R$37,R18)&gt;1,"重复","唯一")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IF(COUNTIF($R$6:$R$37,R19)&gt;1,"重复","唯一")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IF(COUNTIF($R$6:$R$37,R20)&gt;1,"重复","唯一")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IF(COUNTIF($R$6:$R$37,R21)&gt;1,"重复","唯一")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IF(COUNTIF($R$6:$R$37,R22)&gt;1,"重复","唯一")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IF(COUNTIF($R$6:$R$37,R23)&gt;1,"重复","唯一")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IF(COUNTIF($R$6:$R$37,R24)&gt;1,"重复","唯一")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IF(COUNTIF($R$6:$R$37,R25)&gt;1,"重复","唯一")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IF(COUNTIF($R$6:$R$37,R26)&gt;1,"重复","唯一")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79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IF(COUNTIF($R$6:$R$37,R27)&gt;1,"重复","唯一")</f>
        <v/>
      </c>
      <c r="T27" s="76" t="inlineStr">
        <is>
          <t>d85bb501f79d65493fa2225b0af3516873bf73e1b5c8060e6055fc6bdd7a6530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76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IF(COUNTIF($R$6:$R$37,R28)&gt;1,"重复","唯一")</f>
        <v/>
      </c>
      <c r="T28" s="76" t="inlineStr">
        <is>
          <t>a9ecbcc2cf4b74001414b802a5acb0615289fdc8d28ed96fa1360cca52665c4b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76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IF(COUNTIF($R$6:$R$37,R29)&gt;1,"重复","唯一")</f>
        <v/>
      </c>
      <c r="T29" s="76" t="inlineStr">
        <is>
          <t>49bd24a7c468a829e6e7dffe5b6d79c93e9edb4dd3986d9489d151058ba8f6bd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76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IF(COUNTIF($R$6:$R$37,R30)&gt;1,"重复","唯一")</f>
        <v/>
      </c>
      <c r="T30" s="76" t="inlineStr">
        <is>
          <t>450125ae4af8dfe45964f78542d09c5e604bc348a56ef52454378b1430daa37c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76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IF(COUNTIF($R$6:$R$37,R31)&gt;1,"重复","唯一")</f>
        <v/>
      </c>
      <c r="T31" s="76" t="inlineStr">
        <is>
          <t>8c1ce8b1e775b884b01e6644cd75f57d9cb47cd18e1a3a41e8374f600d84e93d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76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IF(COUNTIF($R$6:$R$37,R32)&gt;1,"重复","唯一")</f>
        <v/>
      </c>
      <c r="T32" s="76" t="inlineStr">
        <is>
          <t>f3f7ad5dcce3205908cf0a115ce425f6030daf4427ede2d394b6997192546032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76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IF(COUNTIF($R$6:$R$37,R33)&gt;1,"重复","唯一")</f>
        <v/>
      </c>
      <c r="T33" s="76" t="inlineStr">
        <is>
          <t>1f7c02ebe353097eda9d818ce583b9a12935917c69f80929bfc0142d7fa417f2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76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IF(COUNTIF($R$6:$R$37,R34)&gt;1,"重复","唯一")</f>
        <v/>
      </c>
      <c r="T34" s="76" t="inlineStr">
        <is>
          <t>e711140cc2daba69230168a54f8f1e03a958015e2c88be8baeaf6f3b1d320e6d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76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IF(COUNTIF($R$6:$R$37,R35)&gt;1,"重复","唯一")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v001</t>
        </is>
      </c>
      <c r="N36" s="76" t="inlineStr">
        <is>
          <t>PackedScene/程序几何（亮芯 + 2 层冲击环 + 9 星芒 + 8 碎屑 + 1 盏 BlastLight；lifetime 0.62s；size 由规格半径 ×0.6 传入）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IF(COUNTIF($R$6:$R$37,R36)&gt;1,"重复","唯一")</f>
        <v/>
      </c>
      <c r="T36" s="76" t="inlineStr">
        <is>
          <t>0b875db8cad687b62001f4775f800569603808996f70e8c497e63b0c5b7700bb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远征01 关卡级（不写该关 monster_rules.death_explosion 的关卡无本表现）。全向对称、不消费 context.forward/normal；纯视觉无碰撞体。尺寸由调用方按规格半径 ×0.6 传入（5.0m ⇒ size 3.0 ⇒ 内环≈4.75m / 外环≈5.29m）。专项验收 verify_death_blast_vfx。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IF(COUNTIF($R$6:$R$37,R37)&gt;1,"重复","唯一")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34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37" showDropDown="0" showInputMessage="0" showErrorMessage="0" allowBlank="1" type="list">
      <formula1>"角色,敌人,武器,道具,场景,场景道具,基地资产包,UI,特效,子弹特效,音效,音乐"</formula1>
    </dataValidation>
    <dataValidation sqref="K6:K3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3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51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51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51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51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51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51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51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51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死亡自爆（远征01）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胖子僵尸死亡自爆特效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远征01 胖子僵尸被打死瞬间的一次性爆炸视觉（业主 2026-10-14「胖子僵尸被打死后自爆没有特效，需要增加一个」）：SphereMesh 亮芯 + 2 层错峰冲击环（TorusMesh，环面躺在 XZ、读作地面冲击波）+ 9 道放射星芒（BoxMesh，Quaternion(UP,dir) 对齐水平放射、长短错峰）+ 8 块飞散碎屑（外抛 + 上抛弧线 + 自旋）+ 一盏 OmniLight3D（名 BlastLight，shadow_enabled=false）。**全向对称**，刻意不消费 context.forward / context.normal。经 VfxPool3D 按 AssetID 路由。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亮芯半径 0.18×size×(0.55→2.40)；冲击环外缘 0.72×size×(0.30→2.20 内环 / 0.20→2.45 外环)，size=3.0 时内环≈4.75m、外环≈5.29m；lifetime 0.62s；BlastLight range 6.0m×size、峰值 light_energy 9.0、寿命末端归零</t>
        </is>
      </c>
      <c r="M37" s="51" t="inlineStr">
        <is>
          <t>原点=根节点中心；**无朝向契约（全向对称）**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v001</t>
        </is>
      </c>
      <c r="Q37" s="51" t="inlineStr">
        <is>
          <t>已实装；Prefab=assets/art/vfx/combat_3d/vfx_death_blast_root_top3d.tscn + 脚本=src/vfx/VfxDeathBlast3D.gd；根节点=VfxDeathBlast3D(Node3D)；FX编号 FX01-17；调用方=Enemy3D._detonate_death_explosion（经 VfxPool3D.acquire(FX01_DEATH_BLAST, …)）；纯视觉无碰撞体；与 **FX01-18** 配对成「爆炸 + 地面残留」一整套；验收=verify_death_blast_vfx。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2026-10-14T09:40:26Z</dcterms:modified>
  <cp:revision>0</cp:revision>
</cp:coreProperties>
</file>