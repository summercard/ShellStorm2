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特效" sheetId="4" state="visible" r:id="rId4"/>
    <sheet xmlns:r="http://schemas.openxmlformats.org/officeDocument/2006/relationships" name="域变更日志" sheetId="5" state="visible" r:id="rId5"/>
  </sheets>
  <definedNames>
    <definedName name="_xlnm._FilterDatabase" localSheetId="2" hidden="1">'资产主表'!$A$5:$X$22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34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17324D"/>
      <sz val="14"/>
    </font>
    <font>
      <name val="Linux Libertine G"/>
      <family val="2"/>
      <b val="1"/>
      <color rgb="FF17324D"/>
      <sz val="14"/>
    </font>
    <font>
      <name val="Linux Libertine G"/>
      <family val="2"/>
      <i val="1"/>
      <color rgb="FF555555"/>
      <sz val="11"/>
    </font>
    <font>
      <name val="Cambria"/>
      <charset val="1"/>
      <family val="0"/>
      <i val="1"/>
      <color rgb="FF555555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1565C0"/>
      <sz val="11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Arial"/>
      <family val="2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3F2FD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E3F2FD"/>
        <bgColor rgb="FFE8F5E9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0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 wrapText="1"/>
    </xf>
    <xf numFmtId="165" fontId="33" fillId="0" borderId="0" applyAlignment="1" pivotButton="0" quotePrefix="0" xfId="0">
      <alignment horizontal="general" vertical="bottom"/>
    </xf>
    <xf numFmtId="0" fontId="30" fillId="10" borderId="0" applyAlignment="1" pivotButton="0" quotePrefix="0" xfId="20">
      <alignment horizontal="center" vertical="top" wrapText="1"/>
    </xf>
    <xf numFmtId="0" fontId="3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555555"/>
      <rgbColor rgb="FF79D8E8"/>
      <rgbColor rgb="FF993366"/>
      <rgbColor rgb="FFFFF0D6"/>
      <rgbColor rgb="FFD9F3E8"/>
      <rgbColor rgb="FF660066"/>
      <rgbColor rgb="FFFF8080"/>
      <rgbColor rgb="FF1565C0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3F2FD"/>
      <rgbColor rgb="FFE8F5E9"/>
      <rgbColor rgb="FFE5E7EB"/>
      <rgbColor rgb="FF9FBAD0"/>
      <rgbColor rgb="FFDCE8EC"/>
      <rgbColor rgb="FFDCE6F1"/>
      <rgbColor rgb="FFFFD6D6"/>
      <rgbColor rgb="FF3366FF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1F5A78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1" min="1" max="1"/>
    <col width="16.71" customWidth="1" style="51" min="2" max="3"/>
    <col width="3.58" customWidth="1" style="51" min="4" max="4"/>
    <col width="9.550000000000001" customWidth="1" style="51" min="5" max="5"/>
    <col width="35.81" customWidth="1" style="51" min="6" max="6"/>
    <col width="50.13" customWidth="1" style="51" min="7" max="7"/>
    <col width="3.58" customWidth="1" style="51" min="8" max="8"/>
    <col width="25.07" customWidth="1" style="51" min="9" max="10"/>
  </cols>
  <sheetData>
    <row r="1" ht="24.75" customHeight="1" s="52">
      <c r="A1" s="53" t="inlineStr">
        <is>
          <t>SHELLSTORM 2 · 特效美术账本 v0.1</t>
        </is>
      </c>
    </row>
    <row r="2" ht="12" customHeight="1" s="52"/>
    <row r="3" ht="22.5" customHeight="1" s="52">
      <c r="A3" s="54" t="inlineStr">
        <is>
          <t>归属域=特效｜覆盖大类=特效｜AssetID 前缀=VFX / FX｜主账本（总目录）=assets/registry/ShellStorm2_美术资产台账_v001.xlsx；本账本可独立并行编辑，跨域契约见主账本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</row>
    <row r="5" ht="27.6" customHeight="1" s="52">
      <c r="A5" s="56" t="inlineStr">
        <is>
          <t>资产总数</t>
        </is>
      </c>
      <c r="B5" s="56" t="n"/>
      <c r="C5" s="56" t="inlineStr">
        <is>
          <t>已完成/已接入</t>
        </is>
      </c>
      <c r="D5" s="56" t="n"/>
      <c r="E5" s="56" t="inlineStr">
        <is>
          <t>待制作/程序占位</t>
        </is>
      </c>
      <c r="F5" s="56" t="n"/>
      <c r="G5" s="56" t="inlineStr">
        <is>
          <t>重复警报</t>
        </is>
      </c>
      <c r="H5" s="56" t="n"/>
      <c r="I5" s="56" t="inlineStr">
        <is>
          <t>域内专表 / 3D Prefab 分页</t>
        </is>
      </c>
      <c r="J5" s="56" t="n"/>
    </row>
    <row r="6" ht="42" customHeight="1" s="52">
      <c r="A6" s="57">
        <f>COUNTA('资产主表'!$A$6:$A$22)</f>
        <v/>
      </c>
      <c r="B6" s="55" t="n"/>
      <c r="C6" s="57">
        <f>COUNTIF('资产主表'!$K$6:$K$22,"已完成")+COUNTIF('资产主表'!$K$6:$K$22,"原型已接入")+COUNTIF('资产主表'!$K$6:$K$22,"正式美术已接入")+COUNTIF('资产主表'!$K$6:$K$22,"已优化并正式接入")+COUNTIF('资产主表'!$K$6:$K$22,"Blender源已完成")+COUNTIF('资产主表'!$K$6:$K$22,"已导入；优化完成")+COUNTIF('资产主表'!$K$6:$K$22,"白模源已完成；QA PASS")</f>
        <v/>
      </c>
      <c r="D6" s="55" t="n"/>
      <c r="E6" s="57">
        <f>COUNTIF('资产主表'!$K$6:$K$22,"待制作")+COUNTIF('资产主表'!$K$6:$K$22,"程序占位")</f>
        <v/>
      </c>
      <c r="F6" s="55" t="n"/>
      <c r="G6" s="57">
        <f>COUNTIF('资产主表'!$S$6:$S$22,"重复")</f>
        <v/>
      </c>
      <c r="H6" s="55" t="n"/>
      <c r="I6" s="56" t="inlineStr">
        <is>
          <t>域内专表：3D-特效　|　3D Prefab 分页：3D-特效</t>
        </is>
      </c>
    </row>
    <row r="7" ht="15" customHeight="1" s="52">
      <c r="A7" s="55" t="n"/>
      <c r="B7" s="55" t="n"/>
      <c r="C7" s="55" t="n"/>
      <c r="D7" s="55" t="n"/>
      <c r="E7" s="55" t="n"/>
      <c r="F7" s="55" t="n"/>
      <c r="G7" s="55" t="n"/>
      <c r="H7" s="55" t="n"/>
      <c r="I7" s="55" t="n"/>
      <c r="J7" s="55" t="n"/>
    </row>
    <row r="8" ht="15" customHeight="1" s="52">
      <c r="A8" s="55" t="n"/>
      <c r="B8" s="55" t="n"/>
      <c r="C8" s="55" t="n"/>
      <c r="D8" s="55" t="n"/>
      <c r="E8" s="55" t="n"/>
      <c r="F8" s="55" t="n"/>
      <c r="G8" s="55" t="n"/>
      <c r="H8" s="55" t="n"/>
      <c r="I8" s="55" t="n"/>
      <c r="J8" s="55" t="n"/>
    </row>
    <row r="9" ht="31.5" customHeight="1" s="52">
      <c r="A9" s="58" t="inlineStr">
        <is>
          <t>大类</t>
        </is>
      </c>
      <c r="B9" s="58" t="inlineStr">
        <is>
          <t>资产数</t>
        </is>
      </c>
      <c r="C9" s="58" t="inlineStr">
        <is>
          <t>完成/接入</t>
        </is>
      </c>
      <c r="D9" s="58" t="n"/>
      <c r="E9" s="59" t="inlineStr">
        <is>
          <t>本账本只登记上列大类；跨域搬运资产须同步主账本《分类与编码》并重跑门禁</t>
        </is>
      </c>
      <c r="F9" s="60" t="n"/>
      <c r="G9" s="60" t="n"/>
      <c r="H9" s="60" t="n"/>
      <c r="I9" s="60" t="n"/>
      <c r="J9" s="61" t="n"/>
    </row>
    <row r="10" ht="21.75" customHeight="1" s="52">
      <c r="A10" s="62" t="inlineStr">
        <is>
          <t>特效</t>
        </is>
      </c>
      <c r="B10" s="62">
        <f>COUNTIF('资产主表'!$C$6:$C$22,A10)</f>
        <v/>
      </c>
      <c r="C10" s="62">
        <f>SUMPRODUCT(('资产主表'!$C$6:$C$22=A10)*(('资产主表'!$K$6:$K$22="已完成")+('资产主表'!$K$6:$K$22="原型已接入")+('资产主表'!$K$6:$K$22="正式美术已接入")+('资产主表'!$K$6:$K$22="已优化并正式接入")+('资产主表'!$K$6:$K$22="Blender源已完成")+('资产主表'!$K$6:$K$22="已导入；优化完成")+('资产主表'!$K$6:$K$22="白模源已完成；QA PASS")))</f>
        <v/>
      </c>
      <c r="D10" s="62" t="n"/>
      <c r="E10" s="62" t="n"/>
      <c r="F10" s="62" t="n"/>
      <c r="G10" s="62" t="n"/>
      <c r="H10" s="62" t="n"/>
      <c r="I10" s="62" t="n"/>
      <c r="J10" s="62" t="n"/>
    </row>
    <row r="11" ht="15" customHeight="1" s="52">
      <c r="A11" s="58" t="inlineStr">
        <is>
          <t>合计</t>
        </is>
      </c>
      <c r="B11" s="58">
        <f>COUNTIF('资产主表'!$C$6:$C$22,A11)</f>
        <v/>
      </c>
      <c r="C11" s="58">
        <f>SUMPRODUCT(('资产主表'!$C$6:$C$22=A11)*(('资产主表'!$K$6:$K$22="已完成")+('资产主表'!$K$6:$K$22="原型已接入")+('资产主表'!$K$6:$K$22="正式美术已接入")+('资产主表'!$K$6:$K$22="已优化并正式接入")+('资产主表'!$K$6:$K$22="Blender源已完成")+('资产主表'!$K$6:$K$22="已导入；优化完成")+('资产主表'!$K$6:$K$22="白模源已完成；QA PASS")))</f>
        <v/>
      </c>
      <c r="D11" s="58" t="n"/>
      <c r="E11" s="58" t="n"/>
      <c r="F11" s="58" t="n"/>
      <c r="G11" s="58" t="n"/>
      <c r="H11" s="58" t="n"/>
      <c r="I11" s="58" t="n"/>
      <c r="J11" s="58" t="n"/>
    </row>
    <row r="12" ht="15" customHeight="1" s="52">
      <c r="A12" s="63" t="n"/>
      <c r="B12" s="63" t="n"/>
      <c r="C12" s="63" t="n"/>
      <c r="D12" s="55" t="n"/>
      <c r="E12" s="64" t="n"/>
      <c r="F12" s="63" t="n"/>
      <c r="G12" s="63" t="n"/>
      <c r="H12" s="55" t="n"/>
      <c r="I12" s="55" t="n"/>
      <c r="J12" s="55" t="n"/>
    </row>
    <row r="13" ht="15" customHeight="1" s="52">
      <c r="A13" s="65" t="inlineStr">
        <is>
          <t>域内 3D Prefab 分页统计（快照口径与本账本分页一致；权威清单在各分页表）</t>
        </is>
      </c>
      <c r="B13" s="66" t="n"/>
      <c r="C13" s="66" t="n"/>
      <c r="D13" s="66" t="n"/>
      <c r="E13" s="66" t="n"/>
      <c r="F13" s="66" t="n"/>
      <c r="G13" s="66" t="n"/>
      <c r="H13" s="66" t="n"/>
      <c r="I13" s="66" t="n"/>
      <c r="J13" s="67" t="n"/>
    </row>
    <row r="14" ht="39.55" customHeight="1" s="52">
      <c r="A14" s="56" t="inlineStr">
        <is>
          <t>分页</t>
        </is>
      </c>
      <c r="B14" s="68" t="inlineStr">
        <is>
          <t>Prefab 数</t>
        </is>
      </c>
      <c r="C14" s="56" t="inlineStr">
        <is>
          <t>直接引用 GLB</t>
        </is>
      </c>
      <c r="D14" s="56" t="inlineStr">
        <is>
          <t>有功能脚本</t>
        </is>
      </c>
      <c r="E14" s="56" t="inlineStr">
        <is>
          <t>碰撞开启</t>
        </is>
      </c>
      <c r="F14" s="56" t="inlineStr">
        <is>
          <t>说明</t>
        </is>
      </c>
      <c r="G14" s="63" t="n"/>
      <c r="H14" s="55" t="n"/>
      <c r="I14" s="55" t="n"/>
      <c r="J14" s="55" t="n"/>
    </row>
    <row r="15" ht="15" customHeight="1" s="52">
      <c r="A15" s="69" t="inlineStr">
        <is>
          <t>3D-特效</t>
        </is>
      </c>
      <c r="B15" s="62">
        <f>COUNTA('3D-特效'!$A$5:$A$204)</f>
        <v/>
      </c>
      <c r="C15" s="62">
        <f>COUNTIF('3D-特效'!$D$5:$D$204,"&lt;&gt;")</f>
        <v/>
      </c>
      <c r="D15" s="62">
        <f>COUNTIF('3D-特效'!$G$5:$G$204,"&lt;&gt;")</f>
        <v/>
      </c>
      <c r="E15" s="62">
        <f>COUNTIF('3D-特效'!$H$5:$H$204,"开")</f>
        <v/>
      </c>
      <c r="F15" s="62" t="inlineStr">
        <is>
          <t>一行 = 一个实际存在的 Godot PackedScene</t>
        </is>
      </c>
      <c r="G15" s="62" t="n"/>
      <c r="H15" s="62" t="n"/>
      <c r="I15" s="62" t="n"/>
      <c r="J15" s="62" t="n"/>
    </row>
    <row r="16" ht="15" customHeight="1" s="52">
      <c r="A16" s="58" t="inlineStr">
        <is>
          <t>合计</t>
        </is>
      </c>
      <c r="B16" s="58">
        <f>SUM(B15)</f>
        <v/>
      </c>
      <c r="C16" s="58">
        <f>SUM(C15)</f>
        <v/>
      </c>
      <c r="D16" s="58">
        <f>SUM(D15)</f>
        <v/>
      </c>
      <c r="E16" s="58">
        <f>SUM(E15)</f>
        <v/>
      </c>
      <c r="F16" s="58" t="n"/>
      <c r="G16" s="58" t="n"/>
      <c r="H16" s="58" t="n"/>
      <c r="I16" s="58" t="n"/>
      <c r="J16" s="58" t="n"/>
    </row>
    <row r="17" ht="15" customHeight="1" s="52">
      <c r="A17" s="63" t="n"/>
      <c r="B17" s="63" t="n"/>
      <c r="C17" s="63" t="n"/>
      <c r="D17" s="55" t="n"/>
      <c r="E17" s="55" t="n"/>
      <c r="F17" s="55" t="n"/>
      <c r="G17" s="55" t="n"/>
      <c r="H17" s="55" t="n"/>
      <c r="I17" s="55" t="n"/>
      <c r="J17" s="55" t="n"/>
    </row>
    <row r="18" ht="15" customHeight="1" s="52">
      <c r="A18" s="63" t="n"/>
      <c r="B18" s="63" t="n"/>
      <c r="C18" s="63" t="n"/>
      <c r="D18" s="55" t="n"/>
      <c r="E18" s="55" t="n"/>
      <c r="F18" s="55" t="n"/>
      <c r="G18" s="55" t="n"/>
      <c r="H18" s="55" t="n"/>
      <c r="I18" s="55" t="n"/>
      <c r="J18" s="55" t="n"/>
    </row>
    <row r="19" ht="15" customHeight="1" s="52">
      <c r="A19" s="55" t="n"/>
      <c r="B19" s="55" t="n"/>
      <c r="C19" s="55" t="n"/>
      <c r="D19" s="55" t="n"/>
      <c r="E19" s="55" t="n"/>
      <c r="F19" s="55" t="n"/>
      <c r="G19" s="55" t="n"/>
      <c r="H19" s="55" t="n"/>
      <c r="I19" s="55" t="n"/>
      <c r="J19" s="55" t="n"/>
    </row>
    <row r="20" ht="15" customHeight="1" s="52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1" min="1" max="1"/>
    <col width="74" customWidth="1" style="51" min="2" max="2"/>
    <col width="40.58" customWidth="1" style="51" min="3" max="3"/>
    <col width="28.65" customWidth="1" style="51" min="4" max="6"/>
  </cols>
  <sheetData>
    <row r="1" ht="15" customHeight="1" s="52">
      <c r="A1" s="70" t="inlineStr">
        <is>
          <t>本账本说明 · 特效</t>
        </is>
      </c>
    </row>
    <row r="2" ht="15" customHeight="1" s="52"/>
    <row r="3" ht="15" customHeight="1" s="52">
      <c r="A3" s="54" t="inlineStr">
        <is>
          <t>本表是分账本自描述；机器可读真源为 assets/registry/ledger_index.json，二者不一致时以 JSON 为准</t>
        </is>
      </c>
    </row>
    <row r="4"/>
    <row r="5" ht="15" customHeight="1" s="52">
      <c r="A5" s="58" t="inlineStr">
        <is>
          <t>项</t>
        </is>
      </c>
      <c r="B5" s="58" t="inlineStr">
        <is>
          <t>值</t>
        </is>
      </c>
      <c r="C5" s="58" t="n"/>
      <c r="D5" s="58" t="n"/>
      <c r="E5" s="58" t="n"/>
      <c r="F5" s="58" t="n"/>
    </row>
    <row r="6" ht="30" customHeight="1" s="52">
      <c r="A6" s="62" t="inlineStr">
        <is>
          <t>账本归属域</t>
        </is>
      </c>
      <c r="B6" s="62" t="inlineStr">
        <is>
          <t>特效</t>
        </is>
      </c>
      <c r="C6" s="62" t="n"/>
      <c r="D6" s="62" t="n"/>
      <c r="E6" s="62" t="n"/>
      <c r="F6" s="62" t="n"/>
    </row>
    <row r="7" ht="30" customHeight="1" s="52">
      <c r="A7" s="62" t="inlineStr">
        <is>
          <t>分账本文件</t>
        </is>
      </c>
      <c r="B7" s="69" t="inlineStr">
        <is>
          <t>assets/registry/ledgers/ShellStorm2_特效账本_v001.xlsx</t>
        </is>
      </c>
      <c r="C7" s="62" t="n"/>
      <c r="D7" s="62" t="n"/>
      <c r="E7" s="62" t="n"/>
      <c r="F7" s="62" t="n"/>
    </row>
    <row r="8" ht="30" customHeight="1" s="52">
      <c r="A8" s="62" t="inlineStr">
        <is>
          <t>覆盖大类</t>
        </is>
      </c>
      <c r="B8" s="62" t="inlineStr">
        <is>
          <t>特效</t>
        </is>
      </c>
      <c r="C8" s="62" t="n"/>
      <c r="D8" s="62" t="n"/>
      <c r="E8" s="62" t="n"/>
      <c r="F8" s="62" t="n"/>
    </row>
    <row r="9" ht="30" customHeight="1" s="52">
      <c r="A9" s="69" t="inlineStr">
        <is>
          <t>AssetID 前缀</t>
        </is>
      </c>
      <c r="B9" s="69" t="inlineStr">
        <is>
          <t>VFX / FX</t>
        </is>
      </c>
      <c r="C9" s="62" t="n"/>
      <c r="D9" s="62" t="n"/>
      <c r="E9" s="62" t="n"/>
      <c r="F9" s="62" t="n"/>
    </row>
    <row r="10" ht="30" customHeight="1" s="52">
      <c r="A10" s="62" t="inlineStr">
        <is>
          <t>域内专表</t>
        </is>
      </c>
      <c r="B10" s="69" t="inlineStr">
        <is>
          <t>3D-特效</t>
        </is>
      </c>
      <c r="C10" s="62" t="n"/>
      <c r="D10" s="62" t="n"/>
      <c r="E10" s="62" t="n"/>
      <c r="F10" s="62" t="n"/>
    </row>
    <row r="11" ht="30" customHeight="1" s="52">
      <c r="A11" s="69" t="inlineStr">
        <is>
          <t>3D Prefab 分页</t>
        </is>
      </c>
      <c r="B11" s="69" t="inlineStr">
        <is>
          <t>3D-特效</t>
        </is>
      </c>
      <c r="C11" s="62" t="n"/>
      <c r="D11" s="62" t="n"/>
      <c r="E11" s="62" t="n"/>
      <c r="F11" s="62" t="n"/>
    </row>
    <row r="12" ht="30" customHeight="1" s="52">
      <c r="A12" s="62" t="inlineStr">
        <is>
          <t>动画登记表</t>
        </is>
      </c>
      <c r="B12" s="62" t="inlineStr">
        <is>
          <t>无</t>
        </is>
      </c>
      <c r="C12" s="62" t="n"/>
      <c r="D12" s="62" t="n"/>
      <c r="E12" s="62" t="n"/>
      <c r="F12" s="62" t="n"/>
    </row>
    <row r="13" ht="30" customHeight="1" s="52">
      <c r="A13" s="62" t="inlineStr">
        <is>
          <t>主账本（总目录）</t>
        </is>
      </c>
      <c r="B13" s="69" t="inlineStr">
        <is>
          <t>assets/registry/ShellStorm2_美术资产台账_v001.xlsx</t>
        </is>
      </c>
      <c r="C13" s="62" t="n"/>
      <c r="D13" s="62" t="n"/>
      <c r="E13" s="62" t="n"/>
      <c r="F13" s="62" t="n"/>
    </row>
    <row r="14" ht="30" customHeight="1" s="52">
      <c r="A14" s="62" t="inlineStr">
        <is>
          <t>跨域契约</t>
        </is>
      </c>
      <c r="B14" s="62" t="inlineStr">
        <is>
          <t>分类与编码 / 命名与查重 / 版本记录 / Skill 清单 / 3D Prefab 总控 —— 全部只在主账本维护</t>
        </is>
      </c>
      <c r="C14" s="62" t="n"/>
      <c r="D14" s="62" t="n"/>
      <c r="E14" s="62" t="n"/>
      <c r="F14" s="62" t="n"/>
    </row>
    <row r="15" ht="30" customHeight="1" s="52">
      <c r="A15" s="62" t="inlineStr">
        <is>
          <t>首选制作 Skill</t>
        </is>
      </c>
      <c r="B15" s="69" t="inlineStr">
        <is>
          <t>godot-model-asset-import-standard</t>
        </is>
      </c>
      <c r="C15" s="62" t="n"/>
      <c r="D15" s="62" t="n"/>
      <c r="E15" s="62" t="n"/>
      <c r="F15" s="62" t="n"/>
    </row>
    <row r="16" ht="30" customHeight="1" s="52">
      <c r="A16" s="62" t="inlineStr">
        <is>
          <t>协作 Skill</t>
        </is>
      </c>
      <c r="B16" s="62" t="inlineStr">
        <is>
          <t>无</t>
        </is>
      </c>
      <c r="C16" s="62" t="n"/>
      <c r="D16" s="62" t="n"/>
      <c r="E16" s="62" t="n"/>
      <c r="F16" s="62" t="n"/>
    </row>
    <row r="17" ht="30" customHeight="1" s="52">
      <c r="A17" s="62" t="inlineStr">
        <is>
          <t>负责人</t>
        </is>
      </c>
      <c r="B17" s="62" t="inlineStr">
        <is>
          <t>待分配</t>
        </is>
      </c>
      <c r="C17" s="62" t="n"/>
      <c r="D17" s="62" t="n"/>
      <c r="E17" s="62" t="n"/>
      <c r="F17" s="62" t="n"/>
    </row>
    <row r="18" ht="30" customHeight="1" s="52">
      <c r="A18" s="62" t="inlineStr">
        <is>
          <t>登记范围</t>
        </is>
      </c>
      <c r="B18" s="62" t="inlineStr">
        <is>
          <t>可独立实例化的3D战斗、环境与可见性特效。每个特效一个独立 Prefab，遵循 14.6 特效系统与制作规范。</t>
        </is>
      </c>
      <c r="C18" s="62" t="n"/>
      <c r="D18" s="62" t="n"/>
      <c r="E18" s="62" t="n"/>
      <c r="F18" s="62" t="n"/>
    </row>
    <row r="19" ht="30" customHeight="1" s="52">
      <c r="A19" s="62" t="inlineStr">
        <is>
          <t>编辑边界</t>
        </is>
      </c>
      <c r="B19" s="62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2" t="n"/>
      <c r="D19" s="62" t="n"/>
      <c r="E19" s="62" t="n"/>
      <c r="F19" s="62" t="n"/>
    </row>
    <row r="20" ht="30" customHeight="1" s="52">
      <c r="A20" s="62" t="inlineStr">
        <is>
          <t>登记口径</t>
        </is>
      </c>
      <c r="B20" s="62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2" t="n"/>
      <c r="D20" s="62" t="n"/>
      <c r="E20" s="62" t="n"/>
      <c r="F20" s="62" t="n"/>
    </row>
    <row r="21" ht="30" customHeight="1" s="52">
      <c r="A21" s="62" t="inlineStr">
        <is>
          <t>门禁</t>
        </is>
      </c>
      <c r="B21" s="69" t="inlineStr">
        <is>
          <t>python3 scripts/check_asset_registry.py --scope structure（需 venv python + openpyxl，且在 /tmp 下跑）</t>
        </is>
      </c>
      <c r="C21" s="62" t="n"/>
      <c r="D21" s="62" t="n"/>
      <c r="E21" s="62" t="n"/>
      <c r="F21" s="62" t="n"/>
    </row>
    <row r="22" ht="30" customHeight="1" s="52">
      <c r="A22" s="62" t="inlineStr">
        <is>
          <t>无损基线</t>
        </is>
      </c>
      <c r="B22" s="69" t="inlineStr">
        <is>
          <t>assets/registry/ledger_split_baseline.json；python3 tools/asset_pipeline/verify_ledger_split.py 断言并集与拆分前逐格一致</t>
        </is>
      </c>
      <c r="C22" s="62" t="n"/>
      <c r="D22" s="62" t="n"/>
      <c r="E22" s="62" t="n"/>
      <c r="F22" s="62" t="n"/>
    </row>
    <row r="23" ht="30" customHeight="1" s="52">
      <c r="A23" s="62" t="inlineStr">
        <is>
          <t>快照日期</t>
        </is>
      </c>
      <c r="B23" s="69" t="inlineStr">
        <is>
          <t>2026-09-18</t>
        </is>
      </c>
      <c r="C23" s="62" t="n"/>
      <c r="D23" s="62" t="n"/>
      <c r="E23" s="62" t="n"/>
      <c r="F23" s="62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1" min="1" max="1"/>
    <col width="21.48" customWidth="1" style="51" min="2" max="2"/>
    <col width="11.94" customWidth="1" style="51" min="3" max="3"/>
    <col width="21.48" customWidth="1" style="51" min="4" max="4"/>
    <col width="26.26" customWidth="1" style="51" min="5" max="5"/>
    <col width="14.33" customWidth="1" style="51" min="6" max="6"/>
    <col width="29.84" customWidth="1" style="51" min="7" max="7"/>
    <col width="22.68" customWidth="1" style="51" min="8" max="8"/>
    <col width="17.9" customWidth="1" style="51" min="9" max="9"/>
    <col width="21.48" customWidth="1" style="51" min="10" max="10"/>
    <col width="14.33" customWidth="1" style="51" min="11" max="11"/>
    <col width="9.550000000000001" customWidth="1" style="51" min="12" max="12"/>
    <col width="10.74" customWidth="1" style="51" min="13" max="13"/>
    <col width="19.1" customWidth="1" style="51" min="14" max="14"/>
    <col width="42.97" customWidth="1" style="51" min="15" max="15"/>
    <col width="40.58" customWidth="1" style="51" min="16" max="16"/>
    <col width="31.03" customWidth="1" style="51" min="17" max="17"/>
    <col width="50.13" customWidth="1" style="51" min="18" max="18"/>
    <col width="14.33" customWidth="1" style="51" min="19" max="19"/>
    <col width="35.81" customWidth="1" style="51" min="20" max="20"/>
    <col width="14.33" customWidth="1" style="51" min="21" max="21"/>
    <col width="15.51" customWidth="1" style="51" min="22" max="22"/>
    <col width="19.1" customWidth="1" style="51" min="23" max="23"/>
    <col width="62.06" customWidth="1" style="51" min="24" max="24"/>
  </cols>
  <sheetData>
    <row r="1" ht="24.75" customHeight="1" s="52">
      <c r="A1" s="70" t="inlineStr">
        <is>
          <t>资产主表 · 唯一登记源</t>
        </is>
      </c>
    </row>
    <row r="2" ht="12" customHeight="1" s="52"/>
    <row r="3" ht="22.5" customHeight="1" s="52">
      <c r="A3" s="54" t="inlineStr">
        <is>
          <t>查重键由公式生成；S 列出现“重复”时禁止制作，先合并或建立变体父子关系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Y4" s="55" t="n"/>
    </row>
    <row r="5" ht="31.5" customHeight="1" s="52">
      <c r="A5" s="71" t="inlineStr">
        <is>
          <t>AssetID</t>
        </is>
      </c>
      <c r="B5" s="72" t="inlineStr">
        <is>
          <t>中文名</t>
        </is>
      </c>
      <c r="C5" s="72" t="inlineStr">
        <is>
          <t>大类</t>
        </is>
      </c>
      <c r="D5" s="72" t="inlineStr">
        <is>
          <t>子类</t>
        </is>
      </c>
      <c r="E5" s="72" t="inlineStr">
        <is>
          <t>逻辑ID/源键</t>
        </is>
      </c>
      <c r="F5" s="72" t="inlineStr">
        <is>
          <t>组件槽</t>
        </is>
      </c>
      <c r="G5" s="72" t="inlineStr">
        <is>
          <t>变体父ID</t>
        </is>
      </c>
      <c r="H5" s="72" t="inlineStr">
        <is>
          <t>视角</t>
        </is>
      </c>
      <c r="I5" s="72" t="inlineStr">
        <is>
          <t>状态/动画</t>
        </is>
      </c>
      <c r="J5" s="72" t="inlineStr">
        <is>
          <t>复用范围</t>
        </is>
      </c>
      <c r="K5" s="72" t="inlineStr">
        <is>
          <t>制作状态</t>
        </is>
      </c>
      <c r="L5" s="72" t="inlineStr">
        <is>
          <t>优先级</t>
        </is>
      </c>
      <c r="M5" s="72" t="inlineStr">
        <is>
          <t>版本</t>
        </is>
      </c>
      <c r="N5" s="72" t="inlineStr">
        <is>
          <t>规格(px)</t>
        </is>
      </c>
      <c r="O5" s="72" t="inlineStr">
        <is>
          <t>文件路径</t>
        </is>
      </c>
      <c r="P5" s="72" t="inlineStr">
        <is>
          <t>源码/策划依据</t>
        </is>
      </c>
      <c r="Q5" s="72" t="inlineStr">
        <is>
          <t>关键词/别名</t>
        </is>
      </c>
      <c r="R5" s="72" t="inlineStr">
        <is>
          <t>查重键</t>
        </is>
      </c>
      <c r="S5" s="72" t="inlineStr">
        <is>
          <t>查重结果</t>
        </is>
      </c>
      <c r="T5" s="73" t="inlineStr">
        <is>
          <t>SHA-256</t>
        </is>
      </c>
      <c r="U5" s="72" t="inlineStr">
        <is>
          <t>负责人</t>
        </is>
      </c>
      <c r="V5" s="72" t="inlineStr">
        <is>
          <t>更新时间</t>
        </is>
      </c>
      <c r="W5" s="72" t="inlineStr">
        <is>
          <t>来源/许可</t>
        </is>
      </c>
      <c r="X5" s="74" t="inlineStr">
        <is>
          <t>源编号（Blender collection）</t>
        </is>
      </c>
      <c r="Y5" s="75" t="inlineStr">
        <is>
          <t>备注</t>
        </is>
      </c>
    </row>
    <row r="6" ht="98.5" customHeight="1" s="52">
      <c r="A6" s="76" t="inlineStr">
        <is>
          <t>VFX-PLY-DASH-TRAIL</t>
        </is>
      </c>
      <c r="B6" s="63" t="inlineStr">
        <is>
          <t>玩家冲刺尾迹</t>
        </is>
      </c>
      <c r="C6" s="63" t="inlineStr">
        <is>
          <t>特效</t>
        </is>
      </c>
      <c r="D6" s="76" t="inlineStr">
        <is>
          <t>player_state</t>
        </is>
      </c>
      <c r="E6" s="76" t="inlineStr">
        <is>
          <t>player_dash</t>
        </is>
      </c>
      <c r="F6" s="76" t="inlineStr">
        <is>
          <t>root</t>
        </is>
      </c>
      <c r="G6" s="63" t="n"/>
      <c r="H6" s="63" t="inlineStr">
        <is>
          <t>侧面朝右（可水平翻转）</t>
        </is>
      </c>
      <c r="I6" s="76" t="inlineStr">
        <is>
          <t>dashing</t>
        </is>
      </c>
      <c r="J6" s="63" t="inlineStr">
        <is>
          <t>玩家状态</t>
        </is>
      </c>
      <c r="K6" s="63" t="inlineStr">
        <is>
          <t>弃用</t>
        </is>
      </c>
      <c r="L6" s="76" t="inlineStr">
        <is>
          <t>P1</t>
        </is>
      </c>
      <c r="M6" s="76" t="inlineStr">
        <is>
          <t>v001</t>
        </is>
      </c>
      <c r="N6" s="63" t="inlineStr">
        <is>
          <t>待定</t>
        </is>
      </c>
      <c r="O6" s="63" t="n"/>
      <c r="P6" s="63" t="n"/>
      <c r="Q6" s="63" t="n"/>
      <c r="R6" s="63">
        <f>LOWER(TRIM(C6)&amp;"|"&amp;TRIM(D6)&amp;"|"&amp;TRIM(E6)&amp;"|"&amp;TRIM(F6)&amp;"|"&amp;TRIM(H6)&amp;"|"&amp;TRIM(I6))</f>
        <v/>
      </c>
      <c r="S6" s="63">
        <f>IF(COUNTIF($R$6:$R$22,R6)&gt;1,"重复","唯一")</f>
        <v/>
      </c>
      <c r="T6" s="63" t="n"/>
      <c r="U6" s="63" t="inlineStr">
        <is>
          <t>待分配</t>
        </is>
      </c>
      <c r="V6" s="77" t="n">
        <v>46243</v>
      </c>
      <c r="W6" s="63" t="inlineStr">
        <is>
          <t>原创/待确认</t>
        </is>
      </c>
      <c r="X6" s="78" t="inlineStr">
        <is>
          <t>—</t>
        </is>
      </c>
      <c r="Y6" s="76" t="inlineStr">
        <is>
          <t>2026-08-09：旧2D PlayerAvatarRenderer专用表现已删除；当前3D状态表现由 PlayerAvatar3D / WeaponModel3D 持有。</t>
        </is>
      </c>
    </row>
    <row r="7" ht="98.5" customHeight="1" s="52">
      <c r="A7" s="76" t="inlineStr">
        <is>
          <t>VFX-PLY-HURT-FLASH</t>
        </is>
      </c>
      <c r="B7" s="63" t="inlineStr">
        <is>
          <t>玩家受击闪光</t>
        </is>
      </c>
      <c r="C7" s="63" t="inlineStr">
        <is>
          <t>特效</t>
        </is>
      </c>
      <c r="D7" s="76" t="inlineStr">
        <is>
          <t>player_state</t>
        </is>
      </c>
      <c r="E7" s="76" t="inlineStr">
        <is>
          <t>player_hurt</t>
        </is>
      </c>
      <c r="F7" s="76" t="inlineStr">
        <is>
          <t>root</t>
        </is>
      </c>
      <c r="G7" s="63" t="n"/>
      <c r="H7" s="63" t="inlineStr">
        <is>
          <t>侧面朝右（可水平翻转）</t>
        </is>
      </c>
      <c r="I7" s="76" t="inlineStr">
        <is>
          <t>hurt</t>
        </is>
      </c>
      <c r="J7" s="63" t="inlineStr">
        <is>
          <t>玩家状态</t>
        </is>
      </c>
      <c r="K7" s="63" t="inlineStr">
        <is>
          <t>弃用</t>
        </is>
      </c>
      <c r="L7" s="76" t="inlineStr">
        <is>
          <t>P1</t>
        </is>
      </c>
      <c r="M7" s="76" t="inlineStr">
        <is>
          <t>v001</t>
        </is>
      </c>
      <c r="N7" s="63" t="inlineStr">
        <is>
          <t>待定</t>
        </is>
      </c>
      <c r="O7" s="63" t="n"/>
      <c r="P7" s="63" t="n"/>
      <c r="Q7" s="63" t="n"/>
      <c r="R7" s="63">
        <f>LOWER(TRIM(C7)&amp;"|"&amp;TRIM(D7)&amp;"|"&amp;TRIM(E7)&amp;"|"&amp;TRIM(F7)&amp;"|"&amp;TRIM(H7)&amp;"|"&amp;TRIM(I7))</f>
        <v/>
      </c>
      <c r="S7" s="63">
        <f>IF(COUNTIF($R$6:$R$22,R7)&gt;1,"重复","唯一")</f>
        <v/>
      </c>
      <c r="T7" s="63" t="n"/>
      <c r="U7" s="63" t="inlineStr">
        <is>
          <t>待分配</t>
        </is>
      </c>
      <c r="V7" s="77" t="n">
        <v>46243</v>
      </c>
      <c r="W7" s="63" t="inlineStr">
        <is>
          <t>原创/待确认</t>
        </is>
      </c>
      <c r="X7" s="78" t="inlineStr">
        <is>
          <t>—</t>
        </is>
      </c>
      <c r="Y7" s="76" t="inlineStr">
        <is>
          <t>2026-08-09：旧2D PlayerAvatarRenderer专用表现已删除；当前3D状态表现由 PlayerAvatar3D / WeaponModel3D 持有。</t>
        </is>
      </c>
    </row>
    <row r="8" ht="98.5" customHeight="1" s="52">
      <c r="A8" s="76" t="inlineStr">
        <is>
          <t>VFX-PLY-LOWHP-RING</t>
        </is>
      </c>
      <c r="B8" s="63" t="inlineStr">
        <is>
          <t>玩家低血环</t>
        </is>
      </c>
      <c r="C8" s="63" t="inlineStr">
        <is>
          <t>特效</t>
        </is>
      </c>
      <c r="D8" s="76" t="inlineStr">
        <is>
          <t>player_overlay</t>
        </is>
      </c>
      <c r="E8" s="76" t="inlineStr">
        <is>
          <t>player_low_hp</t>
        </is>
      </c>
      <c r="F8" s="76" t="inlineStr">
        <is>
          <t>root</t>
        </is>
      </c>
      <c r="G8" s="63" t="n"/>
      <c r="H8" s="63" t="inlineStr">
        <is>
          <t>侧面朝右（可水平翻转）</t>
        </is>
      </c>
      <c r="I8" s="76" t="inlineStr">
        <is>
          <t>low_health</t>
        </is>
      </c>
      <c r="J8" s="63" t="inlineStr">
        <is>
          <t>叠加状态</t>
        </is>
      </c>
      <c r="K8" s="63" t="inlineStr">
        <is>
          <t>弃用</t>
        </is>
      </c>
      <c r="L8" s="76" t="inlineStr">
        <is>
          <t>P2</t>
        </is>
      </c>
      <c r="M8" s="76" t="inlineStr">
        <is>
          <t>v001</t>
        </is>
      </c>
      <c r="N8" s="63" t="inlineStr">
        <is>
          <t>待定</t>
        </is>
      </c>
      <c r="O8" s="63" t="n"/>
      <c r="P8" s="63" t="n"/>
      <c r="Q8" s="63" t="n"/>
      <c r="R8" s="63">
        <f>LOWER(TRIM(C8)&amp;"|"&amp;TRIM(D8)&amp;"|"&amp;TRIM(E8)&amp;"|"&amp;TRIM(F8)&amp;"|"&amp;TRIM(H8)&amp;"|"&amp;TRIM(I8))</f>
        <v/>
      </c>
      <c r="S8" s="63">
        <f>IF(COUNTIF($R$6:$R$22,R8)&gt;1,"重复","唯一")</f>
        <v/>
      </c>
      <c r="T8" s="63" t="n"/>
      <c r="U8" s="63" t="inlineStr">
        <is>
          <t>待分配</t>
        </is>
      </c>
      <c r="V8" s="77" t="n">
        <v>46243</v>
      </c>
      <c r="W8" s="63" t="inlineStr">
        <is>
          <t>原创/待确认</t>
        </is>
      </c>
      <c r="X8" s="78" t="inlineStr">
        <is>
          <t>—</t>
        </is>
      </c>
      <c r="Y8" s="76" t="inlineStr">
        <is>
          <t>2026-08-09：旧2D PlayerAvatarRenderer专用表现已删除；当前3D状态表现由 PlayerAvatar3D / WeaponModel3D 持有。</t>
        </is>
      </c>
    </row>
    <row r="9" ht="98.5" customHeight="1" s="52">
      <c r="A9" s="76" t="inlineStr">
        <is>
          <t>VFX-PLY-SILENCED-RING</t>
        </is>
      </c>
      <c r="B9" s="63" t="inlineStr">
        <is>
          <t>玩家沉默干扰环</t>
        </is>
      </c>
      <c r="C9" s="63" t="inlineStr">
        <is>
          <t>特效</t>
        </is>
      </c>
      <c r="D9" s="76" t="inlineStr">
        <is>
          <t>player_overlay</t>
        </is>
      </c>
      <c r="E9" s="76" t="inlineStr">
        <is>
          <t>player_silenced</t>
        </is>
      </c>
      <c r="F9" s="76" t="inlineStr">
        <is>
          <t>root</t>
        </is>
      </c>
      <c r="G9" s="63" t="n"/>
      <c r="H9" s="63" t="inlineStr">
        <is>
          <t>侧面朝右（可水平翻转）</t>
        </is>
      </c>
      <c r="I9" s="76" t="inlineStr">
        <is>
          <t>silenced</t>
        </is>
      </c>
      <c r="J9" s="63" t="inlineStr">
        <is>
          <t>叠加状态</t>
        </is>
      </c>
      <c r="K9" s="63" t="inlineStr">
        <is>
          <t>弃用</t>
        </is>
      </c>
      <c r="L9" s="76" t="inlineStr">
        <is>
          <t>P2</t>
        </is>
      </c>
      <c r="M9" s="76" t="inlineStr">
        <is>
          <t>v001</t>
        </is>
      </c>
      <c r="N9" s="63" t="inlineStr">
        <is>
          <t>待定</t>
        </is>
      </c>
      <c r="O9" s="63" t="n"/>
      <c r="P9" s="63" t="n"/>
      <c r="Q9" s="63" t="n"/>
      <c r="R9" s="63">
        <f>LOWER(TRIM(C9)&amp;"|"&amp;TRIM(D9)&amp;"|"&amp;TRIM(E9)&amp;"|"&amp;TRIM(F9)&amp;"|"&amp;TRIM(H9)&amp;"|"&amp;TRIM(I9))</f>
        <v/>
      </c>
      <c r="S9" s="63">
        <f>IF(COUNTIF($R$6:$R$22,R9)&gt;1,"重复","唯一")</f>
        <v/>
      </c>
      <c r="T9" s="63" t="n"/>
      <c r="U9" s="63" t="inlineStr">
        <is>
          <t>待分配</t>
        </is>
      </c>
      <c r="V9" s="77" t="n">
        <v>46243</v>
      </c>
      <c r="W9" s="63" t="inlineStr">
        <is>
          <t>原创/待确认</t>
        </is>
      </c>
      <c r="X9" s="78" t="inlineStr">
        <is>
          <t>—</t>
        </is>
      </c>
      <c r="Y9" s="76" t="inlineStr">
        <is>
          <t>2026-08-09：旧2D PlayerAvatarRenderer专用表现已删除；当前3D状态表现由 PlayerAvatar3D / WeaponModel3D 持有。</t>
        </is>
      </c>
    </row>
    <row r="10" ht="22.35" customHeight="1" s="52">
      <c r="A10" s="76" t="inlineStr">
        <is>
          <t>VFX-EXPLOSION</t>
        </is>
      </c>
      <c r="B10" s="63" t="inlineStr">
        <is>
          <t>爆炸</t>
        </is>
      </c>
      <c r="C10" s="63" t="inlineStr">
        <is>
          <t>特效</t>
        </is>
      </c>
      <c r="D10" s="76" t="inlineStr">
        <is>
          <t>gameplay_vfx</t>
        </is>
      </c>
      <c r="E10" s="76" t="inlineStr">
        <is>
          <t>explosion</t>
        </is>
      </c>
      <c r="F10" s="76" t="inlineStr">
        <is>
          <t>root</t>
        </is>
      </c>
      <c r="G10" s="63" t="n"/>
      <c r="H10" s="63" t="inlineStr">
        <is>
          <t>顶视/屏幕空间</t>
        </is>
      </c>
      <c r="I10" s="76" t="inlineStr">
        <is>
          <t>default</t>
        </is>
      </c>
      <c r="J10" s="63" t="inlineStr">
        <is>
          <t>跨武器/跨场景</t>
        </is>
      </c>
      <c r="K10" s="63" t="inlineStr">
        <is>
          <t>程序占位</t>
        </is>
      </c>
      <c r="L10" s="76" t="inlineStr">
        <is>
          <t>P1</t>
        </is>
      </c>
      <c r="M10" s="76" t="inlineStr">
        <is>
          <t>v001</t>
        </is>
      </c>
      <c r="N10" s="63" t="inlineStr">
        <is>
          <t>粒子或 8–16 帧序列</t>
        </is>
      </c>
      <c r="O10" s="63" t="n"/>
      <c r="P10" s="76" t="inlineStr">
        <is>
          <t>scenes/ExplosionEffect.tscn</t>
        </is>
      </c>
      <c r="Q10" s="63" t="n"/>
      <c r="R10" s="63">
        <f>LOWER(TRIM(C10)&amp;"|"&amp;TRIM(D10)&amp;"|"&amp;TRIM(E10)&amp;"|"&amp;TRIM(F10)&amp;"|"&amp;TRIM(H10)&amp;"|"&amp;TRIM(I10))</f>
        <v/>
      </c>
      <c r="S10" s="63">
        <f>IF(COUNTIF($R$6:$R$22,R10)&gt;1,"重复","唯一")</f>
        <v/>
      </c>
      <c r="T10" s="63" t="n"/>
      <c r="U10" s="63" t="inlineStr">
        <is>
          <t>待分配</t>
        </is>
      </c>
      <c r="V10" s="77" t="n">
        <v>46224</v>
      </c>
      <c r="W10" s="63" t="inlineStr">
        <is>
          <t>原创/待确认</t>
        </is>
      </c>
      <c r="X10" s="78" t="inlineStr">
        <is>
          <t>—</t>
        </is>
      </c>
      <c r="Y10" s="63" t="inlineStr">
        <is>
          <t>颜色/尺寸作参数变体，禁止复制整套</t>
        </is>
      </c>
    </row>
    <row r="11" ht="22.35" customHeight="1" s="52">
      <c r="A11" s="76" t="inlineStr">
        <is>
          <t>VFX-MUZZLE-FLASH</t>
        </is>
      </c>
      <c r="B11" s="63" t="inlineStr">
        <is>
          <t>枪口火焰</t>
        </is>
      </c>
      <c r="C11" s="63" t="inlineStr">
        <is>
          <t>特效</t>
        </is>
      </c>
      <c r="D11" s="76" t="inlineStr">
        <is>
          <t>gameplay_vfx</t>
        </is>
      </c>
      <c r="E11" s="76" t="inlineStr">
        <is>
          <t>muzzle_flash</t>
        </is>
      </c>
      <c r="F11" s="76" t="inlineStr">
        <is>
          <t>root</t>
        </is>
      </c>
      <c r="G11" s="63" t="n"/>
      <c r="H11" s="63" t="inlineStr">
        <is>
          <t>顶视/屏幕空间</t>
        </is>
      </c>
      <c r="I11" s="76" t="inlineStr">
        <is>
          <t>default</t>
        </is>
      </c>
      <c r="J11" s="63" t="inlineStr">
        <is>
          <t>跨武器/跨场景</t>
        </is>
      </c>
      <c r="K11" s="63" t="inlineStr">
        <is>
          <t>程序占位</t>
        </is>
      </c>
      <c r="L11" s="76" t="inlineStr">
        <is>
          <t>P1</t>
        </is>
      </c>
      <c r="M11" s="76" t="inlineStr">
        <is>
          <t>v001</t>
        </is>
      </c>
      <c r="N11" s="63" t="inlineStr">
        <is>
          <t>粒子或 8–16 帧序列</t>
        </is>
      </c>
      <c r="O11" s="63" t="n"/>
      <c r="P11" s="76" t="inlineStr">
        <is>
          <t>src/weapon/WeaponDisplay.gd</t>
        </is>
      </c>
      <c r="Q11" s="63" t="n"/>
      <c r="R11" s="63">
        <f>LOWER(TRIM(C11)&amp;"|"&amp;TRIM(D11)&amp;"|"&amp;TRIM(E11)&amp;"|"&amp;TRIM(F11)&amp;"|"&amp;TRIM(H11)&amp;"|"&amp;TRIM(I11))</f>
        <v/>
      </c>
      <c r="S11" s="63">
        <f>IF(COUNTIF($R$6:$R$22,R11)&gt;1,"重复","唯一")</f>
        <v/>
      </c>
      <c r="T11" s="63" t="n"/>
      <c r="U11" s="63" t="inlineStr">
        <is>
          <t>待分配</t>
        </is>
      </c>
      <c r="V11" s="77" t="n">
        <v>46224</v>
      </c>
      <c r="W11" s="63" t="inlineStr">
        <is>
          <t>原创/待确认</t>
        </is>
      </c>
      <c r="X11" s="78" t="inlineStr">
        <is>
          <t>—</t>
        </is>
      </c>
      <c r="Y11" s="63" t="inlineStr">
        <is>
          <t>颜色/尺寸作参数变体，禁止复制整套</t>
        </is>
      </c>
    </row>
    <row r="12" ht="22.35" customHeight="1" s="52">
      <c r="A12" s="76" t="inlineStr">
        <is>
          <t>VFX-DAMAGE-NUMBER</t>
        </is>
      </c>
      <c r="B12" s="63" t="inlineStr">
        <is>
          <t>伤害数字</t>
        </is>
      </c>
      <c r="C12" s="63" t="inlineStr">
        <is>
          <t>特效</t>
        </is>
      </c>
      <c r="D12" s="76" t="inlineStr">
        <is>
          <t>gameplay_vfx</t>
        </is>
      </c>
      <c r="E12" s="76" t="inlineStr">
        <is>
          <t>damage_number</t>
        </is>
      </c>
      <c r="F12" s="76" t="inlineStr">
        <is>
          <t>root</t>
        </is>
      </c>
      <c r="G12" s="63" t="n"/>
      <c r="H12" s="63" t="inlineStr">
        <is>
          <t>顶视/屏幕空间</t>
        </is>
      </c>
      <c r="I12" s="76" t="inlineStr">
        <is>
          <t>default</t>
        </is>
      </c>
      <c r="J12" s="63" t="inlineStr">
        <is>
          <t>跨武器/跨场景</t>
        </is>
      </c>
      <c r="K12" s="63" t="inlineStr">
        <is>
          <t>程序占位</t>
        </is>
      </c>
      <c r="L12" s="76" t="inlineStr">
        <is>
          <t>P2</t>
        </is>
      </c>
      <c r="M12" s="76" t="inlineStr">
        <is>
          <t>v001</t>
        </is>
      </c>
      <c r="N12" s="63" t="inlineStr">
        <is>
          <t>粒子或 8–16 帧序列</t>
        </is>
      </c>
      <c r="O12" s="63" t="n"/>
      <c r="P12" s="76" t="inlineStr">
        <is>
          <t>scenes/DamageNumber.tscn</t>
        </is>
      </c>
      <c r="Q12" s="63" t="n"/>
      <c r="R12" s="63">
        <f>LOWER(TRIM(C12)&amp;"|"&amp;TRIM(D12)&amp;"|"&amp;TRIM(E12)&amp;"|"&amp;TRIM(F12)&amp;"|"&amp;TRIM(H12)&amp;"|"&amp;TRIM(I12))</f>
        <v/>
      </c>
      <c r="S12" s="63">
        <f>IF(COUNTIF($R$6:$R$22,R12)&gt;1,"重复","唯一")</f>
        <v/>
      </c>
      <c r="T12" s="63" t="n"/>
      <c r="U12" s="63" t="inlineStr">
        <is>
          <t>待分配</t>
        </is>
      </c>
      <c r="V12" s="77" t="n">
        <v>46224</v>
      </c>
      <c r="W12" s="63" t="inlineStr">
        <is>
          <t>原创/待确认</t>
        </is>
      </c>
      <c r="X12" s="78" t="inlineStr">
        <is>
          <t>—</t>
        </is>
      </c>
      <c r="Y12" s="63" t="inlineStr">
        <is>
          <t>颜色/尺寸作参数变体，禁止复制整套</t>
        </is>
      </c>
    </row>
    <row r="13" ht="22.35" customHeight="1" s="52">
      <c r="A13" s="76" t="inlineStr">
        <is>
          <t>VFX-SPARK</t>
        </is>
      </c>
      <c r="B13" s="63" t="inlineStr">
        <is>
          <t>火花</t>
        </is>
      </c>
      <c r="C13" s="63" t="inlineStr">
        <is>
          <t>特效</t>
        </is>
      </c>
      <c r="D13" s="76" t="inlineStr">
        <is>
          <t>gameplay_vfx</t>
        </is>
      </c>
      <c r="E13" s="76" t="inlineStr">
        <is>
          <t>spark</t>
        </is>
      </c>
      <c r="F13" s="76" t="inlineStr">
        <is>
          <t>root</t>
        </is>
      </c>
      <c r="G13" s="63" t="n"/>
      <c r="H13" s="63" t="inlineStr">
        <is>
          <t>顶视/屏幕空间</t>
        </is>
      </c>
      <c r="I13" s="76" t="inlineStr">
        <is>
          <t>default</t>
        </is>
      </c>
      <c r="J13" s="63" t="inlineStr">
        <is>
          <t>跨武器/跨场景</t>
        </is>
      </c>
      <c r="K13" s="63" t="inlineStr">
        <is>
          <t>程序占位</t>
        </is>
      </c>
      <c r="L13" s="76" t="inlineStr">
        <is>
          <t>P2</t>
        </is>
      </c>
      <c r="M13" s="76" t="inlineStr">
        <is>
          <t>v001</t>
        </is>
      </c>
      <c r="N13" s="63" t="inlineStr">
        <is>
          <t>粒子或 8–16 帧序列</t>
        </is>
      </c>
      <c r="O13" s="63" t="n"/>
      <c r="P13" s="76" t="inlineStr">
        <is>
          <t>src/fx/SparkParticles.gd</t>
        </is>
      </c>
      <c r="Q13" s="63" t="n"/>
      <c r="R13" s="63">
        <f>LOWER(TRIM(C13)&amp;"|"&amp;TRIM(D13)&amp;"|"&amp;TRIM(E13)&amp;"|"&amp;TRIM(F13)&amp;"|"&amp;TRIM(H13)&amp;"|"&amp;TRIM(I13))</f>
        <v/>
      </c>
      <c r="S13" s="63">
        <f>IF(COUNTIF($R$6:$R$22,R13)&gt;1,"重复","唯一")</f>
        <v/>
      </c>
      <c r="T13" s="63" t="n"/>
      <c r="U13" s="63" t="inlineStr">
        <is>
          <t>待分配</t>
        </is>
      </c>
      <c r="V13" s="77" t="n">
        <v>46224</v>
      </c>
      <c r="W13" s="63" t="inlineStr">
        <is>
          <t>原创/待确认</t>
        </is>
      </c>
      <c r="X13" s="78" t="inlineStr">
        <is>
          <t>—</t>
        </is>
      </c>
      <c r="Y13" s="63" t="inlineStr">
        <is>
          <t>颜色/尺寸作参数变体，禁止复制整套</t>
        </is>
      </c>
    </row>
    <row r="14" ht="22.35" customHeight="1" s="52">
      <c r="A14" s="76" t="inlineStr">
        <is>
          <t>VFX-ROOM-TRANSITION</t>
        </is>
      </c>
      <c r="B14" s="63" t="inlineStr">
        <is>
          <t>房间转场</t>
        </is>
      </c>
      <c r="C14" s="63" t="inlineStr">
        <is>
          <t>特效</t>
        </is>
      </c>
      <c r="D14" s="76" t="inlineStr">
        <is>
          <t>gameplay_vfx</t>
        </is>
      </c>
      <c r="E14" s="76" t="inlineStr">
        <is>
          <t>room_transition</t>
        </is>
      </c>
      <c r="F14" s="76" t="inlineStr">
        <is>
          <t>root</t>
        </is>
      </c>
      <c r="G14" s="63" t="n"/>
      <c r="H14" s="63" t="inlineStr">
        <is>
          <t>顶视/屏幕空间</t>
        </is>
      </c>
      <c r="I14" s="76" t="inlineStr">
        <is>
          <t>default</t>
        </is>
      </c>
      <c r="J14" s="63" t="inlineStr">
        <is>
          <t>跨武器/跨场景</t>
        </is>
      </c>
      <c r="K14" s="63" t="inlineStr">
        <is>
          <t>程序占位</t>
        </is>
      </c>
      <c r="L14" s="76" t="inlineStr">
        <is>
          <t>P2</t>
        </is>
      </c>
      <c r="M14" s="76" t="inlineStr">
        <is>
          <t>v001</t>
        </is>
      </c>
      <c r="N14" s="63" t="inlineStr">
        <is>
          <t>粒子或 8–16 帧序列</t>
        </is>
      </c>
      <c r="O14" s="63" t="n"/>
      <c r="P14" s="76" t="inlineStr">
        <is>
          <t>src/fx/RoomTransitionFX.gd</t>
        </is>
      </c>
      <c r="Q14" s="63" t="n"/>
      <c r="R14" s="63">
        <f>LOWER(TRIM(C14)&amp;"|"&amp;TRIM(D14)&amp;"|"&amp;TRIM(E14)&amp;"|"&amp;TRIM(F14)&amp;"|"&amp;TRIM(H14)&amp;"|"&amp;TRIM(I14))</f>
        <v/>
      </c>
      <c r="S14" s="63">
        <f>IF(COUNTIF($R$6:$R$22,R14)&gt;1,"重复","唯一")</f>
        <v/>
      </c>
      <c r="T14" s="63" t="n"/>
      <c r="U14" s="63" t="inlineStr">
        <is>
          <t>待分配</t>
        </is>
      </c>
      <c r="V14" s="77" t="n">
        <v>46224</v>
      </c>
      <c r="W14" s="63" t="inlineStr">
        <is>
          <t>原创/待确认</t>
        </is>
      </c>
      <c r="X14" s="78" t="inlineStr">
        <is>
          <t>—</t>
        </is>
      </c>
      <c r="Y14" s="63" t="inlineStr">
        <is>
          <t>颜色/尺寸作参数变体，禁止复制整套</t>
        </is>
      </c>
    </row>
    <row r="15" ht="62.65" customHeight="1" s="52">
      <c r="A15" s="76" t="inlineStr">
        <is>
          <t>VFX-VISIBILITY-LIGHT</t>
        </is>
      </c>
      <c r="B15" s="63" t="inlineStr">
        <is>
          <t>视野光锥</t>
        </is>
      </c>
      <c r="C15" s="63" t="inlineStr">
        <is>
          <t>特效</t>
        </is>
      </c>
      <c r="D15" s="76" t="inlineStr">
        <is>
          <t>gameplay_vfx</t>
        </is>
      </c>
      <c r="E15" s="76" t="inlineStr">
        <is>
          <t>visibility_light</t>
        </is>
      </c>
      <c r="F15" s="76" t="inlineStr">
        <is>
          <t>root</t>
        </is>
      </c>
      <c r="G15" s="63" t="n"/>
      <c r="H15" s="63" t="inlineStr">
        <is>
          <t>顶视/屏幕空间</t>
        </is>
      </c>
      <c r="I15" s="76" t="inlineStr">
        <is>
          <t>default</t>
        </is>
      </c>
      <c r="J15" s="63" t="inlineStr">
        <is>
          <t>跨武器/跨场景</t>
        </is>
      </c>
      <c r="K15" s="63" t="inlineStr">
        <is>
          <t>程序占位</t>
        </is>
      </c>
      <c r="L15" s="76" t="inlineStr">
        <is>
          <t>P2</t>
        </is>
      </c>
      <c r="M15" s="76" t="inlineStr">
        <is>
          <t>v001</t>
        </is>
      </c>
      <c r="N15" s="63" t="inlineStr">
        <is>
          <t>粒子或 8–16 帧序列</t>
        </is>
      </c>
      <c r="O15" s="63" t="n"/>
      <c r="P15" s="76" t="inlineStr">
        <is>
          <t>src/fx/VisibilityLight2D.gd</t>
        </is>
      </c>
      <c r="Q15" s="63" t="n"/>
      <c r="R15" s="63">
        <f>LOWER(TRIM(C15)&amp;"|"&amp;TRIM(D15)&amp;"|"&amp;TRIM(E15)&amp;"|"&amp;TRIM(F15)&amp;"|"&amp;TRIM(H15)&amp;"|"&amp;TRIM(I15))</f>
        <v/>
      </c>
      <c r="S15" s="63">
        <f>IF(COUNTIF($R$6:$R$22,R15)&gt;1,"重复","唯一")</f>
        <v/>
      </c>
      <c r="T15" s="63" t="n"/>
      <c r="U15" s="63" t="inlineStr">
        <is>
          <t>待分配</t>
        </is>
      </c>
      <c r="V15" s="77" t="n">
        <v>46225</v>
      </c>
      <c r="W15" s="63" t="inlineStr">
        <is>
          <t>原创/待确认</t>
        </is>
      </c>
      <c r="X15" s="78" t="inlineStr">
        <is>
          <t>—</t>
        </is>
      </c>
      <c r="Y15" s="76" t="inlineStr">
        <is>
          <t>2D视野表现根；3D真实判定与地面网格登记为 VFX-VISIBILITY-FIELD-3D，禁止用灯光替代</t>
        </is>
      </c>
    </row>
    <row r="16" ht="22.35" customHeight="1" s="52">
      <c r="A16" s="76" t="inlineStr">
        <is>
          <t>VFX-EXTRACTION-BEACON</t>
        </is>
      </c>
      <c r="B16" s="63" t="inlineStr">
        <is>
          <t>撤离信标效果</t>
        </is>
      </c>
      <c r="C16" s="63" t="inlineStr">
        <is>
          <t>特效</t>
        </is>
      </c>
      <c r="D16" s="76" t="inlineStr">
        <is>
          <t>gameplay_vfx</t>
        </is>
      </c>
      <c r="E16" s="76" t="inlineStr">
        <is>
          <t>extraction_beacon</t>
        </is>
      </c>
      <c r="F16" s="76" t="inlineStr">
        <is>
          <t>root</t>
        </is>
      </c>
      <c r="G16" s="63" t="n"/>
      <c r="H16" s="63" t="inlineStr">
        <is>
          <t>顶视/屏幕空间</t>
        </is>
      </c>
      <c r="I16" s="76" t="inlineStr">
        <is>
          <t>default</t>
        </is>
      </c>
      <c r="J16" s="63" t="inlineStr">
        <is>
          <t>跨武器/跨场景</t>
        </is>
      </c>
      <c r="K16" s="63" t="inlineStr">
        <is>
          <t>程序占位</t>
        </is>
      </c>
      <c r="L16" s="76" t="inlineStr">
        <is>
          <t>P2</t>
        </is>
      </c>
      <c r="M16" s="76" t="inlineStr">
        <is>
          <t>v001</t>
        </is>
      </c>
      <c r="N16" s="63" t="inlineStr">
        <is>
          <t>粒子或 8–16 帧序列</t>
        </is>
      </c>
      <c r="O16" s="63" t="n"/>
      <c r="P16" s="76" t="inlineStr">
        <is>
          <t>src/map/ExtractionDirector.gd</t>
        </is>
      </c>
      <c r="Q16" s="63" t="n"/>
      <c r="R16" s="63">
        <f>LOWER(TRIM(C16)&amp;"|"&amp;TRIM(D16)&amp;"|"&amp;TRIM(E16)&amp;"|"&amp;TRIM(F16)&amp;"|"&amp;TRIM(H16)&amp;"|"&amp;TRIM(I16))</f>
        <v/>
      </c>
      <c r="S16" s="63">
        <f>IF(COUNTIF($R$6:$R$22,R16)&gt;1,"重复","唯一")</f>
        <v/>
      </c>
      <c r="T16" s="63" t="n"/>
      <c r="U16" s="63" t="inlineStr">
        <is>
          <t>待分配</t>
        </is>
      </c>
      <c r="V16" s="77" t="n">
        <v>46224</v>
      </c>
      <c r="W16" s="63" t="inlineStr">
        <is>
          <t>原创/待确认</t>
        </is>
      </c>
      <c r="X16" s="78" t="inlineStr">
        <is>
          <t>—</t>
        </is>
      </c>
      <c r="Y16" s="63" t="inlineStr">
        <is>
          <t>颜色/尺寸作参数变体，禁止复制整套</t>
        </is>
      </c>
    </row>
    <row r="17" ht="35.05" customHeight="1" s="52">
      <c r="A17" s="79" t="inlineStr">
        <is>
          <t>VFX-HAZARD-FIELD-3D</t>
        </is>
      </c>
      <c r="B17" s="55" t="inlineStr">
        <is>
          <t>房间危险场3D特效</t>
        </is>
      </c>
      <c r="C17" s="55" t="inlineStr">
        <is>
          <t>特效</t>
        </is>
      </c>
      <c r="D17" s="79" t="inlineStr">
        <is>
          <t>environment</t>
        </is>
      </c>
      <c r="E17" s="79" t="inlineStr">
        <is>
          <t>hazard_field</t>
        </is>
      </c>
      <c r="F17" s="79" t="inlineStr">
        <is>
          <t>root_3d</t>
        </is>
      </c>
      <c r="G17" s="79" t="inlineStr">
        <is>
          <t>ENV-DUNGEON-RUNTIME-3D</t>
        </is>
      </c>
      <c r="H17" s="55" t="inlineStr">
        <is>
          <t>俯视3D</t>
        </is>
      </c>
      <c r="I17" s="79" t="inlineStr">
        <is>
          <t>active</t>
        </is>
      </c>
      <c r="J17" s="55" t="inlineStr">
        <is>
          <t>陷阱房</t>
        </is>
      </c>
      <c r="K17" s="55" t="inlineStr">
        <is>
          <t>原型已接入</t>
        </is>
      </c>
      <c r="L17" s="79" t="inlineStr">
        <is>
          <t>P0</t>
        </is>
      </c>
      <c r="M17" s="79" t="inlineStr">
        <is>
          <t>v001</t>
        </is>
      </c>
      <c r="N17" s="79" t="inlineStr">
        <is>
          <t>PackedScene/程序环形特效</t>
        </is>
      </c>
      <c r="O17" s="79" t="inlineStr">
        <is>
          <t>assets/art/vfx/environment_3d/vfx_hazard_field_root_top3d.tscn</t>
        </is>
      </c>
      <c r="P17" s="79" t="inlineStr">
        <is>
          <t>src/world3d/HazardField3D.gd</t>
        </is>
      </c>
      <c r="Q17" s="55" t="inlineStr">
        <is>
          <t>危险区;陷阱;范围伤害;3D</t>
        </is>
      </c>
      <c r="R17" s="79">
        <f>LOWER(TRIM(C17)&amp;"|"&amp;TRIM(D17)&amp;"|"&amp;TRIM(E17)&amp;"|"&amp;TRIM(F17)&amp;"|"&amp;TRIM(H17)&amp;"|"&amp;TRIM(I17))</f>
        <v/>
      </c>
      <c r="S17" s="55">
        <f>IF(COUNTIF($R$6:$R$22,R17)&gt;1,"重复","唯一")</f>
        <v/>
      </c>
      <c r="T17" s="79" t="inlineStr">
        <is>
          <t>66ab8d6bc0e2729ca56c7f3c46a588e5f74890cfdf02b90de1fdc46fd1a67648</t>
        </is>
      </c>
      <c r="U17" s="79" t="inlineStr">
        <is>
          <t>Codex</t>
        </is>
      </c>
      <c r="V17" s="80" t="n">
        <v>46224</v>
      </c>
      <c r="W17" s="55" t="inlineStr">
        <is>
          <t>原创程序特效</t>
        </is>
      </c>
      <c r="X17" s="78" t="inlineStr">
        <is>
          <t>—</t>
        </is>
      </c>
      <c r="Y17" s="55" t="inlineStr">
        <is>
          <t>颜色、半径与伤害可按主题配置</t>
        </is>
      </c>
    </row>
    <row r="18" ht="149.25" customHeight="1" s="52">
      <c r="A18" s="79" t="inlineStr">
        <is>
          <t>VFX-COMBAT-KIT-3D</t>
        </is>
      </c>
      <c r="B18" s="55" t="inlineStr">
        <is>
          <t>战斗反馈3D通用特效套件</t>
        </is>
      </c>
      <c r="C18" s="55" t="inlineStr">
        <is>
          <t>特效</t>
        </is>
      </c>
      <c r="D18" s="79" t="inlineStr">
        <is>
          <t>combat</t>
        </is>
      </c>
      <c r="E18" s="79" t="inlineStr">
        <is>
          <t>combat_feedback</t>
        </is>
      </c>
      <c r="F18" s="79" t="inlineStr">
        <is>
          <t>root_3d</t>
        </is>
      </c>
      <c r="G18" s="79" t="n"/>
      <c r="H18" s="55" t="inlineStr">
        <is>
          <t>俯视3D</t>
        </is>
      </c>
      <c r="I18" s="79" t="inlineStr">
        <is>
          <t>muzzle_impact_damage_explosion_slash_melee_impact</t>
        </is>
      </c>
      <c r="J18" s="55" t="inlineStr">
        <is>
          <t>枪械/近战/敌人/关卡</t>
        </is>
      </c>
      <c r="K18" s="55" t="inlineStr">
        <is>
          <t>原型已接入</t>
        </is>
      </c>
      <c r="L18" s="79" t="inlineStr">
        <is>
          <t>P0</t>
        </is>
      </c>
      <c r="M18" s="79" t="inlineStr">
        <is>
          <t>v001</t>
        </is>
      </c>
      <c r="N18" s="79" t="inlineStr">
        <is>
          <t>PackedScene/参数化特效</t>
        </is>
      </c>
      <c r="O18" s="79" t="inlineStr">
        <is>
          <t>assets/art/vfx/combat_3d/vfx_combat_kit_root_top3d.tscn</t>
        </is>
      </c>
      <c r="P18" s="79" t="inlineStr">
        <is>
          <t>src/combat3d/CombatEffect3D.gd; src/combat3d/CombatEffectPool3D.gd; src/player3d/melee/PlayerMeleeCombat3D.gd</t>
        </is>
      </c>
      <c r="Q18" s="55" t="inlineStr">
        <is>
          <t>枪口;命中;伤害;爆炸;挥砍;近战冲击;slash;melee_impact;3D</t>
        </is>
      </c>
      <c r="R18" s="79">
        <f>LOWER(TRIM(C18)&amp;"|"&amp;TRIM(D18)&amp;"|"&amp;TRIM(E18)&amp;"|"&amp;TRIM(F18)&amp;"|"&amp;TRIM(H18)&amp;"|"&amp;TRIM(I18))</f>
        <v/>
      </c>
      <c r="S18" s="55">
        <f>IF(COUNTIF($R$6:$R$22,R18)&gt;1,"重复","唯一")</f>
        <v/>
      </c>
      <c r="T18" s="79" t="inlineStr">
        <is>
          <t>2ee5109b1876ea2114ac5c73b4bd0e2fc0348e1209a9d2ca16bc8ef9834ff357</t>
        </is>
      </c>
      <c r="U18" s="79" t="inlineStr">
        <is>
          <t>Codex</t>
        </is>
      </c>
      <c r="V18" s="80" t="n">
        <v>46224</v>
      </c>
      <c r="W18" s="55" t="inlineStr">
        <is>
          <t>原创程序特效</t>
        </is>
      </c>
      <c r="X18" s="78" t="inlineStr">
        <is>
          <t>—</t>
        </is>
      </c>
      <c r="Y18" s="79" t="inlineStr">
        <is>
          <t>effect kind、颜色、尺寸、方向与连段参数化；新增slash/melee_impact无碰撞池化种类，复用同一战斗VFX根；近战专项验证一段一弧光、逐目标爆点。</t>
        </is>
      </c>
    </row>
    <row r="19" ht="429.1" customHeight="1" s="52">
      <c r="A19" s="79" t="inlineStr">
        <is>
          <t>VFX-VISIBILITY-FIELD-3D</t>
        </is>
      </c>
      <c r="B19" s="55" t="inlineStr">
        <is>
          <t>柔边真实单位视野场3D</t>
        </is>
      </c>
      <c r="C19" s="55" t="inlineStr">
        <is>
          <t>特效</t>
        </is>
      </c>
      <c r="D19" s="79" t="inlineStr">
        <is>
          <t>gameplay_vfx</t>
        </is>
      </c>
      <c r="E19" s="79" t="inlineStr">
        <is>
          <t>visibility_field</t>
        </is>
      </c>
      <c r="F19" s="79" t="inlineStr">
        <is>
          <t>field_mesh_3d</t>
        </is>
      </c>
      <c r="G19" s="79" t="inlineStr">
        <is>
          <t>VFX-VISIBILITY-LIGHT</t>
        </is>
      </c>
      <c r="H19" s="55" t="inlineStr">
        <is>
          <t>俯视3D</t>
        </is>
      </c>
      <c r="I19" s="79" t="inlineStr">
        <is>
          <t>default</t>
        </is>
      </c>
      <c r="J19" s="79" t="inlineStr">
        <is>
          <t>3D行动区/靶场/基地</t>
        </is>
      </c>
      <c r="K19" s="55" t="inlineStr">
        <is>
          <t>原型已接入</t>
        </is>
      </c>
      <c r="L19" s="79" t="inlineStr">
        <is>
          <t>P0</t>
        </is>
      </c>
      <c r="M19" s="79" t="inlineStr">
        <is>
          <t>v001</t>
        </is>
      </c>
      <c r="N19" s="79" t="inlineStr">
        <is>
          <t>360°逻辑射线 + ImmediateMesh 49+28表现射线</t>
        </is>
      </c>
      <c r="O19" s="79" t="inlineStr">
        <is>
          <t>src/player3d/PlayerVision3D.gd</t>
        </is>
      </c>
      <c r="P19" s="79" t="inlineStr">
        <is>
          <t>scenes/Player3D.tscn</t>
        </is>
      </c>
      <c r="Q19" s="79" t="inlineStr">
        <is>
          <t>360度逻辑视野;96度目光表现;柔边;墙体遮挡;无描边;非灯光判定</t>
        </is>
      </c>
      <c r="R19" s="79">
        <f>LOWER(TRIM(C19)&amp;"|"&amp;TRIM(D19)&amp;"|"&amp;TRIM(E19)&amp;"|"&amp;TRIM(F19)&amp;"|"&amp;TRIM(H19)&amp;"|"&amp;TRIM(I19))</f>
        <v/>
      </c>
      <c r="S19" s="55">
        <f>IF(COUNTIF($R$6:$R$22,R19)&gt;1,"重复","唯一")</f>
        <v/>
      </c>
      <c r="T19" s="79" t="inlineStr">
        <is>
          <t>3405769a7da2c227a4ad0239e08963851ff8b739dcaff1f80fd8d5e35eb705ce</t>
        </is>
      </c>
      <c r="U19" s="79" t="inlineStr">
        <is>
          <t>Codex</t>
        </is>
      </c>
      <c r="V19" s="79" t="n">
        <v>46264</v>
      </c>
      <c r="W19" s="55" t="inlineStr">
        <is>
          <t>原创程序几何</t>
        </is>
      </c>
      <c r="X19" s="78" t="inlineStr">
        <is>
          <t>—</t>
        </is>
      </c>
      <c r="Y19" s="55" t="inlineStr">
        <is>
          <t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t>
        </is>
      </c>
    </row>
    <row r="20" ht="582.8" customHeight="1" s="52">
      <c r="A20" s="79" t="inlineStr">
        <is>
          <t>VFX-PLAYER-FLASHLIGHT-3D</t>
        </is>
      </c>
      <c r="B20" s="55" t="inlineStr">
        <is>
          <t>玩家真实探照灯组件3D</t>
        </is>
      </c>
      <c r="C20" s="55" t="inlineStr">
        <is>
          <t>特效</t>
        </is>
      </c>
      <c r="D20" s="79" t="inlineStr">
        <is>
          <t>gameplay_vfx</t>
        </is>
      </c>
      <c r="E20" s="79" t="inlineStr">
        <is>
          <t>player_flashlight</t>
        </is>
      </c>
      <c r="F20" s="79" t="inlineStr">
        <is>
          <t>light_rig_3d</t>
        </is>
      </c>
      <c r="G20" s="79" t="inlineStr">
        <is>
          <t>VFX-VISIBILITY-FIELD-3D</t>
        </is>
      </c>
      <c r="H20" s="55" t="inlineStr">
        <is>
          <t>俯视3D</t>
        </is>
      </c>
      <c r="I20" s="79" t="inlineStr">
        <is>
          <t>default</t>
        </is>
      </c>
      <c r="J20" s="79" t="inlineStr">
        <is>
          <t>3D行动区/靶场/基地</t>
        </is>
      </c>
      <c r="K20" s="55" t="inlineStr">
        <is>
          <t>原型已接入</t>
        </is>
      </c>
      <c r="L20" s="79" t="inlineStr">
        <is>
          <t>P0</t>
        </is>
      </c>
      <c r="M20" s="79" t="inlineStr">
        <is>
          <t>v001</t>
        </is>
      </c>
      <c r="N20" s="79" t="inlineStr">
        <is>
          <t>PackedScene/2 SpotLight3D+1 OmniLight3D</t>
        </is>
      </c>
      <c r="O20" s="79" t="inlineStr">
        <is>
          <t>assets/art/vfx/visibility_3d/vfx_player_flashlight_root_top3d.tscn</t>
        </is>
      </c>
      <c r="P20" s="79" t="inlineStr">
        <is>
          <t>src/player3d/PlayerFlashlight3D.gd</t>
        </is>
      </c>
      <c r="Q20" s="55" t="inlineStr">
        <is>
          <t>真实探照灯;玩家灯光;前向聚光;角色补光;可调灯光</t>
        </is>
      </c>
      <c r="R20" s="79">
        <f>LOWER(TRIM(C20)&amp;"|"&amp;TRIM(D20)&amp;"|"&amp;TRIM(E20)&amp;"|"&amp;TRIM(F20)&amp;"|"&amp;TRIM(H20)&amp;"|"&amp;TRIM(I20))</f>
        <v/>
      </c>
      <c r="S20" s="55">
        <f>IF(COUNTIF($R$6:$R$22,R20)&gt;1,"重复","唯一")</f>
        <v/>
      </c>
      <c r="T20" s="79" t="inlineStr">
        <is>
          <t>b389efe1d1fcfd30087a6d3f3f2784effee95cf6c54769fde27ecb6806011a05</t>
        </is>
      </c>
      <c r="U20" s="79" t="inlineStr">
        <is>
          <t>Codex</t>
        </is>
      </c>
      <c r="V20" s="80" t="n">
        <v>46225</v>
      </c>
      <c r="W20" s="81" t="inlineStr">
        <is>
          <t>原创程序几何</t>
        </is>
      </c>
      <c r="X20" s="78" t="inlineStr">
        <is>
          <t>—</t>
        </is>
      </c>
      <c r="Y20" s="79" t="inlineStr">
        <is>
          <t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t>
        </is>
      </c>
    </row>
    <row r="21" ht="931.3" customHeight="1" s="52">
      <c r="A21" s="79" t="inlineStr">
        <is>
          <t>VFX-SHELL-CASING-3D</t>
        </is>
      </c>
      <c r="B21" s="55" t="inlineStr">
        <is>
          <t>抛壳落地特效</t>
        </is>
      </c>
      <c r="C21" s="55" t="inlineStr">
        <is>
          <t>特效</t>
        </is>
      </c>
      <c r="D21" s="55" t="inlineStr">
        <is>
          <t>战斗反馈</t>
        </is>
      </c>
      <c r="E21" s="79" t="inlineStr">
        <is>
          <t>FX01-07</t>
        </is>
      </c>
      <c r="F21" s="79" t="n"/>
      <c r="G21" s="79" t="n"/>
      <c r="H21" s="55" t="inlineStr">
        <is>
          <t>俯视3D</t>
        </is>
      </c>
      <c r="I21" s="55" t="inlineStr">
        <is>
          <t>开火抛壳/落地</t>
        </is>
      </c>
      <c r="J21" s="55" t="inlineStr">
        <is>
          <t>玩家/敌人远程枪械</t>
        </is>
      </c>
      <c r="K21" s="55" t="inlineStr">
        <is>
          <t>已完成</t>
        </is>
      </c>
      <c r="L21" s="79" t="inlineStr">
        <is>
          <t>P1</t>
        </is>
      </c>
      <c r="M21" s="79" t="inlineStr">
        <is>
          <t>v001</t>
        </is>
      </c>
      <c r="N21" s="79" t="inlineStr">
        <is>
          <t>PackedScene/程序运动</t>
        </is>
      </c>
      <c r="O21" s="79" t="inlineStr">
        <is>
          <t>assets/art/vfx/combat_3d/vfx_shell_casing_root_top3d.tscn</t>
        </is>
      </c>
      <c r="P21" s="79" t="inlineStr">
        <is>
          <t>src/vfx/VfxShellCasing3D.gd</t>
        </is>
      </c>
      <c r="Q21" s="55" t="inlineStr">
        <is>
          <t>弹壳,抛壳,落地,枪械反馈</t>
        </is>
      </c>
      <c r="R21" s="79">
        <f>LOWER(TRIM(C21)&amp;"|"&amp;TRIM(D21)&amp;"|"&amp;TRIM(E21)&amp;"|"&amp;TRIM(F21)&amp;"|"&amp;TRIM(H21)&amp;"|"&amp;TRIM(I21))</f>
        <v/>
      </c>
      <c r="S21" s="55">
        <f>IF(COUNTIF($R$6:$R$22,R21)&gt;1,"重复","唯一")</f>
        <v/>
      </c>
      <c r="T21" s="79" t="inlineStr">
        <is>
          <t>a19f4266f8be8a302e5002fd118aa5e34a7de8a6dbd282807fb21522a8e12814</t>
        </is>
      </c>
      <c r="U21" s="55" t="inlineStr">
        <is>
          <t>摩斯拉</t>
        </is>
      </c>
      <c r="V21" s="80" t="n">
        <v>46287</v>
      </c>
      <c r="W21" s="81" t="inlineStr">
        <is>
          <t>原创程序几何</t>
        </is>
      </c>
      <c r="X21" s="78" t="inlineStr">
        <is>
          <t>—</t>
        </is>
      </c>
      <c r="Y21" s="55" t="inlineStr">
        <is>
          <t>独立纯视觉 Prefab，无碰撞体；每次成功开火生成 1 枚；从枪械右侧抛出，重力 9.8m/s²，命中地板最多 2 次小弹跳后静止，3.2s 回收；验收 verify_combat_vfx_toon_v002。 PBR 定档：金属度 metallic=0.8 / 反光度（roughness）=0.6，壳体/底缘/底火三件统一（2026-09-22 指定）。 【模拟碰撞】落地改为**纯程序化模拟碰撞**（解析式越线，不做任何物理射线/空间查询，Prefab 无碰撞体）：弹壳中心 y 越过「地面高度 + 贴地半径」即视为碰撞；运动为 飞行(弹跳) → 贴地滚动 → 躺平静止 三阶段；触地带挤压包络。视觉尺寸缩到原基准 **80%**（WeaponModel3D.SHELL_CASING_SIZE=0.8）。⚠️ context.floor_y 必须由调用方按真实世界给，禁以 0 兜底 —— 塔楼楼层向下建（98F ≈ -1176m），兜底 0 会让弹壳出生即判触地、瞬移到世界原点而看不见（2026-09-22 实机缺陷）；调用方口径 = 射击者站立面 y，见 WeaponModel3D._resolve_shell_floor_y()。贴地半径取三件最大径向半展 0.058（底缘），非壳体 0.045。</t>
        </is>
      </c>
    </row>
    <row r="22" ht="120" customHeight="1" s="52">
      <c r="A22" s="79" t="inlineStr">
        <is>
          <t>VFX-ENV-CLOUD-SEA-3D</t>
        </is>
      </c>
      <c r="B22" s="55" t="inlineStr">
        <is>
          <t>主塔柔软体积云海与漂浮小云</t>
        </is>
      </c>
      <c r="C22" s="55" t="inlineStr">
        <is>
          <t>特效</t>
        </is>
      </c>
      <c r="D22" s="79" t="inlineStr">
        <is>
          <t>environment</t>
        </is>
      </c>
      <c r="E22" s="79" t="inlineStr">
        <is>
          <t>outdoor_cloud_sea</t>
        </is>
      </c>
      <c r="F22" s="79" t="inlineStr">
        <is>
          <t>root_3d</t>
        </is>
      </c>
      <c r="G22" s="79" t="n"/>
      <c r="H22" s="55" t="inlineStr">
        <is>
          <t>俯视3D</t>
        </is>
      </c>
      <c r="I22" s="79" t="inlineStr">
        <is>
          <t>slow_flow</t>
        </is>
      </c>
      <c r="J22" s="55" t="inlineStr">
        <is>
          <t>主塔与周边塔楼99F以下室外</t>
        </is>
      </c>
      <c r="K22" s="55" t="inlineStr">
        <is>
          <t>正式美术已接入</t>
        </is>
      </c>
      <c r="L22" s="79" t="inlineStr">
        <is>
          <t>P1</t>
        </is>
      </c>
      <c r="M22" s="79" t="inlineStr">
        <is>
          <t>v002</t>
        </is>
      </c>
      <c r="N22" s="79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O22" s="79" t="inlineStr">
        <is>
          <t>assets/art/vfx/environment_3d/cloud_sea/vfx_env_cloud_sea_root_top3d.tscn</t>
        </is>
      </c>
      <c r="P22" s="79" t="inlineStr">
        <is>
          <t>src/vfx/VfxCloudSea3D.gd; docs/v0.1/design/outdoor_cloud_sea.md; source/v002</t>
        </is>
      </c>
      <c r="Q22" s="55" t="inlineStr">
        <is>
          <t>云海;体积云;光遇风格;柔软;漂浮;薄雾;室外</t>
        </is>
      </c>
      <c r="R22" s="79">
        <f>LOWER(TRIM(C22)&amp;"|"&amp;TRIM(D22)&amp;"|"&amp;TRIM(E22)&amp;"|"&amp;TRIM(F22)&amp;"|"&amp;TRIM(H22)&amp;"|"&amp;TRIM(I22))</f>
        <v/>
      </c>
      <c r="S22" s="55">
        <f>IF(COUNTIF($R$6:$R$22,R22)&gt;1,"重复","唯一")</f>
        <v/>
      </c>
      <c r="T22" s="79" t="inlineStr">
        <is>
          <t>f7830ac829de78bdbf189b89ab16a2c5d8b8730e2cb0a694809e7472fa60d63c</t>
        </is>
      </c>
      <c r="U22" s="79" t="inlineStr">
        <is>
          <t>Codex</t>
        </is>
      </c>
      <c r="V22" s="104" t="n">
        <v>46295</v>
      </c>
      <c r="W22" s="55" t="inlineStr">
        <is>
          <t>项目原创Shader/三维程序密度；gpt-image-2原创灰度云贴图，用户参考图仅作风格参考</t>
        </is>
      </c>
      <c r="X22" s="78" t="inlineStr">
        <is>
          <t>FX03-02 / procedural_cloud_sea</t>
        </is>
      </c>
      <c r="Y22" s="55" t="inlineStr">
        <is>
          <t>v002品质优先版，尚未专项优化。主场景OutdoorClouds持有；主塔全高度禁云，700建筑边界遮罩随最新布局重烘焙。实际天台520m及99F145m视距均验证云可见、亮部有余量；GPU实际纹理采样、暂停、60秒流动、失效遮罩拒绝通过。原AssetID升级，不新增行。</t>
        </is>
      </c>
    </row>
    <row r="79" ht="154.5" customHeight="1" s="52"/>
    <row r="113" ht="154.5" customHeight="1" s="52"/>
    <row r="120" ht="154.5" customHeight="1" s="52"/>
    <row r="123" ht="154.5" customHeight="1" s="52"/>
    <row r="124" ht="33.75" customHeight="1" s="52"/>
    <row r="125" ht="33.75" customHeight="1" s="52"/>
    <row r="126" ht="33.75" customHeight="1" s="52"/>
    <row r="127" ht="33.75" customHeight="1" s="52"/>
    <row r="128" ht="154.5" customHeight="1" s="52"/>
    <row r="129" ht="33.75" customHeight="1" s="52"/>
    <row r="130" ht="33.75" customHeight="1" s="52"/>
    <row r="131" ht="33.75" customHeight="1" s="52"/>
    <row r="132" ht="33.75" customHeight="1" s="52"/>
    <row r="133" ht="33.75" customHeight="1" s="52"/>
    <row r="134" ht="33.75" customHeight="1" s="52"/>
    <row r="135" ht="33.75" customHeight="1" s="52"/>
    <row r="136" ht="33.75" customHeight="1" s="52"/>
    <row r="137" ht="33.75" customHeight="1" s="52"/>
    <row r="138" ht="33.75" customHeight="1" s="52"/>
    <row r="139" ht="33.75" customHeight="1" s="52"/>
    <row r="143" ht="154.5" customHeight="1" s="52"/>
    <row r="146" ht="43.5" customHeight="1" s="52"/>
    <row r="147" ht="43.5" customHeight="1" s="52"/>
    <row r="148" ht="43.5" customHeight="1" s="52"/>
    <row r="149" ht="43.5" customHeight="1" s="52"/>
    <row r="150" ht="43.5" customHeight="1" s="52"/>
    <row r="151" ht="43.5" customHeight="1" s="52"/>
    <row r="152" ht="43.5" customHeight="1" s="52"/>
    <row r="153" ht="43.5" customHeight="1" s="52"/>
    <row r="154" ht="43.5" customHeight="1" s="52"/>
    <row r="155" ht="43.5" customHeight="1" s="52"/>
    <row r="156" ht="132" customHeight="1" s="52"/>
    <row r="157" ht="117.75" customHeight="1" s="52"/>
    <row r="158" ht="117.75" customHeight="1" s="52"/>
    <row r="159" ht="117.75" customHeight="1" s="52"/>
    <row r="160" ht="117.75" customHeight="1" s="52"/>
    <row r="161" ht="132" customHeight="1" s="52"/>
    <row r="162" ht="132" customHeight="1" s="52"/>
    <row r="163" ht="154.5" customHeight="1" s="52"/>
    <row r="164" ht="132" customHeight="1" s="52"/>
    <row r="165" ht="132" customHeight="1" s="52"/>
    <row r="166" ht="132" customHeight="1" s="52"/>
    <row r="167" ht="154.5" customHeight="1" s="52"/>
    <row r="168" ht="219.75" customHeight="1" s="52"/>
    <row r="169" ht="219.75" customHeight="1" s="52"/>
    <row r="172" ht="42" customHeight="1" s="52"/>
    <row r="173" ht="42" customHeight="1" s="52"/>
    <row r="174" ht="43.5" customHeight="1" s="52"/>
    <row r="175" ht="43.5" customHeight="1" s="52"/>
    <row r="176" ht="43.5" customHeight="1" s="52"/>
    <row r="177" ht="43.5" customHeight="1" s="52"/>
    <row r="178" ht="43.5" customHeight="1" s="52"/>
    <row r="179" ht="43.5" customHeight="1" s="52"/>
    <row r="180" ht="43.5" customHeight="1" s="52"/>
    <row r="181" ht="43.5" customHeight="1" s="52"/>
    <row r="182" ht="43.5" customHeight="1" s="52"/>
    <row r="183" ht="43.5" customHeight="1" s="52"/>
    <row r="184" ht="43.5" customHeight="1" s="52"/>
    <row r="185" ht="43.5" customHeight="1" s="52"/>
    <row r="186" ht="43.5" customHeight="1" s="52"/>
    <row r="187" ht="43.5" customHeight="1" s="52"/>
    <row r="188" ht="43.5" customHeight="1" s="52"/>
    <row r="189" ht="43.5" customHeight="1" s="52"/>
    <row r="190" ht="43.5" customHeight="1" s="52"/>
    <row r="191" ht="43.5" customHeight="1" s="52"/>
    <row r="192" ht="43.5" customHeight="1" s="52"/>
    <row r="193" ht="43.5" customHeight="1" s="52"/>
    <row r="194" ht="43.5" customHeight="1" s="52"/>
    <row r="195" ht="43.5" customHeight="1" s="52"/>
    <row r="196" ht="43.5" customHeight="1" s="52"/>
    <row r="197" ht="43.5" customHeight="1" s="52"/>
    <row r="198" ht="43.5" customHeight="1" s="52"/>
    <row r="199" ht="43.5" customHeight="1" s="52"/>
    <row r="200" ht="43.5" customHeight="1" s="52"/>
    <row r="201" ht="43.5" customHeight="1" s="52"/>
    <row r="202" ht="43.5" customHeight="1" s="52"/>
    <row r="203" ht="43.5" customHeight="1" s="52"/>
    <row r="204" ht="43.5" customHeight="1" s="52"/>
    <row r="240" ht="255" customHeight="1" s="52"/>
    <row r="281" ht="66" customHeight="1" s="52"/>
    <row r="282" ht="66" customHeight="1" s="52"/>
    <row r="283" ht="66" customHeight="1" s="52"/>
    <row r="284" ht="66" customHeight="1" s="52"/>
    <row r="285" ht="66" customHeight="1" s="52"/>
    <row r="286" ht="66" customHeight="1" s="52"/>
    <row r="287" ht="55.5" customHeight="1" s="52"/>
    <row r="301" ht="132" customHeight="1" s="52"/>
    <row r="302" ht="54" customHeight="1" s="52"/>
    <row r="303" ht="54" customHeight="1" s="52"/>
    <row r="304" ht="54" customHeight="1" s="52"/>
    <row r="305" ht="54" customHeight="1" s="52"/>
    <row r="306" ht="54" customHeight="1" s="52"/>
    <row r="307" ht="54" customHeight="1" s="52"/>
    <row r="308" ht="54" customHeight="1" s="52"/>
    <row r="309" ht="54" customHeight="1" s="52"/>
    <row r="310" ht="54" customHeight="1" s="52"/>
    <row r="311" ht="72" customHeight="1" s="52"/>
    <row r="312" ht="54" customHeight="1" s="52"/>
    <row r="313" ht="54" customHeight="1" s="52"/>
    <row r="314" ht="54" customHeight="1" s="52"/>
    <row r="315" ht="54" customHeight="1" s="52"/>
    <row r="316" ht="54" customHeight="1" s="52"/>
    <row r="317" ht="54" customHeight="1" s="52"/>
    <row r="318" ht="54" customHeight="1" s="52"/>
    <row r="319" ht="54" customHeight="1" s="52"/>
    <row r="320" ht="54" customHeight="1" s="52"/>
    <row r="321" ht="54" customHeight="1" s="52"/>
    <row r="322" ht="54" customHeight="1" s="52"/>
    <row r="323" ht="54" customHeight="1" s="52"/>
    <row r="324" ht="54" customHeight="1" s="52"/>
    <row r="325" ht="54" customHeight="1" s="52"/>
    <row r="326" ht="54" customHeight="1" s="52"/>
    <row r="327" ht="54" customHeight="1" s="52"/>
    <row r="328" ht="54" customHeight="1" s="52"/>
    <row r="329" ht="54" customHeight="1" s="52"/>
    <row r="330" ht="54" customHeight="1" s="52"/>
    <row r="331" ht="54" customHeight="1" s="52"/>
    <row r="332" ht="54" customHeight="1" s="52"/>
    <row r="333" ht="54" customHeight="1" s="52"/>
    <row r="334" ht="54" customHeight="1" s="52"/>
    <row r="335" ht="54" customHeight="1" s="52"/>
    <row r="336" ht="54" customHeight="1" s="52"/>
    <row r="337" ht="54" customHeight="1" s="52"/>
    <row r="338" ht="54" customHeight="1" s="52"/>
    <row r="339" ht="54" customHeight="1" s="52"/>
    <row r="340" ht="54" customHeight="1" s="52"/>
    <row r="341" ht="54" customHeight="1" s="52"/>
    <row r="342" ht="54" customHeight="1" s="52"/>
    <row r="343" ht="54" customHeight="1" s="52"/>
    <row r="344" ht="54" customHeight="1" s="52"/>
    <row r="345" ht="54" customHeight="1" s="52"/>
    <row r="346" ht="54" customHeight="1" s="52"/>
    <row r="347" ht="54" customHeight="1" s="52"/>
    <row r="348" ht="54" customHeight="1" s="52"/>
    <row r="349" ht="54" customHeight="1" s="52"/>
    <row r="350" ht="54" customHeight="1" s="52"/>
    <row r="351" ht="54" customHeight="1" s="52"/>
    <row r="352" ht="54" customHeight="1" s="52"/>
    <row r="353" ht="54" customHeight="1" s="52"/>
    <row r="354" ht="54" customHeight="1" s="52"/>
    <row r="355" ht="54" customHeight="1" s="52"/>
    <row r="356" ht="54" customHeight="1" s="52"/>
    <row r="357" ht="54" customHeight="1" s="52"/>
    <row r="358" ht="54" customHeight="1" s="52"/>
    <row r="359" ht="72" customHeight="1" s="52"/>
    <row r="360" ht="54" customHeight="1" s="52"/>
    <row r="361" ht="54" customHeight="1" s="52"/>
    <row r="362" ht="54" customHeight="1" s="52"/>
    <row r="363" ht="54" customHeight="1" s="52"/>
    <row r="364" ht="54" customHeight="1" s="52"/>
    <row r="365" ht="54" customHeight="1" s="52"/>
    <row r="366" ht="54" customHeight="1" s="52"/>
    <row r="367" ht="54" customHeight="1" s="52"/>
    <row r="368" ht="72" customHeight="1" s="52"/>
    <row r="369" ht="54" customHeight="1" s="52"/>
    <row r="370" ht="54" customHeight="1" s="52"/>
    <row r="371" ht="54" customHeight="1" s="52"/>
    <row r="372" ht="54" customHeight="1" s="52"/>
    <row r="373" ht="54" customHeight="1" s="52"/>
    <row r="374" ht="54" customHeight="1" s="52"/>
    <row r="375" ht="54" customHeight="1" s="52"/>
    <row r="376" ht="54" customHeight="1" s="52"/>
    <row r="377" ht="54" customHeight="1" s="52"/>
    <row r="378" ht="54" customHeight="1" s="52"/>
    <row r="379" ht="54" customHeight="1" s="52"/>
    <row r="380" ht="54" customHeight="1" s="52"/>
    <row r="381" ht="54" customHeight="1" s="52"/>
    <row r="382" ht="54" customHeight="1" s="52"/>
    <row r="383" ht="54" customHeight="1" s="52"/>
    <row r="384" ht="54" customHeight="1" s="52"/>
    <row r="385" ht="54" customHeight="1" s="52"/>
    <row r="386" ht="54" customHeight="1" s="52"/>
    <row r="387" ht="54" customHeight="1" s="52"/>
    <row r="388" ht="54" customHeight="1" s="52"/>
    <row r="389" ht="54" customHeight="1" s="52"/>
    <row r="390" ht="54" customHeight="1" s="52"/>
    <row r="391" ht="54" customHeight="1" s="52"/>
    <row r="392" ht="54" customHeight="1" s="52"/>
    <row r="393" ht="54" customHeight="1" s="52"/>
    <row r="394" ht="54" customHeight="1" s="52"/>
    <row r="395" ht="54" customHeight="1" s="52"/>
    <row r="396" ht="54" customHeight="1" s="52"/>
    <row r="397" ht="54" customHeight="1" s="52"/>
    <row r="398" ht="54" customHeight="1" s="52"/>
    <row r="399" ht="54" customHeight="1" s="52"/>
    <row r="400" ht="54" customHeight="1" s="52"/>
    <row r="401" ht="54" customHeight="1" s="52"/>
    <row r="402" ht="54" customHeight="1" s="52"/>
    <row r="403" ht="54" customHeight="1" s="52"/>
    <row r="404" ht="54" customHeight="1" s="52"/>
    <row r="405" ht="54" customHeight="1" s="52"/>
    <row r="406" ht="54" customHeight="1" s="52"/>
    <row r="407" ht="54" customHeight="1" s="52"/>
    <row r="408" ht="54" customHeight="1" s="52"/>
    <row r="409" ht="54" customHeight="1" s="52"/>
    <row r="410" ht="54" customHeight="1" s="52"/>
    <row r="411" ht="54" customHeight="1" s="52"/>
    <row r="412" ht="54" customHeight="1" s="52"/>
    <row r="413" ht="75.75" customHeight="1" s="52"/>
    <row r="414" ht="72" customHeight="1" s="52"/>
    <row r="415" ht="72" customHeight="1" s="52"/>
    <row r="416" ht="72" customHeight="1" s="52"/>
    <row r="424" ht="84.75" customHeight="1" s="52"/>
    <row r="425" ht="84.75" customHeight="1" s="52"/>
    <row r="426" ht="84.75" customHeight="1" s="52"/>
    <row r="427" ht="84.75" customHeight="1" s="52"/>
    <row r="429" ht="120" customHeight="1" s="52"/>
  </sheetData>
  <autoFilter ref="A5:X22"/>
  <mergeCells count="2">
    <mergeCell ref="A1:X2"/>
    <mergeCell ref="A3:X3"/>
  </mergeCells>
  <conditionalFormatting sqref="S6:S22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22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22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22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22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2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1" min="1" max="1"/>
    <col width="25.07" customWidth="1" style="51" min="2" max="2"/>
    <col width="52.52" customWidth="1" style="51" min="3" max="3"/>
    <col width="50.13" customWidth="1" style="51" min="4" max="4"/>
    <col width="45.35" customWidth="1" style="51" min="5" max="5"/>
    <col width="32.22" customWidth="1" style="51" min="6" max="6"/>
    <col width="42.97" customWidth="1" style="51" min="7" max="7"/>
    <col width="11.94" customWidth="1" style="51" min="8" max="8"/>
    <col width="14.33" customWidth="1" style="51" min="9" max="9"/>
    <col width="21.48" customWidth="1" style="51" min="10" max="10"/>
    <col width="31.03" customWidth="1" style="51" min="11" max="11"/>
    <col width="28.65" customWidth="1" style="51" min="12" max="13"/>
    <col width="26.26" customWidth="1" style="51" min="14" max="14"/>
    <col width="11.94" customWidth="1" style="51" min="15" max="15"/>
    <col width="52.52" customWidth="1" style="51" min="16" max="16"/>
  </cols>
  <sheetData>
    <row r="1" ht="30" customHeight="1" s="52">
      <c r="A1" s="82" t="inlineStr">
        <is>
          <t>ShellStorm2 · 特效 3D Prefab</t>
        </is>
      </c>
    </row>
    <row r="2" ht="33.75" customHeight="1" s="52">
      <c r="A2" s="83" t="inlineStr">
        <is>
          <t>特效按独立 Prefab 原则：每个特效一个独立 .tscn；Prefab 是特效唯一出口；账本和调用代码读 Prefab。本 sheet 共 12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已实装但命名待对齐。【2026-09-21 进度】新增 FX01-06 VFX-BULLET-VISUAL-3D（飞行子弹纯视觉，含 ProjectileLight，由 Projectile3D 持有、不进 VfxPool）；FX01-01 / FX01-02 升 v002 卡通重做（枪口新增 MuzzleLight、命中改按命中法线对齐）；三类共同验收 verify_combat_vfx_toon_v002。【2026-09-22 进度】新增 FX01-07 VFX-SHELL-CASING-3D：开火抛壳、重力落地、最多两次小弹跳后静止，接入 WeaponModel3D 与 VfxPool3D。</t>
        </is>
      </c>
    </row>
    <row r="3"/>
    <row r="4" ht="30" customHeight="1" s="52">
      <c r="A4" s="84" t="inlineStr">
        <is>
          <t>编号</t>
        </is>
      </c>
      <c r="B4" s="85" t="inlineStr">
        <is>
          <t>AssetID</t>
        </is>
      </c>
      <c r="C4" s="86" t="inlineStr">
        <is>
          <t>中文名</t>
        </is>
      </c>
      <c r="D4" s="85" t="inlineStr">
        <is>
          <t>Prefab路径</t>
        </is>
      </c>
      <c r="E4" s="85" t="inlineStr">
        <is>
          <t>GLB模型路径</t>
        </is>
      </c>
      <c r="F4" s="85" t="inlineStr">
        <is>
          <t>Blender源文件</t>
        </is>
      </c>
      <c r="G4" s="86" t="inlineStr">
        <is>
          <t>功能说明</t>
        </is>
      </c>
      <c r="H4" s="86" t="inlineStr">
        <is>
          <t>功能脚本路径</t>
        </is>
      </c>
      <c r="I4" s="86" t="inlineStr">
        <is>
          <t>碰撞开关</t>
        </is>
      </c>
      <c r="J4" s="86" t="inlineStr">
        <is>
          <t>碰撞归属</t>
        </is>
      </c>
      <c r="K4" s="86" t="inlineStr">
        <is>
          <t>碰撞方式</t>
        </is>
      </c>
      <c r="L4" s="86" t="inlineStr">
        <is>
          <t>标准尺寸</t>
        </is>
      </c>
      <c r="M4" s="86" t="inlineStr">
        <is>
          <t>原点与朝向</t>
        </is>
      </c>
      <c r="N4" s="86" t="inlineStr">
        <is>
          <t>使用位置</t>
        </is>
      </c>
      <c r="O4" s="86" t="inlineStr">
        <is>
          <t>制作状态</t>
        </is>
      </c>
      <c r="P4" s="87" t="inlineStr">
        <is>
          <t>版本</t>
        </is>
      </c>
      <c r="Q4" s="88" t="inlineStr">
        <is>
          <t>备注</t>
        </is>
      </c>
    </row>
    <row r="5" ht="66" customHeight="1" s="52">
      <c r="A5" s="89" t="inlineStr">
        <is>
          <t>▼ 00 特效套件（老形态）</t>
        </is>
      </c>
      <c r="B5" s="90" t="n"/>
      <c r="C5" s="90" t="n"/>
      <c r="D5" s="90" t="n"/>
      <c r="E5" s="90" t="n"/>
      <c r="F5" s="90" t="n"/>
      <c r="G5" s="90" t="n"/>
      <c r="H5" s="90" t="n"/>
      <c r="I5" s="90" t="n"/>
      <c r="J5" s="90" t="n"/>
      <c r="K5" s="90" t="n"/>
      <c r="L5" s="90" t="n"/>
      <c r="M5" s="90" t="n"/>
      <c r="N5" s="90" t="n"/>
      <c r="O5" s="90" t="n"/>
      <c r="P5" s="91" t="n"/>
      <c r="Q5" s="92" t="n"/>
    </row>
    <row r="6" ht="66" customHeight="1" s="52">
      <c r="A6" s="93" t="inlineStr">
        <is>
          <t>FX00-01</t>
        </is>
      </c>
      <c r="B6" s="94" t="inlineStr">
        <is>
          <t>VFX-COMBAT-KIT-3D</t>
        </is>
      </c>
      <c r="C6" s="95" t="inlineStr">
        <is>
          <t>战斗反馈3D通用特效套件</t>
        </is>
      </c>
      <c r="D6" s="94" t="inlineStr">
        <is>
          <t>assets/art/vfx/combat_3d/vfx_combat_kit_root_top3d.tscn</t>
        </is>
      </c>
      <c r="E6" s="94" t="n"/>
      <c r="F6" s="94" t="n"/>
      <c r="G6" s="95" t="inlineStr">
        <is>
          <t>一个 Prefab + match effect_kind 7 套代码分支，覆盖 7 种战斗反馈视觉。违反 14.6 独立 Prefab 原则 §1；下方 7 个战斗反馈/受击飘字条目为拆分目标。旧调用方继续运行至 2026-Q4 迁移完成。</t>
        </is>
      </c>
      <c r="H6" s="94" t="inlineStr">
        <is>
          <t>src/combat3d/CombatEffect3D.gd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无</t>
        </is>
      </c>
      <c r="L6" s="94" t="inlineStr">
        <is>
          <t>PackedScene/参数化特效</t>
        </is>
      </c>
      <c r="M6" s="95" t="inlineStr">
        <is>
          <t>未声明</t>
        </is>
      </c>
      <c r="N6" s="95" t="inlineStr">
        <is>
          <t>枪械/近战/敌人/关卡</t>
        </is>
      </c>
      <c r="O6" s="95" t="inlineStr">
        <is>
          <t>老 · 待拆分</t>
        </is>
      </c>
      <c r="P6" s="96" t="inlineStr">
        <is>
          <t>v001</t>
        </is>
      </c>
      <c r="Q6" s="51" t="inlineStr">
        <is>
          <t>老形态·保留为过渡；待 14.6 §6 迁移完成后删除</t>
        </is>
      </c>
    </row>
    <row r="7" ht="66" customHeight="1" s="52">
      <c r="A7" s="97" t="inlineStr">
        <is>
          <t>▼ 01 战斗反馈</t>
        </is>
      </c>
      <c r="B7" s="98" t="n"/>
      <c r="C7" s="98" t="n"/>
      <c r="D7" s="98" t="n"/>
      <c r="E7" s="98" t="n"/>
      <c r="F7" s="98" t="n"/>
      <c r="G7" s="98" t="n"/>
      <c r="H7" s="98" t="n"/>
      <c r="I7" s="98" t="n"/>
      <c r="J7" s="98" t="n"/>
      <c r="K7" s="98" t="n"/>
      <c r="L7" s="98" t="n"/>
      <c r="M7" s="98" t="n"/>
      <c r="N7" s="98" t="n"/>
      <c r="O7" s="98" t="n"/>
      <c r="P7" s="99" t="n"/>
      <c r="Q7" s="92" t="n"/>
    </row>
    <row r="8" ht="15" customHeight="1" s="52">
      <c r="A8" s="100" t="inlineStr">
        <is>
          <t>FX01-01</t>
        </is>
      </c>
      <c r="B8" s="101" t="inlineStr">
        <is>
          <t>VFX-MUZZLE-FLASH-3D</t>
        </is>
      </c>
      <c r="C8" s="51" t="inlineStr">
        <is>
          <t>枪口火光特效</t>
        </is>
      </c>
      <c r="D8" s="101" t="inlineStr">
        <is>
          <t>assets/art/vfx/combat_3d/vfx_muzzle_flash_root_top3d.tscn</t>
        </is>
      </c>
      <c r="G8" s="51" t="inlineStr">
        <is>
          <t>枪械开火时的瞬时枪口花火（卡通 v002）：铂金亮芯 + 橙金/弹药色立体楔形火焰（CylinderMesh top_radius=0，Godot 4.x 无 ConeMesh）+ 交叉面尖瓣 + 5 枚飞散火星 + 短冲击环 + 一盏 OmniLight3D（名 MuzzleLight，shadow_enabled=false）。经 VfxPool3D 按 AssetID 路由。2026-09-21 补丁：支持 context.follow / follow_local_offset 挂点跟随——每帧把世界变换贴到挂点（枪口），角色移动、转向与后坐力位移时不残留；未绑定时退化为世界锚定。</t>
        </is>
      </c>
      <c r="H8" s="101" t="inlineStr">
        <is>
          <t>src/vfx/VfxMuzzleFlash3D.gd</t>
        </is>
      </c>
      <c r="I8" s="51" t="inlineStr">
        <is>
          <t>无</t>
        </is>
      </c>
      <c r="J8" s="51" t="inlineStr">
        <is>
          <t>无</t>
        </is>
      </c>
      <c r="K8" s="51" t="inlineStr">
        <is>
          <t>无</t>
        </is>
      </c>
      <c r="L8" s="51" t="inlineStr">
        <is>
          <t>亮芯约 0.18m；火焰长 0.7~1.8×size；lifetime 0.16s；MuzzleLight range 3.5m×size、峰值 light_energy 5.0、寿命末端归零</t>
        </is>
      </c>
      <c r="M8" s="51" t="inlineStr">
        <is>
          <t>原点=根节点中心；朝向=Basis.looking_at(context.forward)，local -Z 对齐射击方向</t>
        </is>
      </c>
      <c r="N8" s="51" t="inlineStr">
        <is>
          <t>枪械开火（远程 7 枪）</t>
        </is>
      </c>
      <c r="O8" s="51" t="inlineStr">
        <is>
          <t>完成</t>
        </is>
      </c>
      <c r="P8" s="101" t="inlineStr">
        <is>
          <t>v002</t>
        </is>
      </c>
      <c r="Q8" s="101" t="inlineStr">
        <is>
          <t>v002 卡通重做；Prefab=assets/art/vfx/combat_3d/vfx_muzzle_flash_root_top3d.tscn（去版本化路径，N1/N2 后不再带 _v001）+ 脚本=src/vfx/VfxMuzzleFlash3D.gd；根节点=VfxMuzzleFlash3D(Node3D)；FX编号 FX01-01；调用方：WeaponModel3D._spawn_muzzle_effect 经 VfxPool3D.acquire(FX01_MUZZLE_FLASH, …, {"forward": -global_basis.z})；验收：verify_combat_vfx_toon_v002。注：旧版备注中的 ..._v001.tscn 路径已废弃。；2026-09-21 补丁：新增挂点跟随契约（follow），调用方 WeaponModel3D 以 muzzle 挂点为跟随目标；调用方尺寸基准定档 0.8（视觉体积 80%）。</t>
        </is>
      </c>
    </row>
    <row r="9" ht="15" customHeight="1" s="52">
      <c r="A9" s="100" t="inlineStr">
        <is>
          <t>FX01-02</t>
        </is>
      </c>
      <c r="B9" s="102" t="inlineStr">
        <is>
          <t>VFX-IMPACT-3D</t>
        </is>
      </c>
      <c r="C9" s="92" t="inlineStr">
        <is>
          <t>通用命中特效</t>
        </is>
      </c>
      <c r="D9" s="102" t="inlineStr">
        <is>
          <t>assets/art/vfx/combat_3d/vfx_impact_root_top3d.tscn</t>
        </is>
      </c>
      <c r="E9" s="92" t="n"/>
      <c r="F9" s="92" t="n"/>
      <c r="G9" s="92" t="inlineStr">
        <is>
          <t>子弹/投射物命中表面的爆点（卡通 v002）：亮芯 + 冲击环（TorusMesh） + 7 道错峰星芒（BoxMesh，Quaternion(UP,dir) 放射） + 8 块错峰旋转碎屑；UNSHADED 半透明材质、透明重叠受控。</t>
        </is>
      </c>
      <c r="H9" s="102" t="inlineStr">
        <is>
          <t>src/vfx/VfxImpact3D.gd</t>
        </is>
      </c>
      <c r="I9" s="92" t="inlineStr">
        <is>
          <t>无</t>
        </is>
      </c>
      <c r="J9" s="92" t="inlineStr">
        <is>
          <t>无</t>
        </is>
      </c>
      <c r="K9" s="92" t="inlineStr">
        <is>
          <t>无</t>
        </is>
      </c>
      <c r="L9" s="92" t="inlineStr">
        <is>
          <t>亮芯约 0.16m；冲击环 0.2→2.4×size；lifetime 0.32s</t>
        </is>
      </c>
      <c r="M9" s="92" t="inlineStr">
        <is>
          <t>原点=根节点中心；朝向=Basis(Quaternion(UP, context.normal))，local +Y 对齐命中法线</t>
        </is>
      </c>
      <c r="N9" s="92" t="inlineStr">
        <is>
          <t>子弹/投射物命中通用</t>
        </is>
      </c>
      <c r="O9" s="92" t="inlineStr">
        <is>
          <t>完成</t>
        </is>
      </c>
      <c r="P9" s="102" t="inlineStr">
        <is>
          <t>v002</t>
        </is>
      </c>
      <c r="Q9" s="101" t="inlineStr">
        <is>
          <t>v002 卡通重做；Prefab=assets/art/vfx/combat_3d/vfx_impact_root_top3d.tscn（去版本化路径）+ 脚本=src/vfx/VfxImpact3D.gd；根节点=VfxImpact3D(Node3D)；FX编号 FX01-02；调用方：Projectile3D._spawn_effect(VfxPool3D.FX01_IMPACT, …) 传 hit_context={"normal":…, "position":…}；Enemy3D / PlayerMeleeCombat3D 亦经 VfxPool3D 路由；验收：verify_combat_vfx_toon_v002。注：旧版备注中的 ..._v001.tscn 路径已废弃。</t>
        </is>
      </c>
    </row>
    <row r="10" ht="15" customHeight="1" s="52">
      <c r="A10" s="100" t="inlineStr">
        <is>
          <t>FX01-03</t>
        </is>
      </c>
      <c r="B10" s="101" t="inlineStr">
        <is>
          <t>VFX-EXPLOSION-3D</t>
        </is>
      </c>
      <c r="C10" s="51" t="inlineStr">
        <is>
          <t>爆炸特效</t>
        </is>
      </c>
      <c r="D10" s="101" t="inlineStr">
        <is>
          <t>assets/art/vfx/combat_3d/vfx_explosion_root_top3d.tscn</t>
        </is>
      </c>
      <c r="G10" s="51" t="inlineStr">
        <is>
          <t>范围爆炸；1 SphereMesh 核心 + 2 TorusMesh 冲击波环（径向波 + 二次环）；参数 effect_color / effect_size。</t>
        </is>
      </c>
      <c r="H10" s="101" t="inlineStr">
        <is>
          <t>src/vfx/VfxExplosion3D.gd</t>
        </is>
      </c>
      <c r="I10" s="51" t="inlineStr">
        <is>
          <t>无</t>
        </is>
      </c>
      <c r="J10" s="51" t="inlineStr">
        <is>
          <t>无</t>
        </is>
      </c>
      <c r="K10" s="51" t="inlineStr">
        <is>
          <t>无</t>
        </is>
      </c>
      <c r="L10" s="51" t="inlineStr">
        <is>
          <t>约 0.42m 核心 → 0.82m 外环；lifetime 0.46s</t>
        </is>
      </c>
      <c r="M10" s="51" t="inlineStr">
        <is>
          <t>原点=根节点中心；朝向=local -Z 正面</t>
        </is>
      </c>
      <c r="N10" s="51" t="inlineStr">
        <is>
          <t>爆炸弹/范围武器</t>
        </is>
      </c>
      <c r="O10" s="51" t="inlineStr">
        <is>
          <t>完成</t>
        </is>
      </c>
      <c r="P10" s="101" t="inlineStr">
        <is>
          <t>v001</t>
        </is>
      </c>
      <c r="Q10" s="51" t="inlineStr">
        <is>
          <t>已实装；Prefab=assets/art/vfx/combat_3d/vfx_explosion_root_top3d_v001.tscn + 脚本=src/vfx/VfxExplosion3D.gd；根节点=VfxExplosion3D(Node3D)；FX编号 FX01-03；调用方：PlayerMeleeCombat3D/Enemy3D 经 VfxPool3D 路由</t>
        </is>
      </c>
    </row>
    <row r="11" ht="15" customHeight="1" s="52">
      <c r="A11" s="100" t="inlineStr">
        <is>
          <t>FX01-04</t>
        </is>
      </c>
      <c r="B11" s="101" t="inlineStr">
        <is>
          <t>VFX-MELEE-SLASH-3D</t>
        </is>
      </c>
      <c r="C11" s="51" t="inlineStr">
        <is>
          <t>近战挥砍弧特效</t>
        </is>
      </c>
      <c r="D11" s="101" t="inlineStr">
        <is>
          <t>assets/art/vfx/combat_3d/vfx_melee_slash_root_top3d.tscn</t>
        </is>
      </c>
      <c r="G11" s="51" t="inlineStr">
        <is>
          <t>近战挥砍时的弧光；SurfaceTool 自定义三角扇形 + 顶点 alpha 渐隐；连段 1/2/3 通过 effect_size 和方向区分。</t>
        </is>
      </c>
      <c r="H11" s="101" t="inlineStr">
        <is>
          <t>src/vfx/VfxMeleeSlash3D.gd</t>
        </is>
      </c>
      <c r="I11" s="51" t="inlineStr">
        <is>
          <t>无</t>
        </is>
      </c>
      <c r="J11" s="51" t="inlineStr">
        <is>
          <t>无</t>
        </is>
      </c>
      <c r="K11" s="51" t="inlineStr">
        <is>
          <t>无</t>
        </is>
      </c>
      <c r="L11" s="51" t="inlineStr">
        <is>
          <t>内径 0.78m / 外径 1.42m；lifetime 0.28s</t>
        </is>
      </c>
      <c r="M11" s="51" t="inlineStr">
        <is>
          <t>原点=根节点中心；朝向=local -Z 正面</t>
        </is>
      </c>
      <c r="N11" s="51" t="inlineStr">
        <is>
          <t>棒球棍/巨刃/战斧挥砍（近战 3 武器）</t>
        </is>
      </c>
      <c r="O11" s="51" t="inlineStr">
        <is>
          <t>完成</t>
        </is>
      </c>
      <c r="P11" s="101" t="inlineStr">
        <is>
          <t>v001</t>
        </is>
      </c>
      <c r="Q11" s="51" t="inlineStr">
        <is>
          <t>已实装；Prefab=assets/art/vfx/combat_3d/vfx_melee_slash_root_top3d_v001.tscn + 脚本=src/vfx/VfxMeleeSlash3D.gd；根节点=VfxMeleeSlash3D(Node3D)；FX编号 FX01-04；调用方：PlayerMeleeCombat3D/Enemy3D 经 VfxPool3D 路由</t>
        </is>
      </c>
    </row>
    <row r="12" ht="15" customHeight="1" s="52">
      <c r="A12" s="100" t="inlineStr">
        <is>
          <t>FX01-05</t>
        </is>
      </c>
      <c r="B12" s="101" t="inlineStr">
        <is>
          <t>VFX-MELEE-IMPACT-3D</t>
        </is>
      </c>
      <c r="C12" s="51" t="inlineStr">
        <is>
          <t>近战命中爆点特效</t>
        </is>
      </c>
      <c r="D12" s="101" t="inlineStr">
        <is>
          <t>assets/art/vfx/combat_3d/vfx_melee_impact_root_top3d.tscn</t>
        </is>
      </c>
      <c r="G12" s="51" t="inlineStr">
        <is>
          <t>近战命中目标时的爆点；1 SphereMesh 核心 + 2 TorusMesh 环 + 6 BoxMesh 飞散碎片；逐目标独立爆点。</t>
        </is>
      </c>
      <c r="H12" s="101" t="inlineStr">
        <is>
          <t>src/vfx/VfxMeleeImpact3D.gd</t>
        </is>
      </c>
      <c r="I12" s="51" t="inlineStr">
        <is>
          <t>无</t>
        </is>
      </c>
      <c r="J12" s="51" t="inlineStr">
        <is>
          <t>无</t>
        </is>
      </c>
      <c r="K12" s="51" t="inlineStr">
        <is>
          <t>无</t>
        </is>
      </c>
      <c r="L12" s="51" t="inlineStr">
        <is>
          <t>约 0.19m 核心；lifetime 0.32s</t>
        </is>
      </c>
      <c r="M12" s="51" t="inlineStr">
        <is>
          <t>原点=根节点中心；朝向=local -Z 正面</t>
        </is>
      </c>
      <c r="N12" s="51" t="inlineStr">
        <is>
          <t>近战命中爆点（连段 1/2/3 各 1 次）</t>
        </is>
      </c>
      <c r="O12" s="51" t="inlineStr">
        <is>
          <t>完成</t>
        </is>
      </c>
      <c r="P12" s="101" t="inlineStr">
        <is>
          <t>v001</t>
        </is>
      </c>
      <c r="Q12" s="51" t="inlineStr">
        <is>
          <t>已实装；Prefab=assets/art/vfx/combat_3d/vfx_melee_impact_root_top3d_v001.tscn + 脚本=src/vfx/VfxMeleeImpact3D.gd；根节点=VfxMeleeImpact3D(Node3D)；FX编号 FX01-05；调用方：PlayerMeleeCombat3D/Enemy3D 经 VfxPool3D 路由</t>
        </is>
      </c>
    </row>
    <row r="13" ht="15" customHeight="1" s="52">
      <c r="A13" s="100" t="inlineStr">
        <is>
          <t>FX01-06</t>
        </is>
      </c>
      <c r="B13" s="101" t="inlineStr">
        <is>
          <t>VFX-BULLET-VISUAL-3D</t>
        </is>
      </c>
      <c r="C13" s="51" t="inlineStr">
        <is>
          <t>飞行子弹纯视觉特效</t>
        </is>
      </c>
      <c r="D13" s="101" t="inlineStr">
        <is>
          <t>assets/art/vfx/combat_3d/vfx_bullet_visual_root_top3d.tscn</t>
        </is>
      </c>
      <c r="G13" s="51" t="inlineStr">
        <is>
          <t>飞行中子弹的纯视觉表现（卡通 v002 风格同族）：铂金亮芯胶囊 + 弹色半透明外壳 + 沿弹道拖尾锥（CylinderMesh top_radius=0，宽端贴弹体、尖端向身后） + 每弹一盏 OmniLight3D（名 ProjectileLight，shadow_enabled=false，light_energy 1.2、omni_range 1.8）。由 Projectile3D 作为子节点持有，生命周期随宿主（ProjectilePool3D），不进 VfxPool 自动计时，避免双池 ownership。</t>
        </is>
      </c>
      <c r="H13" s="101" t="inlineStr">
        <is>
          <t>src/vfx/VfxBulletVisual3D.gd</t>
        </is>
      </c>
      <c r="I13" s="51" t="inlineStr">
        <is>
          <t>无</t>
        </is>
      </c>
      <c r="J13" s="51" t="inlineStr">
        <is>
          <t>无</t>
        </is>
      </c>
      <c r="K13" s="51" t="inlineStr">
        <is>
          <t>无</t>
        </is>
      </c>
      <c r="L13" s="51" t="inlineStr">
        <is>
          <t>弹芯 CapsuleMesh r=0.045/h=0.20；外壳 r=0.075/h=0.18；拖尾锥底半径 0.06/长 0.5；灯 range 1.8m</t>
        </is>
      </c>
      <c r="M13" s="51" t="inlineStr">
        <is>
          <t>原点=宿主原点（local position 保持 0，随 Projectile3D 变换）；朝向=弹体沿 local -Z，拖尾向 local +Z（身后）</t>
        </is>
      </c>
      <c r="N13" s="51" t="inlineStr">
        <is>
          <t>玩家/敌人飞行子弹（远程 7 枪 + 各类投射物）</t>
        </is>
      </c>
      <c r="O13" s="51" t="inlineStr">
        <is>
          <t>已完成</t>
        </is>
      </c>
      <c r="P13" s="101" t="inlineStr">
        <is>
          <t>v001</t>
        </is>
      </c>
      <c r="Q13" s="51" t="inlineStr">
        <is>
          <t>已实装；Prefab=assets/art/vfx/combat_3d/vfx_bullet_visual_root_top3d.tscn + 脚本=src/vfx/VfxBulletVisual3D.gd；根节点=VfxBulletVisual3D(Node3D)；FX编号 FX01-06；调用方：Projectile3D._build_visual() 实例化为子节点并委托 activate/deactivate/apply_growth/set_trail_visible；碰撞由 Projectile3D 自持（半径 0.12 球），本视觉 Prefab 内无碰撞体；验收：verify_combat_vfx_toon_v002。</t>
        </is>
      </c>
    </row>
    <row r="14" ht="15" customHeight="1" s="52">
      <c r="A14" s="100" t="inlineStr">
        <is>
          <t>FX01-07</t>
        </is>
      </c>
      <c r="B14" s="101" t="inlineStr">
        <is>
          <t>VFX-SHELL-CASING-3D</t>
        </is>
      </c>
      <c r="C14" s="51" t="inlineStr">
        <is>
          <t>抛壳落地特效</t>
        </is>
      </c>
      <c r="D14" s="101" t="inlineStr">
        <is>
          <t>assets/art/vfx/combat_3d/vfx_shell_casing_root_top3d.tscn</t>
        </is>
      </c>
      <c r="G14" s="51" t="inlineStr">
        <is>
          <t>枪械开火时从枪械右侧飞出的弹壳：黄铜色圆柱弹壳 + 底缘圆环 + 底火；由 VfxPool3D 按 AssetID 路由。弹壳脱离武器挂点进入世界空间，程序化重力 9.8m/s² 下落。【模拟碰撞】落地为纯程序化模拟碰撞（解析式越线判定，不做物理射线/空间查询，Prefab 无碰撞体）：弹壳中心越过「地面高度 + 贴地半径」即触地；运动三阶段 飞行(含弹跳) → 贴地滚动 → 躺平静止；触地带挤压包络。手感参数：恢复系数 0.32 / 地面摩擦 0.42 / 自旋保留 0.68 / 最多 2 次弹跳 / 滚动衰减 3.4。视觉尺寸缩到原基准 80%，寿命 3.2s 回收。PBR 定档（2026-09-22）：金属度 metallic=0.8、反光度（roughness）=0.6，三件统一，常量 SHELL_METALLIC / SHELL_ROUGHNESS。</t>
        </is>
      </c>
      <c r="H14" s="101" t="inlineStr">
        <is>
          <t>src/vfx/VfxShellCasing3D.gd</t>
        </is>
      </c>
      <c r="I14" s="51" t="inlineStr">
        <is>
          <t>无</t>
        </is>
      </c>
      <c r="J14" s="51" t="inlineStr">
        <is>
          <t>无</t>
        </is>
      </c>
      <c r="K14" s="51" t="inlineStr">
        <is>
          <t>程序化模拟碰撞（解析式越线，无物理引擎）</t>
        </is>
      </c>
      <c r="L14" s="51" t="inlineStr">
        <is>
          <t>视觉尺寸 80%（原基准 ×0.8）：壳体直径 0.046×2×0.8≈0.074m、底缘直径 0.058×2×0.8≈0.093m、长度 0.24×0.8=0.192m；弹出初速度右向 2.1m/s + 上抛 1.55m/s；lifetime 3.2s</t>
        </is>
      </c>
      <c r="M14" s="51" t="inlineStr">
        <is>
          <t>原点=弹壳中心；朝向=圆柱 local Y 为壳体长轴；出生点取 EjectionSocket/TacticalSocket</t>
        </is>
      </c>
      <c r="N14" s="51" t="inlineStr">
        <is>
          <t>玩家/敌人远程枪械开火反馈</t>
        </is>
      </c>
      <c r="O14" s="51" t="inlineStr">
        <is>
          <t>已完成</t>
        </is>
      </c>
      <c r="P14" s="101" t="inlineStr">
        <is>
          <t>v001</t>
        </is>
      </c>
      <c r="Q14" s="51" t="inlineStr">
        <is>
          <t>已实装；Prefab=assets/art/vfx/combat_3d/vfx_shell_casing_root_top3d.tscn；脚本=src/vfx/VfxShellCasing3D.gd；根节点=VfxShellCasing3D(Node3D)；FX编号 FX01-07；调用方=WeaponModel3D._fire_now → _spawn_shell_casing；纯视觉无碰撞体，落地由现有物理射线或 floor_y 兜底；验收=verify_combat_vfx_toon_v002，含端到端右侧抛壳与反向对照。 PBR：metallic=0.8 / roughness=0.6（常量 SHELL_METALLIC / SHELL_ROUGHNESS）；验收读已挂载材质真值（非常量回读）并附反向对照。 【模拟碰撞】落地已由「物理射线/floor_y 兜底」改为**解析式模拟碰撞**（脚本内无任何物理 API，验收有源码级静态门禁）；尺寸缩到原基准 80%；贴地半径取三件最大径向半展 0.058（底缘 outer_radius）。⚠️ floor_y 必须由调用方按真实世界给（塔楼 98F ≈ -1176m），禁以 0 兜底，调用方=WeaponModel3D._resolve_shell_floor_y(shooter)（取射击者站立面）。验收 samples=14，含非零楼层端到端与弹壳出生于抛壳挂点断言；真渲染探针 probe_shell_casing_visual（3 机位）。</t>
        </is>
      </c>
    </row>
    <row r="15" ht="15" customHeight="1" s="52">
      <c r="A15" s="103" t="inlineStr">
        <is>
          <t>▼ 02 受击飘字</t>
        </is>
      </c>
      <c r="B15" s="92" t="n"/>
      <c r="C15" s="92" t="n"/>
      <c r="D15" s="92" t="n"/>
      <c r="E15" s="92" t="n"/>
      <c r="F15" s="92" t="n"/>
      <c r="G15" s="92" t="n"/>
      <c r="H15" s="102" t="n"/>
      <c r="I15" s="92" t="n"/>
      <c r="J15" s="92" t="n"/>
      <c r="K15" s="92" t="n"/>
      <c r="L15" s="92" t="n"/>
      <c r="M15" s="92" t="n"/>
      <c r="N15" s="92" t="n"/>
      <c r="O15" s="92" t="n"/>
      <c r="P15" s="92" t="n"/>
      <c r="Q15" s="92" t="n"/>
    </row>
    <row r="16" ht="15" customHeight="1" s="52">
      <c r="A16" s="100" t="inlineStr">
        <is>
          <t>FX02-01</t>
        </is>
      </c>
      <c r="B16" s="101" t="inlineStr">
        <is>
          <t>VFX-DAMAGE-NUMBER-3D</t>
        </is>
      </c>
      <c r="C16" s="51" t="inlineStr">
        <is>
          <t>伤害数字飘字特效</t>
        </is>
      </c>
      <c r="D16" s="101" t="inlineStr">
        <is>
          <t>assets/art/vfx/combat_3d/vfx_damage_number_root_top3d.tscn</t>
        </is>
      </c>
      <c r="G16" s="51" t="inlineStr">
        <is>
          <t>受击伤害数字上升飘字；Label3D + 黑边 + 颜色编码（红/橙/暴击金）；参数 effect_color + context.text_value。</t>
        </is>
      </c>
      <c r="H16" s="101" t="inlineStr">
        <is>
          <t>src/vfx/VfxDamageNumber3D.gd</t>
        </is>
      </c>
      <c r="I16" s="51" t="inlineStr">
        <is>
          <t>无</t>
        </is>
      </c>
      <c r="J16" s="51" t="inlineStr">
        <is>
          <t>无</t>
        </is>
      </c>
      <c r="K16" s="51" t="inlineStr">
        <is>
          <t>无</t>
        </is>
      </c>
      <c r="L16" s="101" t="inlineStr">
        <is>
          <t>Label3D pixel_size=0.010；lifetime 0.72s</t>
        </is>
      </c>
      <c r="M16" s="51" t="inlineStr">
        <is>
          <t>原点=根节点中心；朝向=local -Z 正面</t>
        </is>
      </c>
      <c r="N16" s="51" t="inlineStr">
        <is>
          <t>玩家/敌人受击伤害显示</t>
        </is>
      </c>
      <c r="O16" s="51" t="inlineStr">
        <is>
          <t>完成</t>
        </is>
      </c>
      <c r="P16" s="101" t="inlineStr">
        <is>
          <t>v001</t>
        </is>
      </c>
      <c r="Q16" s="51" t="inlineStr">
        <is>
          <t>已实装；Prefab=assets/art/vfx/combat_3d/vfx_damage_number_root_top3d_v001.tscn + 脚本=src/vfx/VfxDamageNumber3D.gd；根节点=VfxDamageNumber3D(Node3D)；FX编号 FX02-01；调用方：Enemy3D._spawn_damage_number 经 VfxPool3D 路由；接受 context.text_value</t>
        </is>
      </c>
    </row>
    <row r="17" ht="15" customHeight="1" s="52">
      <c r="A17" s="100" t="inlineStr">
        <is>
          <t>FX02-02</t>
        </is>
      </c>
      <c r="B17" s="101" t="inlineStr">
        <is>
          <t>VFX-HEAL-NUMBER-3D</t>
        </is>
      </c>
      <c r="C17" s="51" t="inlineStr">
        <is>
          <t>治疗数字飘字特效</t>
        </is>
      </c>
      <c r="D17" s="101" t="inlineStr">
        <is>
          <t>assets/art/vfx/combat_3d/vfx_heal_number_root_top3d.tscn</t>
        </is>
      </c>
      <c r="G17" s="51" t="inlineStr">
        <is>
          <t>治疗/恢复数字上升飘字；Label3D + 绿色调（+ 白色描边）；参数 context.text_value。</t>
        </is>
      </c>
      <c r="H17" s="101" t="inlineStr">
        <is>
          <t>src/vfx/VfxHealNumber3D.gd</t>
        </is>
      </c>
      <c r="I17" s="51" t="inlineStr">
        <is>
          <t>无</t>
        </is>
      </c>
      <c r="J17" s="51" t="inlineStr">
        <is>
          <t>无</t>
        </is>
      </c>
      <c r="K17" s="51" t="inlineStr">
        <is>
          <t>无</t>
        </is>
      </c>
      <c r="L17" s="101" t="inlineStr">
        <is>
          <t>Label3D pixel_size=0.010；lifetime 0.72s</t>
        </is>
      </c>
      <c r="M17" s="51" t="inlineStr">
        <is>
          <t>原点=根节点中心；朝向=local -Z 正面</t>
        </is>
      </c>
      <c r="N17" s="51" t="inlineStr">
        <is>
          <t>玩家/队友治疗显示</t>
        </is>
      </c>
      <c r="O17" s="51" t="inlineStr">
        <is>
          <t>完成</t>
        </is>
      </c>
      <c r="P17" s="101" t="inlineStr">
        <is>
          <t>v001</t>
        </is>
      </c>
      <c r="Q17" s="51" t="inlineStr">
        <is>
          <t>已实装；Prefab=assets/art/vfx/combat_3d/vfx_heal_number_root_top3d_v001.tscn + 脚本=src/vfx/VfxHealNumber3D.gd；根节点=VfxHealNumber3D(Node3D)；FX编号 FX02-02；调用方：Enemy3D._spawn_damage_number 经 VfxPool3D 路由；接受 context.text_value</t>
        </is>
      </c>
    </row>
    <row r="18" ht="15" customHeight="1" s="52">
      <c r="A18" s="103" t="inlineStr">
        <is>
          <t>▼ 03 环境场</t>
        </is>
      </c>
      <c r="B18" s="92" t="n"/>
      <c r="C18" s="92" t="n"/>
      <c r="D18" s="92" t="n"/>
      <c r="E18" s="92" t="n"/>
      <c r="F18" s="92" t="n"/>
      <c r="G18" s="92" t="n"/>
      <c r="H18" s="102" t="n"/>
      <c r="I18" s="92" t="n"/>
      <c r="J18" s="92" t="n"/>
      <c r="K18" s="92" t="n"/>
      <c r="L18" s="92" t="n"/>
      <c r="M18" s="92" t="n"/>
      <c r="N18" s="92" t="n"/>
      <c r="O18" s="92" t="n"/>
      <c r="P18" s="92" t="n"/>
      <c r="Q18" s="92" t="n"/>
    </row>
    <row r="19" ht="15" customHeight="1" s="52">
      <c r="A19" s="100" t="inlineStr">
        <is>
          <t>FX03-01</t>
        </is>
      </c>
      <c r="B19" s="101" t="inlineStr">
        <is>
          <t>VFX-HAZARD-FIELD-3D</t>
        </is>
      </c>
      <c r="C19" s="51" t="inlineStr">
        <is>
          <t>房间危险场3D特效</t>
        </is>
      </c>
      <c r="D19" s="101" t="inlineStr">
        <is>
          <t>assets/art/vfx/environment_3d/vfx_hazard_field_root_top3d.tscn</t>
        </is>
      </c>
      <c r="G19" s="51" t="inlineStr">
        <is>
          <t>房间危险场 Area3D 特效；脚本生成的环形危险区域；触发时产生伤害 + 视觉脉冲。</t>
        </is>
      </c>
      <c r="H19" s="101" t="inlineStr">
        <is>
          <t>src/world3d/HazardField3D.gd</t>
        </is>
      </c>
      <c r="I19" s="51" t="inlineStr">
        <is>
          <t>开</t>
        </is>
      </c>
      <c r="J19" s="101" t="inlineStr">
        <is>
          <t>Prefab自身</t>
        </is>
      </c>
      <c r="K19" s="51" t="inlineStr">
        <is>
          <t>脚本生成</t>
        </is>
      </c>
      <c r="L19" s="101" t="inlineStr">
        <is>
          <t>PackedScene/程序环形特效</t>
        </is>
      </c>
      <c r="M19" s="51" t="inlineStr">
        <is>
          <t>未声明</t>
        </is>
      </c>
      <c r="N19" s="51" t="inlineStr">
        <is>
          <t>陷阱房</t>
        </is>
      </c>
      <c r="O19" s="51" t="inlineStr">
        <is>
          <t>完成</t>
        </is>
      </c>
      <c r="P19" s="101" t="inlineStr">
        <is>
          <t>v001</t>
        </is>
      </c>
      <c r="Q19" s="51" t="inlineStr">
        <is>
          <t>已实装；命名待 14.6 §6 迁移时对齐（改名 VfxHazardField3D + 移至 src/vfx/）</t>
        </is>
      </c>
    </row>
    <row r="20" ht="15" customHeight="1" s="52">
      <c r="A20" s="103" t="inlineStr">
        <is>
          <t>▼ 04 可见性</t>
        </is>
      </c>
      <c r="B20" s="92" t="n"/>
      <c r="C20" s="92" t="n"/>
      <c r="D20" s="92" t="n"/>
      <c r="E20" s="92" t="n"/>
      <c r="F20" s="92" t="n"/>
      <c r="G20" s="92" t="n"/>
      <c r="H20" s="102" t="n"/>
      <c r="I20" s="92" t="n"/>
      <c r="J20" s="92" t="n"/>
      <c r="K20" s="92" t="n"/>
      <c r="L20" s="92" t="n"/>
      <c r="M20" s="92" t="n"/>
      <c r="N20" s="92" t="n"/>
      <c r="O20" s="92" t="n"/>
      <c r="P20" s="92" t="n"/>
      <c r="Q20" s="92" t="n"/>
    </row>
    <row r="21" ht="15" customHeight="1" s="52">
      <c r="A21" s="100" t="inlineStr">
        <is>
          <t>FX04-01</t>
        </is>
      </c>
      <c r="B21" s="101" t="inlineStr">
        <is>
          <t>VFX-PLAYER-FLASHLIGHT-3D</t>
        </is>
      </c>
      <c r="C21" s="51" t="inlineStr">
        <is>
          <t>玩家真实探照灯组件3D</t>
        </is>
      </c>
      <c r="D21" s="101" t="inlineStr">
        <is>
          <t>assets/art/vfx/visibility_3d/vfx_player_flashlight_root_top3d.tscn</t>
        </is>
      </c>
      <c r="G21" s="51" t="inlineStr">
        <is>
          <t>玩家真实探照灯 Node3D 组件；2 SpotLight3D + 1 OmniLight3D 组合；3D 行动区/靶场/基地覆盖。</t>
        </is>
      </c>
      <c r="H21" s="101" t="inlineStr">
        <is>
          <t>src/player3d/PlayerFlashlight3D.gd</t>
        </is>
      </c>
      <c r="I21" s="51" t="inlineStr">
        <is>
          <t>无</t>
        </is>
      </c>
      <c r="J21" s="51" t="inlineStr">
        <is>
          <t>无</t>
        </is>
      </c>
      <c r="K21" s="51" t="inlineStr">
        <is>
          <t>无</t>
        </is>
      </c>
      <c r="L21" s="101" t="inlineStr">
        <is>
          <t>PackedScene/2 SpotLight3D+1 OmniLight3D</t>
        </is>
      </c>
      <c r="M21" s="51" t="inlineStr">
        <is>
          <t>未声明</t>
        </is>
      </c>
      <c r="N21" s="101" t="inlineStr">
        <is>
          <t>3D行动区/靶场/基地</t>
        </is>
      </c>
      <c r="O21" s="51" t="inlineStr">
        <is>
          <t>完成</t>
        </is>
      </c>
      <c r="P21" s="101" t="inlineStr">
        <is>
          <t>v001</t>
        </is>
      </c>
      <c r="Q21" s="51" t="inlineStr">
        <is>
          <t>已实装；命名待 14.6 §6 迁移时对齐（改名 VfxPlayerFlashlight3D + 移至 src/vfx/）</t>
        </is>
      </c>
    </row>
    <row r="22" ht="18" customHeight="1" s="52">
      <c r="A22" s="103" t="inlineStr">
        <is>
          <t>▼ 03 环境场（续）</t>
        </is>
      </c>
      <c r="B22" s="92" t="n"/>
      <c r="C22" s="92" t="n"/>
      <c r="D22" s="92" t="n"/>
      <c r="E22" s="92" t="n"/>
      <c r="F22" s="92" t="n"/>
      <c r="G22" s="92" t="n"/>
      <c r="H22" s="10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</row>
    <row r="23" ht="144" customHeight="1" s="52">
      <c r="A23" s="106" t="inlineStr">
        <is>
          <t>FX03-02</t>
        </is>
      </c>
      <c r="B23" s="107" t="inlineStr">
        <is>
          <t>VFX-ENV-CLOUD-SEA-3D</t>
        </is>
      </c>
      <c r="C23" s="108" t="inlineStr">
        <is>
          <t>主塔柔软体积云海与漂浮小云</t>
        </is>
      </c>
      <c r="D23" s="107" t="inlineStr">
        <is>
          <t>assets/art/vfx/environment_3d/cloud_sea/vfx_env_cloud_sea_root_top3d.tscn</t>
        </is>
      </c>
      <c r="E23" s="109" t="n"/>
      <c r="F23" s="109" t="n"/>
      <c r="G23" s="108" t="inlineStr">
        <is>
          <t>室外常驻连续云海、下沉雾层、柔软漂浮小云</t>
        </is>
      </c>
      <c r="H23" s="107" t="inlineStr">
        <is>
          <t>src/vfx/VfxCloudSea3D.gd</t>
        </is>
      </c>
      <c r="I23" s="108" t="inlineStr">
        <is>
          <t>无</t>
        </is>
      </c>
      <c r="J23" s="107" t="inlineStr">
        <is>
          <t>无</t>
        </is>
      </c>
      <c r="K23" s="108" t="inlineStr">
        <is>
          <t>无</t>
        </is>
      </c>
      <c r="L23" s="107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M23" s="108" t="inlineStr">
        <is>
          <t>项目原创Shader/三维程序密度；gpt-image-2原创灰度云贴图，用户参考图仅作风格参考</t>
        </is>
      </c>
      <c r="N23" s="108" t="inlineStr">
        <is>
          <t>主塔与周围大楼99F以下的室外空间</t>
        </is>
      </c>
      <c r="O23" s="108" t="inlineStr">
        <is>
          <t>正式美术已接入</t>
        </is>
      </c>
      <c r="P23" s="107" t="inlineStr">
        <is>
          <t>v002</t>
        </is>
      </c>
      <c r="Q23" s="108" t="inlineStr">
        <is>
          <t>源：assets/art/vfx/environment_3d/cloud_sea/source/v002；Manifest：assets/art/vfx/environment_3d/cloud_sea/asset_manifest.json；v002品质优先版，尚未专项优化。主场景OutdoorClouds持有；主塔全高度禁云，700建筑边界遮罩随最新布局重烘焙。实际天台520m及99F145m视距均验证云可见、亮部有余量；GPU实际纹理采样、暂停、60秒流动、失效遮罩拒绝通过。原AssetID升级，不新增行。</t>
        </is>
      </c>
    </row>
    <row r="24" ht="15" customHeight="1" s="52">
      <c r="H24" s="101" t="n"/>
      <c r="I24" s="51" t="n"/>
      <c r="N24" s="51" t="n"/>
    </row>
    <row r="25" ht="15" customHeight="1" s="52">
      <c r="H25" s="101" t="n"/>
      <c r="I25" s="51" t="n"/>
      <c r="N25" s="51" t="n"/>
    </row>
    <row r="26" ht="15" customHeight="1" s="52">
      <c r="H26" s="101" t="n"/>
      <c r="I26" s="51" t="n"/>
      <c r="N26" s="51" t="n"/>
    </row>
    <row r="27" ht="15" customHeight="1" s="52">
      <c r="H27" s="101" t="n"/>
      <c r="I27" s="51" t="n"/>
      <c r="N27" s="51" t="n"/>
    </row>
    <row r="28" ht="15" customHeight="1" s="52">
      <c r="H28" s="101" t="n"/>
      <c r="I28" s="51" t="n"/>
      <c r="N28" s="51" t="n"/>
    </row>
    <row r="29" ht="15" customHeight="1" s="52">
      <c r="H29" s="101" t="n"/>
      <c r="I29" s="51" t="n"/>
      <c r="N29" s="51" t="n"/>
    </row>
    <row r="30" ht="15" customHeight="1" s="52">
      <c r="H30" s="101" t="n"/>
      <c r="I30" s="51" t="n"/>
      <c r="N30" s="51" t="n"/>
    </row>
    <row r="31" ht="15" customHeight="1" s="52">
      <c r="H31" s="101" t="n"/>
      <c r="I31" s="51" t="n"/>
      <c r="N31" s="51" t="n"/>
    </row>
    <row r="32" ht="15" customHeight="1" s="52">
      <c r="H32" s="101" t="n"/>
      <c r="I32" s="51" t="n"/>
      <c r="N32" s="51" t="n"/>
    </row>
    <row r="33" ht="15" customHeight="1" s="52">
      <c r="H33" s="101" t="n"/>
      <c r="I33" s="51" t="n"/>
      <c r="N33" s="51" t="n"/>
    </row>
    <row r="34" ht="15" customHeight="1" s="52">
      <c r="H34" s="101" t="n"/>
      <c r="I34" s="51" t="n"/>
      <c r="N34" s="51" t="n"/>
    </row>
    <row r="35" ht="15" customHeight="1" s="52">
      <c r="H35" s="101" t="n"/>
      <c r="I35" s="51" t="n"/>
      <c r="N35" s="51" t="n"/>
    </row>
    <row r="36" ht="15" customHeight="1" s="52">
      <c r="H36" s="101" t="n"/>
      <c r="I36" s="51" t="n"/>
      <c r="N36" s="51" t="n"/>
    </row>
    <row r="37" ht="15" customHeight="1" s="52">
      <c r="H37" s="101" t="n"/>
      <c r="I37" s="51" t="n"/>
      <c r="N37" s="51" t="n"/>
    </row>
    <row r="38" ht="15" customHeight="1" s="52">
      <c r="H38" s="101" t="n"/>
      <c r="I38" s="51" t="n"/>
      <c r="N38" s="51" t="n"/>
    </row>
    <row r="39" ht="15" customHeight="1" s="52">
      <c r="H39" s="101" t="n"/>
      <c r="I39" s="51" t="n"/>
      <c r="N39" s="51" t="n"/>
    </row>
    <row r="40" ht="15" customHeight="1" s="52">
      <c r="H40" s="101" t="n"/>
      <c r="I40" s="51" t="n"/>
      <c r="N40" s="51" t="n"/>
    </row>
    <row r="41" ht="15" customHeight="1" s="52">
      <c r="H41" s="101" t="n"/>
      <c r="I41" s="51" t="n"/>
      <c r="N41" s="51" t="n"/>
    </row>
    <row r="42" ht="15" customHeight="1" s="52">
      <c r="H42" s="101" t="n"/>
      <c r="I42" s="51" t="n"/>
      <c r="N42" s="51" t="n"/>
    </row>
    <row r="43" ht="15" customHeight="1" s="52">
      <c r="H43" s="101" t="n"/>
      <c r="I43" s="51" t="n"/>
      <c r="N43" s="51" t="n"/>
    </row>
    <row r="44" ht="15" customHeight="1" s="52">
      <c r="H44" s="101" t="n"/>
      <c r="I44" s="51" t="n"/>
      <c r="N44" s="51" t="n"/>
    </row>
    <row r="45" ht="15" customHeight="1" s="52">
      <c r="H45" s="101" t="n"/>
      <c r="I45" s="51" t="n"/>
      <c r="N45" s="51" t="n"/>
    </row>
    <row r="46" ht="15" customHeight="1" s="52">
      <c r="H46" s="101" t="n"/>
      <c r="I46" s="51" t="n"/>
      <c r="N46" s="51" t="n"/>
    </row>
    <row r="47" ht="15" customHeight="1" s="52">
      <c r="H47" s="101" t="n"/>
      <c r="I47" s="51" t="n"/>
      <c r="N47" s="51" t="n"/>
    </row>
    <row r="48" ht="15" customHeight="1" s="52">
      <c r="H48" s="101" t="n"/>
      <c r="I48" s="51" t="n"/>
      <c r="N48" s="51" t="n"/>
    </row>
    <row r="49" ht="15" customHeight="1" s="52">
      <c r="H49" s="101" t="n"/>
      <c r="I49" s="51" t="n"/>
      <c r="N49" s="51" t="n"/>
    </row>
    <row r="50" ht="15" customHeight="1" s="52">
      <c r="H50" s="101" t="n"/>
      <c r="I50" s="51" t="n"/>
      <c r="N50" s="51" t="n"/>
    </row>
    <row r="51" ht="15" customHeight="1" s="52">
      <c r="H51" s="101" t="n"/>
      <c r="I51" s="51" t="n"/>
      <c r="N51" s="51" t="n"/>
    </row>
    <row r="52" ht="15" customHeight="1" s="52">
      <c r="H52" s="101" t="n"/>
      <c r="I52" s="51" t="n"/>
      <c r="N52" s="51" t="n"/>
    </row>
    <row r="53" ht="15" customHeight="1" s="52">
      <c r="H53" s="101" t="n"/>
      <c r="I53" s="51" t="n"/>
      <c r="N53" s="51" t="n"/>
    </row>
    <row r="54" ht="15" customHeight="1" s="52">
      <c r="H54" s="101" t="n"/>
      <c r="I54" s="51" t="n"/>
      <c r="N54" s="51" t="n"/>
    </row>
    <row r="55" ht="15" customHeight="1" s="52">
      <c r="H55" s="101" t="n"/>
      <c r="I55" s="51" t="n"/>
      <c r="N55" s="51" t="n"/>
    </row>
    <row r="56" ht="15" customHeight="1" s="52">
      <c r="H56" s="101" t="n"/>
      <c r="I56" s="51" t="n"/>
      <c r="N56" s="51" t="n"/>
    </row>
    <row r="57" ht="15" customHeight="1" s="52">
      <c r="H57" s="101" t="n"/>
      <c r="I57" s="51" t="n"/>
      <c r="N57" s="51" t="n"/>
    </row>
    <row r="58" ht="15" customHeight="1" s="52">
      <c r="H58" s="101" t="n"/>
      <c r="I58" s="51" t="n"/>
      <c r="N58" s="51" t="n"/>
    </row>
    <row r="59" ht="15" customHeight="1" s="52">
      <c r="H59" s="101" t="n"/>
      <c r="I59" s="51" t="n"/>
      <c r="N59" s="51" t="n"/>
    </row>
    <row r="60" ht="15" customHeight="1" s="52">
      <c r="H60" s="101" t="n"/>
      <c r="I60" s="51" t="n"/>
      <c r="N60" s="51" t="n"/>
    </row>
    <row r="61" ht="15" customHeight="1" s="52">
      <c r="H61" s="101" t="n"/>
      <c r="I61" s="51" t="n"/>
      <c r="N61" s="51" t="n"/>
    </row>
    <row r="62" ht="15" customHeight="1" s="52">
      <c r="H62" s="101" t="n"/>
      <c r="I62" s="51" t="n"/>
      <c r="N62" s="51" t="n"/>
    </row>
    <row r="63" ht="15" customHeight="1" s="52">
      <c r="H63" s="101" t="n"/>
      <c r="I63" s="51" t="n"/>
      <c r="N63" s="51" t="n"/>
    </row>
    <row r="64" ht="15" customHeight="1" s="52">
      <c r="H64" s="101" t="n"/>
      <c r="I64" s="51" t="n"/>
      <c r="N64" s="51" t="n"/>
    </row>
    <row r="65" ht="15" customHeight="1" s="52">
      <c r="H65" s="101" t="n"/>
      <c r="I65" s="51" t="n"/>
      <c r="N65" s="51" t="n"/>
    </row>
    <row r="66" ht="15" customHeight="1" s="52">
      <c r="H66" s="101" t="n"/>
      <c r="I66" s="51" t="n"/>
      <c r="N66" s="51" t="n"/>
    </row>
    <row r="67" ht="15" customHeight="1" s="52">
      <c r="H67" s="101" t="n"/>
      <c r="I67" s="51" t="n"/>
      <c r="N67" s="51" t="n"/>
    </row>
    <row r="68" ht="15" customHeight="1" s="52">
      <c r="H68" s="101" t="n"/>
      <c r="I68" s="51" t="n"/>
      <c r="N68" s="51" t="n"/>
    </row>
    <row r="69" ht="15" customHeight="1" s="52">
      <c r="H69" s="101" t="n"/>
      <c r="I69" s="51" t="n"/>
      <c r="N69" s="51" t="n"/>
    </row>
    <row r="70" ht="15" customHeight="1" s="52">
      <c r="H70" s="101" t="n"/>
      <c r="I70" s="51" t="n"/>
      <c r="N70" s="51" t="n"/>
    </row>
    <row r="71" ht="15" customHeight="1" s="52">
      <c r="H71" s="101" t="n"/>
      <c r="I71" s="51" t="n"/>
      <c r="N71" s="51" t="n"/>
    </row>
    <row r="72" ht="15" customHeight="1" s="52">
      <c r="H72" s="101" t="n"/>
      <c r="I72" s="51" t="n"/>
      <c r="N72" s="51" t="n"/>
    </row>
    <row r="73" ht="15" customHeight="1" s="52">
      <c r="H73" s="101" t="n"/>
      <c r="I73" s="51" t="n"/>
      <c r="N73" s="51" t="n"/>
    </row>
    <row r="74" ht="15" customHeight="1" s="52">
      <c r="H74" s="101" t="n"/>
      <c r="I74" s="51" t="n"/>
      <c r="N74" s="51" t="n"/>
    </row>
    <row r="75" ht="15" customHeight="1" s="52">
      <c r="H75" s="101" t="n"/>
      <c r="I75" s="51" t="n"/>
      <c r="N75" s="51" t="n"/>
    </row>
    <row r="76" ht="15" customHeight="1" s="52">
      <c r="H76" s="101" t="n"/>
      <c r="I76" s="51" t="n"/>
      <c r="N76" s="51" t="n"/>
    </row>
    <row r="77" ht="15" customHeight="1" s="52">
      <c r="H77" s="101" t="n"/>
      <c r="I77" s="51" t="n"/>
      <c r="N77" s="51" t="n"/>
    </row>
    <row r="78" ht="15" customHeight="1" s="52">
      <c r="H78" s="101" t="n"/>
      <c r="I78" s="51" t="n"/>
      <c r="N78" s="51" t="n"/>
    </row>
    <row r="79" ht="15" customHeight="1" s="52">
      <c r="H79" s="101" t="n"/>
      <c r="I79" s="51" t="n"/>
      <c r="N79" s="51" t="n"/>
    </row>
    <row r="80" ht="15" customHeight="1" s="52">
      <c r="H80" s="101" t="n"/>
      <c r="I80" s="51" t="n"/>
      <c r="N80" s="51" t="n"/>
    </row>
    <row r="81" ht="15" customHeight="1" s="52">
      <c r="H81" s="101" t="n"/>
      <c r="I81" s="51" t="n"/>
      <c r="N81" s="51" t="n"/>
    </row>
    <row r="82" ht="15" customHeight="1" s="52">
      <c r="H82" s="101" t="n"/>
      <c r="I82" s="51" t="n"/>
      <c r="N82" s="51" t="n"/>
    </row>
    <row r="83" ht="15" customHeight="1" s="52">
      <c r="H83" s="101" t="n"/>
      <c r="I83" s="51" t="n"/>
      <c r="N83" s="51" t="n"/>
    </row>
    <row r="84" ht="15" customHeight="1" s="52">
      <c r="H84" s="101" t="n"/>
      <c r="I84" s="51" t="n"/>
      <c r="N84" s="51" t="n"/>
    </row>
    <row r="85" ht="15" customHeight="1" s="52">
      <c r="H85" s="101" t="n"/>
      <c r="I85" s="51" t="n"/>
      <c r="N85" s="51" t="n"/>
    </row>
    <row r="86" ht="15" customHeight="1" s="52">
      <c r="H86" s="101" t="n"/>
      <c r="I86" s="51" t="n"/>
      <c r="N86" s="51" t="n"/>
    </row>
    <row r="87" ht="15" customHeight="1" s="52">
      <c r="H87" s="101" t="n"/>
      <c r="I87" s="51" t="n"/>
      <c r="N87" s="51" t="n"/>
    </row>
    <row r="88" ht="15" customHeight="1" s="52">
      <c r="H88" s="101" t="n"/>
      <c r="I88" s="51" t="n"/>
      <c r="N88" s="51" t="n"/>
    </row>
    <row r="89" ht="15" customHeight="1" s="52">
      <c r="H89" s="101" t="n"/>
      <c r="I89" s="51" t="n"/>
      <c r="N89" s="51" t="n"/>
    </row>
    <row r="90" ht="15" customHeight="1" s="52">
      <c r="H90" s="101" t="n"/>
      <c r="I90" s="51" t="n"/>
      <c r="N90" s="51" t="n"/>
    </row>
    <row r="91" ht="15" customHeight="1" s="52">
      <c r="H91" s="101" t="n"/>
      <c r="I91" s="51" t="n"/>
      <c r="N91" s="51" t="n"/>
    </row>
    <row r="92" ht="15" customHeight="1" s="52">
      <c r="H92" s="101" t="n"/>
      <c r="I92" s="51" t="n"/>
      <c r="N92" s="51" t="n"/>
    </row>
    <row r="93" ht="15" customHeight="1" s="52">
      <c r="H93" s="101" t="n"/>
      <c r="I93" s="51" t="n"/>
      <c r="N93" s="51" t="n"/>
    </row>
    <row r="94" ht="15" customHeight="1" s="52">
      <c r="H94" s="101" t="n"/>
      <c r="I94" s="51" t="n"/>
      <c r="N94" s="51" t="n"/>
    </row>
    <row r="95" ht="15" customHeight="1" s="52">
      <c r="H95" s="101" t="n"/>
      <c r="I95" s="51" t="n"/>
      <c r="N95" s="51" t="n"/>
    </row>
    <row r="96" ht="15" customHeight="1" s="52">
      <c r="H96" s="101" t="n"/>
      <c r="I96" s="51" t="n"/>
      <c r="N96" s="51" t="n"/>
    </row>
    <row r="97" ht="15" customHeight="1" s="52">
      <c r="H97" s="101" t="n"/>
      <c r="I97" s="51" t="n"/>
      <c r="N97" s="51" t="n"/>
    </row>
    <row r="98" ht="15" customHeight="1" s="52">
      <c r="H98" s="101" t="n"/>
      <c r="I98" s="51" t="n"/>
      <c r="N98" s="51" t="n"/>
    </row>
    <row r="99" ht="15" customHeight="1" s="52">
      <c r="H99" s="101" t="n"/>
      <c r="I99" s="51" t="n"/>
      <c r="N99" s="51" t="n"/>
    </row>
    <row r="100" ht="15" customHeight="1" s="52">
      <c r="H100" s="101" t="n"/>
      <c r="I100" s="51" t="n"/>
      <c r="N100" s="51" t="n"/>
    </row>
    <row r="101" ht="15" customHeight="1" s="52">
      <c r="H101" s="101" t="n"/>
      <c r="I101" s="51" t="n"/>
      <c r="N101" s="51" t="n"/>
    </row>
    <row r="102" ht="15" customHeight="1" s="52">
      <c r="H102" s="101" t="n"/>
      <c r="I102" s="51" t="n"/>
      <c r="N102" s="51" t="n"/>
    </row>
    <row r="103" ht="15" customHeight="1" s="52">
      <c r="H103" s="101" t="n"/>
      <c r="I103" s="51" t="n"/>
      <c r="N103" s="51" t="n"/>
    </row>
    <row r="104" ht="15" customHeight="1" s="52">
      <c r="H104" s="101" t="n"/>
      <c r="I104" s="51" t="n"/>
      <c r="N104" s="51" t="n"/>
    </row>
    <row r="105" ht="15" customHeight="1" s="52">
      <c r="H105" s="101" t="n"/>
      <c r="I105" s="51" t="n"/>
      <c r="N105" s="51" t="n"/>
    </row>
    <row r="106" ht="15" customHeight="1" s="52">
      <c r="H106" s="101" t="n"/>
      <c r="I106" s="51" t="n"/>
      <c r="N106" s="51" t="n"/>
    </row>
    <row r="107" ht="15" customHeight="1" s="52">
      <c r="H107" s="101" t="n"/>
      <c r="I107" s="51" t="n"/>
      <c r="N107" s="51" t="n"/>
    </row>
    <row r="108" ht="15" customHeight="1" s="52">
      <c r="H108" s="101" t="n"/>
      <c r="I108" s="51" t="n"/>
      <c r="N108" s="51" t="n"/>
    </row>
    <row r="109" ht="15" customHeight="1" s="52">
      <c r="H109" s="101" t="n"/>
      <c r="I109" s="51" t="n"/>
      <c r="N109" s="51" t="n"/>
    </row>
    <row r="110" ht="15" customHeight="1" s="52">
      <c r="H110" s="101" t="n"/>
      <c r="I110" s="51" t="n"/>
      <c r="N110" s="51" t="n"/>
    </row>
    <row r="111" ht="15" customHeight="1" s="52">
      <c r="H111" s="101" t="n"/>
      <c r="I111" s="51" t="n"/>
      <c r="N111" s="51" t="n"/>
    </row>
    <row r="112" ht="15" customHeight="1" s="52">
      <c r="H112" s="101" t="n"/>
      <c r="I112" s="51" t="n"/>
      <c r="N112" s="51" t="n"/>
    </row>
    <row r="113" ht="15" customHeight="1" s="52">
      <c r="H113" s="101" t="n"/>
      <c r="I113" s="51" t="n"/>
      <c r="N113" s="51" t="n"/>
    </row>
    <row r="114" ht="15" customHeight="1" s="52">
      <c r="H114" s="101" t="n"/>
      <c r="I114" s="51" t="n"/>
      <c r="N114" s="51" t="n"/>
    </row>
    <row r="115" ht="15" customHeight="1" s="52">
      <c r="H115" s="101" t="n"/>
      <c r="I115" s="51" t="n"/>
      <c r="N115" s="51" t="n"/>
    </row>
    <row r="116" ht="15" customHeight="1" s="52">
      <c r="H116" s="101" t="n"/>
      <c r="I116" s="51" t="n"/>
      <c r="N116" s="51" t="n"/>
    </row>
    <row r="117" ht="15" customHeight="1" s="52">
      <c r="H117" s="101" t="n"/>
      <c r="I117" s="51" t="n"/>
      <c r="N117" s="51" t="n"/>
    </row>
    <row r="118" ht="15" customHeight="1" s="52">
      <c r="H118" s="101" t="n"/>
      <c r="I118" s="51" t="n"/>
      <c r="N118" s="51" t="n"/>
    </row>
    <row r="119" ht="15" customHeight="1" s="52">
      <c r="H119" s="101" t="n"/>
      <c r="I119" s="51" t="n"/>
      <c r="N119" s="51" t="n"/>
    </row>
    <row r="120" ht="15" customHeight="1" s="52">
      <c r="H120" s="101" t="n"/>
      <c r="I120" s="51" t="n"/>
      <c r="N120" s="51" t="n"/>
    </row>
    <row r="121" ht="15" customHeight="1" s="52">
      <c r="H121" s="101" t="n"/>
      <c r="I121" s="51" t="n"/>
      <c r="N121" s="51" t="n"/>
    </row>
    <row r="122" ht="15" customHeight="1" s="52">
      <c r="H122" s="101" t="n"/>
      <c r="I122" s="51" t="n"/>
      <c r="N122" s="51" t="n"/>
    </row>
    <row r="123" ht="15" customHeight="1" s="52">
      <c r="H123" s="101" t="n"/>
      <c r="I123" s="51" t="n"/>
      <c r="N123" s="51" t="n"/>
    </row>
    <row r="124" ht="15" customHeight="1" s="52">
      <c r="H124" s="101" t="n"/>
      <c r="I124" s="51" t="n"/>
      <c r="N124" s="51" t="n"/>
    </row>
    <row r="125" ht="15" customHeight="1" s="52">
      <c r="H125" s="101" t="n"/>
      <c r="I125" s="51" t="n"/>
      <c r="N125" s="51" t="n"/>
    </row>
    <row r="126" ht="15" customHeight="1" s="52">
      <c r="H126" s="101" t="n"/>
      <c r="I126" s="51" t="n"/>
      <c r="N126" s="51" t="n"/>
    </row>
    <row r="127" ht="15" customHeight="1" s="52">
      <c r="H127" s="101" t="n"/>
      <c r="I127" s="51" t="n"/>
      <c r="N127" s="51" t="n"/>
    </row>
    <row r="128" ht="15" customHeight="1" s="52">
      <c r="H128" s="101" t="n"/>
      <c r="I128" s="51" t="n"/>
      <c r="N128" s="51" t="n"/>
    </row>
    <row r="129" ht="15" customHeight="1" s="52">
      <c r="H129" s="101" t="n"/>
      <c r="I129" s="51" t="n"/>
      <c r="N129" s="51" t="n"/>
    </row>
    <row r="130" ht="15" customHeight="1" s="52">
      <c r="H130" s="101" t="n"/>
      <c r="I130" s="51" t="n"/>
      <c r="N130" s="51" t="n"/>
    </row>
    <row r="131" ht="15" customHeight="1" s="52">
      <c r="H131" s="101" t="n"/>
      <c r="I131" s="51" t="n"/>
      <c r="N131" s="51" t="n"/>
    </row>
    <row r="132" ht="15" customHeight="1" s="52">
      <c r="H132" s="101" t="n"/>
      <c r="I132" s="51" t="n"/>
      <c r="N132" s="51" t="n"/>
    </row>
    <row r="133" ht="15" customHeight="1" s="52">
      <c r="H133" s="101" t="n"/>
      <c r="I133" s="51" t="n"/>
      <c r="N133" s="51" t="n"/>
    </row>
    <row r="134" ht="15" customHeight="1" s="52">
      <c r="H134" s="101" t="n"/>
      <c r="I134" s="51" t="n"/>
      <c r="N134" s="51" t="n"/>
    </row>
    <row r="135" ht="15" customHeight="1" s="52">
      <c r="H135" s="101" t="n"/>
      <c r="I135" s="51" t="n"/>
      <c r="N135" s="51" t="n"/>
    </row>
    <row r="136" ht="15" customHeight="1" s="52">
      <c r="H136" s="101" t="n"/>
      <c r="I136" s="51" t="n"/>
      <c r="N136" s="51" t="n"/>
    </row>
    <row r="137" ht="15" customHeight="1" s="52">
      <c r="H137" s="101" t="n"/>
      <c r="I137" s="51" t="n"/>
      <c r="N137" s="51" t="n"/>
    </row>
    <row r="138" ht="15" customHeight="1" s="52">
      <c r="H138" s="101" t="n"/>
      <c r="I138" s="51" t="n"/>
      <c r="N138" s="51" t="n"/>
    </row>
    <row r="139" ht="15" customHeight="1" s="52">
      <c r="H139" s="101" t="n"/>
      <c r="I139" s="51" t="n"/>
      <c r="N139" s="51" t="n"/>
    </row>
    <row r="140" ht="15" customHeight="1" s="52">
      <c r="H140" s="101" t="n"/>
      <c r="I140" s="51" t="n"/>
      <c r="N140" s="51" t="n"/>
    </row>
    <row r="141" ht="15" customHeight="1" s="52">
      <c r="H141" s="101" t="n"/>
      <c r="I141" s="51" t="n"/>
      <c r="N141" s="51" t="n"/>
    </row>
    <row r="142" ht="15" customHeight="1" s="52">
      <c r="H142" s="101" t="n"/>
      <c r="I142" s="51" t="n"/>
      <c r="N142" s="51" t="n"/>
    </row>
    <row r="143" ht="15" customHeight="1" s="52">
      <c r="H143" s="101" t="n"/>
      <c r="I143" s="51" t="n"/>
      <c r="N143" s="51" t="n"/>
    </row>
    <row r="144" ht="15" customHeight="1" s="52">
      <c r="H144" s="101" t="n"/>
      <c r="I144" s="51" t="n"/>
      <c r="N144" s="51" t="n"/>
    </row>
    <row r="145" ht="15" customHeight="1" s="52">
      <c r="H145" s="101" t="n"/>
      <c r="I145" s="51" t="n"/>
      <c r="N145" s="51" t="n"/>
    </row>
    <row r="146" ht="15" customHeight="1" s="52">
      <c r="H146" s="101" t="n"/>
      <c r="I146" s="51" t="n"/>
      <c r="N146" s="51" t="n"/>
    </row>
    <row r="147" ht="15" customHeight="1" s="52">
      <c r="H147" s="101" t="n"/>
      <c r="I147" s="51" t="n"/>
      <c r="N147" s="51" t="n"/>
    </row>
    <row r="148" ht="15" customHeight="1" s="52">
      <c r="H148" s="101" t="n"/>
      <c r="I148" s="51" t="n"/>
      <c r="N148" s="51" t="n"/>
    </row>
    <row r="149" ht="15" customHeight="1" s="52">
      <c r="H149" s="101" t="n"/>
      <c r="I149" s="51" t="n"/>
      <c r="N149" s="51" t="n"/>
    </row>
    <row r="150" ht="15" customHeight="1" s="52">
      <c r="H150" s="101" t="n"/>
      <c r="I150" s="51" t="n"/>
      <c r="N150" s="51" t="n"/>
    </row>
    <row r="151" ht="15" customHeight="1" s="52">
      <c r="H151" s="101" t="n"/>
      <c r="I151" s="51" t="n"/>
      <c r="N151" s="51" t="n"/>
    </row>
    <row r="152" ht="15" customHeight="1" s="52">
      <c r="H152" s="101" t="n"/>
      <c r="I152" s="51" t="n"/>
      <c r="N152" s="51" t="n"/>
    </row>
    <row r="153" ht="15" customHeight="1" s="52">
      <c r="H153" s="101" t="n"/>
      <c r="I153" s="51" t="n"/>
      <c r="N153" s="51" t="n"/>
    </row>
    <row r="154" ht="15" customHeight="1" s="52">
      <c r="H154" s="101" t="n"/>
      <c r="I154" s="51" t="n"/>
      <c r="N154" s="51" t="n"/>
    </row>
    <row r="155" ht="15" customHeight="1" s="52">
      <c r="H155" s="101" t="n"/>
      <c r="I155" s="51" t="n"/>
      <c r="N155" s="51" t="n"/>
    </row>
    <row r="156" ht="15" customHeight="1" s="52">
      <c r="H156" s="101" t="n"/>
      <c r="I156" s="51" t="n"/>
      <c r="N156" s="51" t="n"/>
    </row>
    <row r="157" ht="15" customHeight="1" s="52">
      <c r="H157" s="101" t="n"/>
      <c r="I157" s="51" t="n"/>
      <c r="N157" s="51" t="n"/>
    </row>
    <row r="158" ht="15" customHeight="1" s="52">
      <c r="H158" s="101" t="n"/>
      <c r="I158" s="51" t="n"/>
      <c r="N158" s="51" t="n"/>
    </row>
    <row r="159" ht="15" customHeight="1" s="52">
      <c r="H159" s="101" t="n"/>
      <c r="I159" s="51" t="n"/>
      <c r="N159" s="51" t="n"/>
    </row>
    <row r="160" ht="15" customHeight="1" s="52">
      <c r="H160" s="101" t="n"/>
      <c r="I160" s="51" t="n"/>
      <c r="N160" s="51" t="n"/>
    </row>
    <row r="161" ht="15" customHeight="1" s="52">
      <c r="H161" s="101" t="n"/>
      <c r="I161" s="51" t="n"/>
      <c r="N161" s="51" t="n"/>
    </row>
    <row r="162" ht="15" customHeight="1" s="52">
      <c r="H162" s="101" t="n"/>
      <c r="I162" s="51" t="n"/>
      <c r="N162" s="51" t="n"/>
    </row>
    <row r="163" ht="15" customHeight="1" s="52">
      <c r="H163" s="101" t="n"/>
      <c r="I163" s="51" t="n"/>
      <c r="N163" s="51" t="n"/>
    </row>
    <row r="164" ht="15" customHeight="1" s="52">
      <c r="H164" s="101" t="n"/>
      <c r="I164" s="51" t="n"/>
      <c r="N164" s="51" t="n"/>
    </row>
    <row r="165" ht="15" customHeight="1" s="52">
      <c r="H165" s="101" t="n"/>
      <c r="I165" s="51" t="n"/>
      <c r="N165" s="51" t="n"/>
    </row>
    <row r="166" ht="15" customHeight="1" s="52">
      <c r="H166" s="101" t="n"/>
      <c r="I166" s="51" t="n"/>
      <c r="N166" s="51" t="n"/>
    </row>
    <row r="167" ht="15" customHeight="1" s="52">
      <c r="H167" s="101" t="n"/>
      <c r="I167" s="51" t="n"/>
      <c r="N167" s="51" t="n"/>
    </row>
    <row r="168" ht="15" customHeight="1" s="52">
      <c r="H168" s="101" t="n"/>
      <c r="I168" s="51" t="n"/>
      <c r="N168" s="51" t="n"/>
    </row>
    <row r="169" ht="15" customHeight="1" s="52">
      <c r="H169" s="101" t="n"/>
      <c r="I169" s="51" t="n"/>
      <c r="N169" s="51" t="n"/>
    </row>
    <row r="170" ht="15" customHeight="1" s="52">
      <c r="H170" s="101" t="n"/>
      <c r="I170" s="51" t="n"/>
      <c r="N170" s="51" t="n"/>
    </row>
    <row r="171" ht="15" customHeight="1" s="52">
      <c r="H171" s="101" t="n"/>
      <c r="I171" s="51" t="n"/>
      <c r="N171" s="51" t="n"/>
    </row>
    <row r="172" ht="15" customHeight="1" s="52">
      <c r="H172" s="101" t="n"/>
      <c r="I172" s="51" t="n"/>
      <c r="N172" s="51" t="n"/>
    </row>
    <row r="173" ht="15" customHeight="1" s="52">
      <c r="H173" s="101" t="n"/>
      <c r="I173" s="51" t="n"/>
      <c r="N173" s="51" t="n"/>
    </row>
    <row r="174" ht="15" customHeight="1" s="52">
      <c r="H174" s="101" t="n"/>
      <c r="I174" s="51" t="n"/>
      <c r="N174" s="51" t="n"/>
    </row>
    <row r="175" ht="15" customHeight="1" s="52">
      <c r="H175" s="101" t="n"/>
      <c r="I175" s="51" t="n"/>
      <c r="N175" s="51" t="n"/>
    </row>
    <row r="176" ht="15" customHeight="1" s="52">
      <c r="H176" s="101" t="n"/>
      <c r="I176" s="51" t="n"/>
      <c r="N176" s="51" t="n"/>
    </row>
    <row r="177" ht="15" customHeight="1" s="52">
      <c r="H177" s="101" t="n"/>
      <c r="I177" s="51" t="n"/>
      <c r="N177" s="51" t="n"/>
    </row>
    <row r="178" ht="15" customHeight="1" s="52">
      <c r="H178" s="101" t="n"/>
      <c r="I178" s="51" t="n"/>
      <c r="N178" s="51" t="n"/>
    </row>
    <row r="179" ht="15" customHeight="1" s="52">
      <c r="H179" s="101" t="n"/>
      <c r="I179" s="51" t="n"/>
      <c r="N179" s="51" t="n"/>
    </row>
    <row r="180" ht="15" customHeight="1" s="52">
      <c r="H180" s="101" t="n"/>
      <c r="I180" s="51" t="n"/>
      <c r="N180" s="51" t="n"/>
    </row>
    <row r="181" ht="15" customHeight="1" s="52">
      <c r="H181" s="101" t="n"/>
      <c r="I181" s="51" t="n"/>
      <c r="N181" s="51" t="n"/>
    </row>
    <row r="182" ht="15" customHeight="1" s="52">
      <c r="H182" s="101" t="n"/>
      <c r="I182" s="51" t="n"/>
      <c r="N182" s="51" t="n"/>
    </row>
    <row r="183" ht="15" customHeight="1" s="52">
      <c r="H183" s="101" t="n"/>
      <c r="I183" s="51" t="n"/>
      <c r="N183" s="51" t="n"/>
    </row>
    <row r="184" ht="15" customHeight="1" s="52">
      <c r="H184" s="101" t="n"/>
      <c r="I184" s="51" t="n"/>
      <c r="N184" s="51" t="n"/>
    </row>
    <row r="185" ht="15" customHeight="1" s="52">
      <c r="H185" s="101" t="n"/>
      <c r="I185" s="51" t="n"/>
      <c r="N185" s="51" t="n"/>
    </row>
    <row r="186" ht="15" customHeight="1" s="52">
      <c r="H186" s="101" t="n"/>
      <c r="I186" s="51" t="n"/>
      <c r="N186" s="51" t="n"/>
    </row>
    <row r="187" ht="15" customHeight="1" s="52">
      <c r="H187" s="101" t="n"/>
      <c r="I187" s="51" t="n"/>
      <c r="N187" s="51" t="n"/>
    </row>
    <row r="188" ht="15" customHeight="1" s="52">
      <c r="H188" s="101" t="n"/>
      <c r="I188" s="51" t="n"/>
      <c r="N188" s="51" t="n"/>
    </row>
    <row r="189" ht="15" customHeight="1" s="52">
      <c r="H189" s="101" t="n"/>
      <c r="I189" s="51" t="n"/>
      <c r="N189" s="51" t="n"/>
    </row>
    <row r="190" ht="15" customHeight="1" s="52">
      <c r="H190" s="101" t="n"/>
      <c r="I190" s="51" t="n"/>
      <c r="N190" s="51" t="n"/>
    </row>
    <row r="191" ht="15" customHeight="1" s="52">
      <c r="H191" s="101" t="n"/>
      <c r="I191" s="51" t="n"/>
      <c r="N191" s="51" t="n"/>
    </row>
    <row r="192" ht="15" customHeight="1" s="52">
      <c r="H192" s="101" t="n"/>
      <c r="I192" s="51" t="n"/>
      <c r="N192" s="51" t="n"/>
    </row>
    <row r="193" ht="15" customHeight="1" s="52">
      <c r="H193" s="101" t="n"/>
      <c r="I193" s="51" t="n"/>
      <c r="N193" s="51" t="n"/>
    </row>
    <row r="194" ht="15" customHeight="1" s="52">
      <c r="H194" s="101" t="n"/>
      <c r="I194" s="51" t="n"/>
      <c r="N194" s="51" t="n"/>
    </row>
    <row r="195" ht="15" customHeight="1" s="52">
      <c r="H195" s="101" t="n"/>
      <c r="I195" s="51" t="n"/>
      <c r="N195" s="51" t="n"/>
    </row>
    <row r="196" ht="15" customHeight="1" s="52">
      <c r="H196" s="101" t="n"/>
      <c r="I196" s="51" t="n"/>
      <c r="N196" s="51" t="n"/>
    </row>
    <row r="197" ht="15" customHeight="1" s="52">
      <c r="H197" s="101" t="n"/>
      <c r="I197" s="51" t="n"/>
      <c r="N197" s="51" t="n"/>
    </row>
    <row r="198" ht="15" customHeight="1" s="52">
      <c r="H198" s="101" t="n"/>
      <c r="I198" s="51" t="n"/>
      <c r="N198" s="51" t="n"/>
    </row>
    <row r="199" ht="15" customHeight="1" s="52">
      <c r="H199" s="101" t="n"/>
      <c r="I199" s="51" t="n"/>
      <c r="N199" s="51" t="n"/>
    </row>
    <row r="200" ht="15" customHeight="1" s="52">
      <c r="H200" s="101" t="n"/>
      <c r="I200" s="51" t="n"/>
      <c r="N200" s="51" t="n"/>
    </row>
    <row r="201" ht="15" customHeight="1" s="52">
      <c r="H201" s="101" t="n"/>
      <c r="I201" s="51" t="n"/>
      <c r="N201" s="51" t="n"/>
    </row>
    <row r="202" ht="15" customHeight="1" s="52">
      <c r="H202" s="101" t="n"/>
      <c r="I202" s="51" t="n"/>
      <c r="N202" s="51" t="n"/>
    </row>
    <row r="203" ht="15" customHeight="1" s="52">
      <c r="H203" s="101" t="n"/>
      <c r="I203" s="51" t="n"/>
      <c r="N203" s="51" t="n"/>
    </row>
    <row r="204" ht="15" customHeight="1" s="52">
      <c r="H204" s="101" t="n"/>
      <c r="I204" s="51" t="n"/>
      <c r="N204" s="51" t="n"/>
    </row>
    <row r="205" ht="15" customHeight="1" s="52">
      <c r="H205" s="101" t="n"/>
      <c r="I205" s="51" t="n"/>
      <c r="N205" s="51" t="n"/>
    </row>
    <row r="206" ht="15" customHeight="1" s="52">
      <c r="H206" s="101" t="n"/>
      <c r="I206" s="51" t="n"/>
      <c r="N206" s="51" t="n"/>
    </row>
    <row r="207" ht="15" customHeight="1" s="52">
      <c r="H207" s="101" t="n"/>
      <c r="I207" s="51" t="n"/>
      <c r="N207" s="51" t="n"/>
    </row>
    <row r="208" ht="15" customHeight="1" s="52">
      <c r="H208" s="101" t="n"/>
      <c r="I208" s="51" t="n"/>
      <c r="N208" s="51" t="n"/>
    </row>
    <row r="209" ht="15" customHeight="1" s="52">
      <c r="H209" s="101" t="n"/>
      <c r="I209" s="51" t="n"/>
      <c r="N209" s="51" t="n"/>
    </row>
    <row r="210" ht="15" customHeight="1" s="52">
      <c r="H210" s="101" t="n"/>
      <c r="I210" s="51" t="n"/>
      <c r="N210" s="51" t="n"/>
    </row>
    <row r="211" ht="15" customHeight="1" s="52">
      <c r="H211" s="101" t="n"/>
      <c r="I211" s="51" t="n"/>
      <c r="N211" s="51" t="n"/>
    </row>
    <row r="212" ht="15" customHeight="1" s="52">
      <c r="H212" s="101" t="n"/>
      <c r="I212" s="51" t="n"/>
      <c r="N212" s="51" t="n"/>
    </row>
    <row r="213" ht="15" customHeight="1" s="52">
      <c r="H213" s="101" t="n"/>
      <c r="I213" s="51" t="n"/>
      <c r="N213" s="51" t="n"/>
    </row>
    <row r="214" ht="15" customHeight="1" s="52">
      <c r="H214" s="101" t="n"/>
      <c r="I214" s="51" t="n"/>
      <c r="N214" s="51" t="n"/>
    </row>
    <row r="215" ht="15" customHeight="1" s="52">
      <c r="H215" s="101" t="n"/>
      <c r="I215" s="51" t="n"/>
      <c r="N215" s="51" t="n"/>
    </row>
    <row r="216" ht="15" customHeight="1" s="52">
      <c r="H216" s="101" t="n"/>
      <c r="I216" s="51" t="n"/>
      <c r="N216" s="51" t="n"/>
    </row>
    <row r="217" ht="15" customHeight="1" s="52">
      <c r="H217" s="101" t="n"/>
      <c r="I217" s="51" t="n"/>
      <c r="N217" s="51" t="n"/>
    </row>
    <row r="218" ht="15" customHeight="1" s="52">
      <c r="H218" s="101" t="n"/>
      <c r="I218" s="51" t="n"/>
      <c r="N218" s="51" t="n"/>
    </row>
    <row r="219" ht="15" customHeight="1" s="52">
      <c r="H219" s="101" t="n"/>
      <c r="I219" s="51" t="n"/>
      <c r="N219" s="51" t="n"/>
    </row>
    <row r="220" ht="15" customHeight="1" s="52">
      <c r="H220" s="101" t="n"/>
      <c r="I220" s="51" t="n"/>
      <c r="N220" s="51" t="n"/>
    </row>
    <row r="221" ht="15" customHeight="1" s="52">
      <c r="H221" s="101" t="n"/>
      <c r="I221" s="51" t="n"/>
      <c r="N221" s="51" t="n"/>
    </row>
    <row r="222" ht="15" customHeight="1" s="52">
      <c r="H222" s="101" t="n"/>
      <c r="I222" s="51" t="n"/>
      <c r="N222" s="51" t="n"/>
    </row>
    <row r="223" ht="15" customHeight="1" s="52">
      <c r="H223" s="101" t="n"/>
      <c r="I223" s="51" t="n"/>
      <c r="N223" s="51" t="n"/>
    </row>
    <row r="224" ht="15" customHeight="1" s="52">
      <c r="H224" s="101" t="n"/>
      <c r="I224" s="51" t="n"/>
      <c r="N224" s="51" t="n"/>
    </row>
    <row r="225" ht="15" customHeight="1" s="52">
      <c r="H225" s="101" t="n"/>
      <c r="I225" s="51" t="n"/>
      <c r="N225" s="51" t="n"/>
    </row>
    <row r="226" ht="15" customHeight="1" s="52">
      <c r="H226" s="101" t="n"/>
      <c r="I226" s="51" t="n"/>
      <c r="N226" s="51" t="n"/>
    </row>
    <row r="227" ht="15" customHeight="1" s="52">
      <c r="H227" s="101" t="n"/>
      <c r="I227" s="51" t="n"/>
      <c r="N227" s="51" t="n"/>
    </row>
    <row r="228" ht="15" customHeight="1" s="52">
      <c r="H228" s="101" t="n"/>
      <c r="I228" s="51" t="n"/>
      <c r="N228" s="51" t="n"/>
    </row>
    <row r="229" ht="15" customHeight="1" s="52">
      <c r="H229" s="101" t="n"/>
      <c r="I229" s="51" t="n"/>
      <c r="N229" s="51" t="n"/>
    </row>
    <row r="230" ht="15" customHeight="1" s="52">
      <c r="H230" s="101" t="n"/>
      <c r="I230" s="51" t="n"/>
      <c r="N230" s="51" t="n"/>
    </row>
    <row r="231" ht="15" customHeight="1" s="52">
      <c r="H231" s="101" t="n"/>
      <c r="I231" s="51" t="n"/>
      <c r="N231" s="51" t="n"/>
    </row>
    <row r="232" ht="15" customHeight="1" s="52">
      <c r="H232" s="101" t="n"/>
      <c r="I232" s="51" t="n"/>
      <c r="N232" s="51" t="n"/>
    </row>
    <row r="233" ht="15" customHeight="1" s="52">
      <c r="H233" s="101" t="n"/>
      <c r="I233" s="51" t="n"/>
      <c r="N233" s="51" t="n"/>
    </row>
    <row r="234" ht="15" customHeight="1" s="52">
      <c r="H234" s="101" t="n"/>
      <c r="I234" s="51" t="n"/>
      <c r="N234" s="51" t="n"/>
    </row>
    <row r="235" ht="15" customHeight="1" s="52">
      <c r="H235" s="101" t="n"/>
      <c r="I235" s="51" t="n"/>
      <c r="N235" s="51" t="n"/>
    </row>
    <row r="236" ht="15" customHeight="1" s="52">
      <c r="H236" s="101" t="n"/>
      <c r="I236" s="51" t="n"/>
      <c r="N236" s="51" t="n"/>
    </row>
    <row r="237" ht="15" customHeight="1" s="52">
      <c r="H237" s="101" t="n"/>
      <c r="I237" s="51" t="n"/>
      <c r="N237" s="51" t="n"/>
    </row>
    <row r="238" ht="15" customHeight="1" s="52">
      <c r="H238" s="101" t="n"/>
      <c r="I238" s="51" t="n"/>
      <c r="N238" s="51" t="n"/>
    </row>
    <row r="239" ht="15" customHeight="1" s="52">
      <c r="H239" s="101" t="n"/>
      <c r="I239" s="51" t="n"/>
      <c r="N239" s="51" t="n"/>
    </row>
    <row r="240" ht="15" customHeight="1" s="52">
      <c r="H240" s="101" t="n"/>
      <c r="I240" s="51" t="n"/>
      <c r="N240" s="51" t="n"/>
    </row>
    <row r="241" ht="15" customHeight="1" s="52">
      <c r="H241" s="101" t="n"/>
      <c r="I241" s="51" t="n"/>
      <c r="N241" s="51" t="n"/>
    </row>
    <row r="242" ht="15" customHeight="1" s="52">
      <c r="H242" s="101" t="n"/>
      <c r="I242" s="51" t="n"/>
      <c r="N242" s="51" t="n"/>
    </row>
    <row r="243" ht="15" customHeight="1" s="52">
      <c r="H243" s="101" t="n"/>
      <c r="I243" s="51" t="n"/>
      <c r="N243" s="51" t="n"/>
    </row>
    <row r="244" ht="15" customHeight="1" s="52">
      <c r="H244" s="101" t="n"/>
      <c r="I244" s="51" t="n"/>
      <c r="N244" s="51" t="n"/>
    </row>
    <row r="245" ht="15" customHeight="1" s="52">
      <c r="H245" s="101" t="n"/>
      <c r="I245" s="51" t="n"/>
      <c r="N245" s="51" t="n"/>
    </row>
    <row r="246" ht="15" customHeight="1" s="52">
      <c r="H246" s="101" t="n"/>
      <c r="I246" s="51" t="n"/>
      <c r="N246" s="51" t="n"/>
    </row>
    <row r="247" ht="15" customHeight="1" s="52">
      <c r="H247" s="101" t="n"/>
      <c r="I247" s="51" t="n"/>
      <c r="N247" s="51" t="n"/>
    </row>
    <row r="248" ht="15" customHeight="1" s="52">
      <c r="H248" s="101" t="n"/>
      <c r="I248" s="51" t="n"/>
      <c r="N248" s="51" t="n"/>
    </row>
    <row r="249" ht="15" customHeight="1" s="52">
      <c r="H249" s="101" t="n"/>
      <c r="I249" s="51" t="n"/>
      <c r="N249" s="51" t="n"/>
    </row>
    <row r="250" ht="15" customHeight="1" s="52">
      <c r="H250" s="101" t="n"/>
      <c r="I250" s="51" t="n"/>
      <c r="N250" s="51" t="n"/>
    </row>
  </sheetData>
  <mergeCells count="2">
    <mergeCell ref="A2:Q2"/>
    <mergeCell ref="A1:Q1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1" min="1" max="1"/>
    <col width="15.51" customWidth="1" style="51" min="2" max="2"/>
    <col width="28.65" customWidth="1" style="51" min="3" max="3"/>
    <col width="33.42" customWidth="1" style="51" min="4" max="4"/>
    <col width="83.55" customWidth="1" style="51" min="5" max="5"/>
    <col width="57.29" customWidth="1" style="51" min="6" max="6"/>
    <col width="14.33" customWidth="1" style="51" min="7" max="7"/>
  </cols>
  <sheetData>
    <row r="1" ht="15" customHeight="1" s="52">
      <c r="A1" s="70" t="inlineStr">
        <is>
          <t>特效账本变更日志</t>
        </is>
      </c>
    </row>
    <row r="2" ht="15" customHeight="1" s="52"/>
    <row r="3" ht="15" customHeight="1" s="52">
      <c r="A3" s="54" t="inlineStr">
        <is>
          <t>只记录本账本的域内变更；跨域与全局变更记录在主账本《版本记录》</t>
        </is>
      </c>
    </row>
    <row r="4"/>
    <row r="5" ht="15" customHeight="1" s="52">
      <c r="A5" s="58" t="inlineStr">
        <is>
          <t>台账版本</t>
        </is>
      </c>
      <c r="B5" s="58" t="inlineStr">
        <is>
          <t>日期</t>
        </is>
      </c>
      <c r="C5" s="58" t="inlineStr">
        <is>
          <t>变更类型</t>
        </is>
      </c>
      <c r="D5" s="58" t="inlineStr">
        <is>
          <t>范围</t>
        </is>
      </c>
      <c r="E5" s="58" t="inlineStr">
        <is>
          <t>说明</t>
        </is>
      </c>
      <c r="F5" s="58" t="inlineStr">
        <is>
          <t>兼容性</t>
        </is>
      </c>
      <c r="G5" s="58" t="inlineStr">
        <is>
          <t>负责人</t>
        </is>
      </c>
    </row>
    <row r="6" ht="45.75" customHeight="1" s="52">
      <c r="A6" s="69" t="inlineStr">
        <is>
          <t>v0.1.0</t>
        </is>
      </c>
      <c r="B6" s="69" t="inlineStr">
        <is>
          <t>2026-09-18</t>
        </is>
      </c>
      <c r="C6" s="62" t="inlineStr">
        <is>
          <t>分账本建立</t>
        </is>
      </c>
      <c r="D6" s="62" t="inlineStr">
        <is>
          <t>特效</t>
        </is>
      </c>
      <c r="E6" s="62" t="inlineStr">
        <is>
          <t>由单体账本《ShellStorm2_美术资产台账_v001.xlsx》按大类拆分而来；本账本接管大类=特效，条目内容逐格不变，仅登记位置变化。</t>
        </is>
      </c>
      <c r="F6" s="62" t="inlineStr">
        <is>
          <t>资产条目、AssetID、路径与哈希全部不变；只换文件。旧引用可用 scripts/ledger_registry.py 解析。</t>
        </is>
      </c>
      <c r="G6" s="62" t="inlineStr">
        <is>
          <t>摩斯拉</t>
        </is>
      </c>
    </row>
    <row r="7" ht="32.8" customHeight="1" s="52">
      <c r="A7" s="69" t="inlineStr">
        <is>
          <t>v0.1.1</t>
        </is>
      </c>
      <c r="B7" s="69" t="inlineStr">
        <is>
          <t>2026-09-21</t>
        </is>
      </c>
      <c r="C7" s="62" t="inlineStr">
        <is>
          <t>条目更新 + 新增</t>
        </is>
      </c>
      <c r="D7" s="62" t="inlineStr">
        <is>
          <t>特效 · 3D-特效</t>
        </is>
      </c>
      <c r="E7" s="69" t="inlineStr">
        <is>
          <t>FX01-01 枪口花火 / FX01-02 命中爆点 卡通 v002 重做（枪口新增 OmniLight3D MuzzleLight 与 forward 对齐；命中改为按 context.normal 对齐）；新增 FX01-06 VFX-BULLET-VISUAL-3D 飞行子弹纯视觉 Prefab（含 ProjectileLight）；同期修正备注中已废弃的 ..._v001.tscn 路径写法。</t>
        </is>
      </c>
      <c r="F7" s="69" t="inlineStr">
        <is>
          <t>AssetID 不变；仅新增一条 FX01-06；Prefab 路径保持去版本化；资产主表未改动</t>
        </is>
      </c>
      <c r="G7" s="62" t="inlineStr">
        <is>
          <t>摩斯拉</t>
        </is>
      </c>
    </row>
    <row r="8" ht="15" customHeight="1" s="52">
      <c r="A8" s="101" t="inlineStr">
        <is>
          <t>v0.1.2</t>
        </is>
      </c>
      <c r="B8" s="101" t="inlineStr">
        <is>
          <t>2026-09-21</t>
        </is>
      </c>
      <c r="C8" s="51" t="inlineStr">
        <is>
          <t>条目更新</t>
        </is>
      </c>
      <c r="D8" s="51" t="inlineStr">
        <is>
          <t>特效 · 3D-特效</t>
        </is>
      </c>
      <c r="E8" s="101" t="inlineStr">
        <is>
          <t>FX01-01 枪口花火：新增 context.follow 挂点跟随契约（角色移动/转向/后坐力时特效始终贴着枪口，不再残留在开火瞬间的世界坐标）；调用方尺寸基准定为 0.8（视觉体积 80%）；专项验收补端到端接线断言 + 两轮反向对照</t>
        </is>
      </c>
      <c r="F8" s="101" t="inlineStr">
        <is>
          <t>AssetID / Prefab 路径 / 尺寸契约不变；行为为向后兼容增强（未传 follow 时退化为世界锚定）</t>
        </is>
      </c>
      <c r="G8" s="51" t="inlineStr">
        <is>
          <t>摩斯拉</t>
        </is>
      </c>
    </row>
    <row r="9" ht="15" customHeight="1" s="52">
      <c r="A9" s="101" t="inlineStr">
        <is>
          <t>v0.1.3</t>
        </is>
      </c>
      <c r="B9" s="101" t="inlineStr">
        <is>
          <t>2026-09-22</t>
        </is>
      </c>
      <c r="C9" s="51" t="inlineStr">
        <is>
          <t>新增条目</t>
        </is>
      </c>
      <c r="D9" s="51" t="inlineStr">
        <is>
          <t>特效 · 3D-特效</t>
        </is>
      </c>
      <c r="E9" s="51" t="inlineStr">
        <is>
          <t>新增 FX01-07 VFX-SHELL-CASING-3D 抛壳落地特效：独立 Prefab + 脚本，接入 WeaponModel3D 开火链路与 VfxPool3D；弹壳从枪械右侧抛出，按重力下落，最多两次小弹跳后静止并回收；补专项验收与反向对照。</t>
        </is>
      </c>
      <c r="F9" s="51" t="inlineStr">
        <is>
          <t>新增一个 AssetID；不改既有 AssetID；纯视觉无碰撞体；开火调用向后兼容。</t>
        </is>
      </c>
      <c r="G9" s="51" t="inlineStr">
        <is>
          <t>摩斯拉</t>
        </is>
      </c>
    </row>
    <row r="10" ht="15" customHeight="1" s="52">
      <c r="A10" s="101" t="inlineStr">
        <is>
          <t>v0.1.4</t>
        </is>
      </c>
      <c r="B10" s="101" t="inlineStr">
        <is>
          <t>2026-09-22</t>
        </is>
      </c>
      <c r="C10" s="51" t="inlineStr">
        <is>
          <t>条目更新</t>
        </is>
      </c>
      <c r="D10" s="51" t="inlineStr">
        <is>
          <t>特效 · 3D-特效</t>
        </is>
      </c>
      <c r="E10" s="101" t="inlineStr">
        <is>
          <t>FX01-07 VFX-SHELL-CASING-3D：PBR 定档为金属度 metallic=0.8、反光度 roughness=0.6，壳体/底缘/底火三件统一；原先三件各自分散的数值收敛为单一常量组 SHELL_METALLIC / SHELL_ROUGHNESS（各件仅保留基色差异）；专项验收新增 PBR 真值断言（读已挂载材质，期望值硬编码于验收侧）并附反向对照。</t>
        </is>
      </c>
      <c r="F10" s="51" t="inlineStr">
        <is>
          <t>仅材质参数变化，不影响 AssetID / Prefab 路径 / 尺寸契约 / 运动与落地行为；观感为更暗哑统一的黄铜金属弹壳。</t>
        </is>
      </c>
      <c r="G10" s="51" t="inlineStr">
        <is>
          <t>摩斯拉</t>
        </is>
      </c>
    </row>
    <row r="11" ht="15" customHeight="1" s="52">
      <c r="A11" s="101" t="inlineStr">
        <is>
          <t>v0.1.5</t>
        </is>
      </c>
      <c r="B11" s="101" t="inlineStr">
        <is>
          <t>2026-09-22</t>
        </is>
      </c>
      <c r="C11" s="51" t="inlineStr">
        <is>
          <t>条目更新</t>
        </is>
      </c>
      <c r="D11" s="51" t="inlineStr">
        <is>
          <t>特效 · 3D-特效</t>
        </is>
      </c>
      <c r="E11" s="101" t="inlineStr">
        <is>
          <t>FX01-07 VFX-SHELL-CASING-3D 弹壳：落地由「物理射线 / floor_y 兜底」改为**纯程序化模拟碰撞**（解析式越线判定，Prefab 无碰撞体，脚本内无任何物理查询 API）；运动改为 飞行(弹跳) → 贴地滚动 → 躺平静止 三阶段 + 触地挤压包络，手感常量收敛为一组；视觉尺寸缩到原基准 **80%**；贴地半径由壳体 0.045 修正为三件最大径向半展 0.058（底缘）；修复实机缺陷「弹壳特效没了」——floor_y 原硬编码 0，而塔楼楼层向下建（98F ≈ -1176m），导致弹壳出生即判触地、瞬移到世界原点；现由 WeaponModel3D._resolve_shell_floor_y(shooter) 取射击者站立面。资产主表 row22 哈希同步刷新为磁盘真值（Prefab 于 08:47 被重存、去掉 load_steps 提示行）。</t>
        </is>
      </c>
      <c r="F11" s="101" t="inlineStr">
        <is>
          <t>AssetID / Prefab 路径 / 版本号 v001 / PBR 定档值均不变；仅行为、尺寸常量与落地判据变化；调用方签名 _spawn_shell_casing(world) → (shooter: Node3D)（内部方法，无外部调用者）。</t>
        </is>
      </c>
      <c r="G11" s="51" t="inlineStr">
        <is>
          <t>摩斯拉</t>
        </is>
      </c>
    </row>
    <row r="12" ht="84" customHeight="1" s="52">
      <c r="A12" s="101" t="inlineStr">
        <is>
          <t>v0.1.6</t>
        </is>
      </c>
      <c r="B12" s="105" t="n">
        <v>46295</v>
      </c>
      <c r="C12" s="51" t="inlineStr">
        <is>
          <t>新增资产登记</t>
        </is>
      </c>
      <c r="D12" s="51" t="inlineStr">
        <is>
          <t>特效 · 资产主表</t>
        </is>
      </c>
      <c r="E12" s="101" t="inlineStr">
        <is>
          <t>新增 VFX-ENV-CLOUD-SEA-3D：主塔及周边楼群99F以下的室外卡通云海。独立Prefab、缓慢流动与分层半透明表现；避让建筑、桥面及室内。同步查重范围、总览与无损基线。</t>
        </is>
      </c>
      <c r="F12" s="101" t="inlineStr">
        <is>
          <t>新增一个稳定AssetID与Prefab路径；既有条目的身份、路径、状态及哈希保留。</t>
        </is>
      </c>
      <c r="G12" s="51" t="inlineStr">
        <is>
          <t>Codex</t>
        </is>
      </c>
    </row>
    <row r="13" ht="84" customHeight="1" s="52">
      <c r="A13" s="101" t="inlineStr">
        <is>
          <t>v0.1.7</t>
        </is>
      </c>
      <c r="B13" s="105" t="n">
        <v>46295</v>
      </c>
      <c r="C13" s="51" t="inlineStr">
        <is>
          <t>新增Prefab分页</t>
        </is>
      </c>
      <c r="D13" s="51" t="inlineStr">
        <is>
          <t>特效 · 3D-特效</t>
        </is>
      </c>
      <c r="E13" s="101" t="inlineStr">
        <is>
          <t>FX03-02 已登记独立 VFX-ENV-CLOUD-SEA-3D Prefab。记录生成脚本、Shader源、正式放置、建筑与室内避让，以及分层缓慢流动参数。Prefab分页采用独立事务更新对应sheet摘要。</t>
        </is>
      </c>
      <c r="F13" s="101" t="inlineStr">
        <is>
          <t>资产主表不变；特效无碰撞/伤害/交互逻辑，生命周期由所属场景持有。</t>
        </is>
      </c>
      <c r="G13" s="51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2026-09-18T02:30:04Z</dcterms:created>
  <dcterms:modified xmlns:dcterms="http://purl.org/dc/terms/" xmlns:xsi="http://www.w3.org/2001/XMLSchema-instance" xsi:type="dcterms:W3CDTF">2026-09-30T12:58:44Z</dcterms:modified>
  <cp:revision>0</cp:revision>
</cp:coreProperties>
</file>