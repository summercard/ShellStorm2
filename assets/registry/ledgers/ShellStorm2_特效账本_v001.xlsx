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'资产主表'!$A$5:$Y$42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COUNTA('资产主表'!$A$6:$A$47)</f>
        <v/>
      </c>
      <c r="B6" s="55" t="n"/>
      <c r="C6" s="57">
        <f>COUNTIF('资产主表'!$K$6:$K$47,"已完成")+COUNTIF('资产主表'!$K$6:$K$47,"原型已接入")+COUNTIF('资产主表'!$K$6:$K$47,"正式美术已接入")+COUNTIF('资产主表'!$K$6:$K$47,"已优化并正式接入")+COUNTIF('资产主表'!$K$6:$K$47,"Blender源已完成")+COUNTIF('资产主表'!$K$6:$K$47,"已导入；优化完成")+COUNTIF('资产主表'!$K$6:$K$47,"白模源已完成；QA PASS")</f>
        <v/>
      </c>
      <c r="D6" s="55" t="n"/>
      <c r="E6" s="57">
        <f>COUNTIF('资产主表'!$K$6:$K$47,"待制作")+COUNTIF('资产主表'!$K$6:$K$47,"程序占位")</f>
        <v/>
      </c>
      <c r="F6" s="55" t="n"/>
      <c r="G6" s="57">
        <f>COUNTIF('资产主表'!$S$6:$S$47,"重复")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COUNTIF('资产主表'!$C$6:$C$47,A10)</f>
        <v/>
      </c>
      <c r="C10" s="62">
        <f>SUMPRODUCT(('资产主表'!$C$6:$C$47=A10)*(('资产主表'!$K$6:$K$47="已完成")+('资产主表'!$K$6:$K$47="原型已接入")+('资产主表'!$K$6:$K$47="正式美术已接入")+('资产主表'!$K$6:$K$47="已优化并正式接入")+('资产主表'!$K$6:$K$47="Blender源已完成")+('资产主表'!$K$6:$K$47="已导入；优化完成")+('资产主表'!$K$6:$K$47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COUNTIF('资产主表'!$C$6:$C$47,A11)</f>
        <v/>
      </c>
      <c r="C11" s="62">
        <f>SUMPRODUCT(('资产主表'!$C$6:$C$47=A11)*(('资产主表'!$K$6:$K$47="已完成")+('资产主表'!$K$6:$K$47="原型已接入")+('资产主表'!$K$6:$K$47="正式美术已接入")+('资产主表'!$K$6:$K$47="已优化并正式接入")+('资产主表'!$K$6:$K$47="Blender源已完成")+('资产主表'!$K$6:$K$47="已导入；优化完成")+('资产主表'!$K$6:$K$47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IF(COUNTIF($R$6:$R$47,R6)&gt;1,"重复","唯一")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IF(COUNTIF($R$6:$R$47,R7)&gt;1,"重复","唯一")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IF(COUNTIF($R$6:$R$47,R8)&gt;1,"重复","唯一")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IF(COUNTIF($R$6:$R$47,R9)&gt;1,"重复","唯一")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IF(COUNTIF($R$6:$R$47,R10)&gt;1,"重复","唯一")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IF(COUNTIF($R$6:$R$47,R11)&gt;1,"重复","唯一")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IF(COUNTIF($R$6:$R$47,R12)&gt;1,"重复","唯一")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IF(COUNTIF($R$6:$R$47,R13)&gt;1,"重复","唯一")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IF(COUNTIF($R$6:$R$47,R14)&gt;1,"重复","唯一")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IF(COUNTIF($R$6:$R$47,R15)&gt;1,"重复","唯一")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IF(COUNTIF($R$6:$R$47,R16)&gt;1,"重复","唯一")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IF(COUNTIF($R$6:$R$47,R17)&gt;1,"重复","唯一")</f>
        <v/>
      </c>
      <c r="T17" s="79" t="inlineStr">
        <is>
          <t>9457d360dc6529e42502980b94188d13f76da5efb581b261cfb9b8adbd0f5ff6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IF(COUNTIF($R$6:$R$47,R18)&gt;1,"重复","唯一")</f>
        <v/>
      </c>
      <c r="T18" s="79" t="inlineStr">
        <is>
          <t>59cd5409b33ff9fae9c541b357699249d8f0574bc21add6fec2d1fdfd89a098e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IF(COUNTIF($R$6:$R$47,R19)&gt;1,"重复","唯一")</f>
        <v/>
      </c>
      <c r="T19" s="79" t="inlineStr">
        <is>
          <t>3a5f9e551802a19e6415e15ee32cea76fe74545bf64af0fcb847c54d3972e740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IF(COUNTIF($R$6:$R$47,R20)&gt;1,"重复","唯一")</f>
        <v/>
      </c>
      <c r="T20" s="79" t="inlineStr">
        <is>
          <t>66d910c4fbcfd63176427c8012d3b6dbb11c4e0999587b34a3a66d6202920017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IF(COUNTIF($R$6:$R$47,R21)&gt;1,"重复","唯一")</f>
        <v/>
      </c>
      <c r="T21" s="79" t="inlineStr">
        <is>
          <t>df2cb64e06aa312f19a4c330a13c37b8c36f6884308c900181a7597a051fbf93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IF(COUNTIF($R$6:$R$47,R22)&gt;1,"重复","唯一")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IF(COUNTIF($R$6:$R$47,R23)&gt;1,"重复","唯一")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IF(COUNTIF($R$6:$R$47,R24)&gt;1,"重复","唯一")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IF(COUNTIF($R$6:$R$47,R25)&gt;1,"重复","唯一")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IF(COUNTIF($R$6:$R$47,R26)&gt;1,"重复","唯一")</f>
        <v/>
      </c>
      <c r="T26" s="79" t="inlineStr">
        <is>
          <t>2293c574f80d5d6103c0088c5fc385c1b9bd72600cc71c61bf2e4748d9f6b2d2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IF(COUNTIF($R$6:$R$47,R27)&gt;1,"重复","唯一")</f>
        <v/>
      </c>
      <c r="T27" s="76" t="inlineStr">
        <is>
          <t>4568edb503262d863cb17629936935e4b1f02678de623f67776667c41df8f455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IF(COUNTIF($R$6:$R$47,R28)&gt;1,"重复","唯一")</f>
        <v/>
      </c>
      <c r="T28" s="76" t="inlineStr">
        <is>
          <t>778be3a1a693e11c1bed08c51c511df742e8502c74c60fc6c3d9919f00141c8b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IF(COUNTIF($R$6:$R$47,R29)&gt;1,"重复","唯一")</f>
        <v/>
      </c>
      <c r="T29" s="76" t="inlineStr">
        <is>
          <t>c31373aa7b45d6539702f03f12f5536ee5a5766e694e2612f82b9887c1280517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IF(COUNTIF($R$6:$R$47,R30)&gt;1,"重复","唯一")</f>
        <v/>
      </c>
      <c r="T30" s="76" t="inlineStr">
        <is>
          <t>7dac07ff53a03e159245a033af9cd01cde83837d57c1cc8d96e0fdd2aa13aed3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IF(COUNTIF($R$6:$R$47,R31)&gt;1,"重复","唯一")</f>
        <v/>
      </c>
      <c r="T31" s="76" t="inlineStr">
        <is>
          <t>16668244baa6415476e9f53a7207843de1ec43981cc46b8fba3b77259c43aa66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IF(COUNTIF($R$6:$R$47,R32)&gt;1,"重复","唯一")</f>
        <v/>
      </c>
      <c r="T32" s="76" t="inlineStr">
        <is>
          <t>7b674e50097eef28c900780031f808ddc6077efed1194dae6debe74b710fe87e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IF(COUNTIF($R$6:$R$47,R33)&gt;1,"重复","唯一")</f>
        <v/>
      </c>
      <c r="T33" s="76" t="inlineStr">
        <is>
          <t>3e3b832d8bbd74d0c82fded0ff4e416722a17b2a64af56d8ebee4a4cc03c354a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IF(COUNTIF($R$6:$R$47,R34)&gt;1,"重复","唯一")</f>
        <v/>
      </c>
      <c r="T34" s="76" t="inlineStr">
        <is>
          <t>4cf2bd23539184d121d209a180475951bd7ae9478b35e8be565ca15515dc36cf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IF(COUNTIF($R$6:$R$47,R35)&gt;1,"重复","唯一")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IF(COUNTIF($R$6:$R$47,R36)&gt;1,"重复","唯一")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IF(COUNTIF($R$6:$R$47,R37)&gt;1,"重复","唯一")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IF(COUNTIF($R$6:$R$47,R38)&gt;1,"重复","唯一")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IF(COUNTIF($R$6:$R$47,R39)&gt;1,"重复","唯一")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 xml:space="preserve"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【贴肉落点实测（2026-10-15 复查修正）】**初版只做「固定下沉 0.20m」是不够的，真渲染实拍仍然悬空** ——业主第四轮的「大概 0.2 米」只是初估。根因：碰撞壳是**玩法口径的圆柱**（世界半径 melee 0.714 / ranged 0.770 / fat 0.770，各向同性），模型是**各向异性**的：
  · 小僵尸  壳 0.714 vs 模型半宽 X 0.448 / Z 0.334 ⇒ 正面打，壳面比模型多 0.27~0.38m；
  · 警察僵尸 壳 0.770 vs 模型半宽 X 0.449 / Z 0.602 ⇒ 同上；
  · 胖子僵尸 壳 0.770 vs 模型半宽 X **1.839** / Z 0.712 ⇒ 反过来，壳面**已经在模型里面**。
⇒ 一个常数不可能同时满足三只怪 × 各方向。现改为**按模型实测几何现算**：取「命中高度那一层的横截面 + 全高 Y」的包围盒，沿外法线反向射线求**进入**盒子的距离 `travel`，退让 = `travel + 0.03`（咬进肉里 3cm）；`travel == 0`（命中点已在模型内，胖子僵尸 X 向）时**不推**，否则埋进胖身子读成「从肚子里炸」（实测不加这条守卫会被推深到 0.912）。真渲染复验：小僵尸正面 壳半径 0.714 → 落点 0.302，退 0.412，落点落在模型半宽 0.332 之内、画面里爆点从「圆柱壳外圈」移到**僵尸手臂上**。
踩过的三个坑（都写进代码注释了）：① 用**整只怪**的包围盒 ⇒ 头顶丸子头/脚边件把 Z 半宽从 0.332 撑到 0.622，退让少算 0.29m，解析读数说「距模型 0.000」而画面明显在外圈；必须按**命中高度切片**。② 包围盒**不能缓存** ⇒ 正式模型异步挂载，缓存会锁到「只有占位件」的那一版。③ 「盒心支撑函数」近似不行 ⇒ 支撑平面在角上相切，命中点偏离盒心时会残留 0.32~0.54m 悬空，必须用逐轴 slab 夹逼的射线求交。
【容差】猪队友场景：模型包围盒按**轴对齐**算，而躯干是斜的 ⇒ 背面打会差约 0.25m，下一轮可考虑改用命中高度处的**水平最近顶点**（顶点数很小：小僵尸 1543 / 胖子 1513 / 警察 16468）。
【机位教训】验「某个方向上的一小段位移」时，**机位必须垂直于那段位移** —— 第一版预览用斜前机位，0.2m 正好落在视线方向 ⇒ 两张图肉眼看不出区别（等于没验）；改侧视（沿 +X 看回原点）后才能读出。
【双向判据】验收对「贴肉」是**两侧**都钉的：既要求落点不再悬空（距模型 ≤ 0.05m），也要求**不许比原始壳面命中点更深**（±0.05m）。只判「在盒内」是单向的 —— 实测把包围盒故意算大 2.6 倍，单向判据照样全绿。
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IF(COUNTIF($R$6:$R$47,R40)&gt;1,"重复","唯一")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41">
      <c r="A41" s="76" t="inlineStr">
        <is>
          <t>VFX-FATE-ROCK-3D</t>
        </is>
      </c>
      <c r="B41" s="76" t="inlineStr">
        <is>
          <t>力量滚石弹</t>
        </is>
      </c>
      <c r="C41" s="76" t="inlineStr">
        <is>
          <t>子弹特效</t>
        </is>
      </c>
      <c r="D41" s="76" t="inlineStr">
        <is>
          <t>combat</t>
        </is>
      </c>
      <c r="E41" s="76" t="inlineStr">
        <is>
          <t>fate_rock</t>
        </is>
      </c>
      <c r="F41" s="76" t="inlineStr">
        <is>
          <t>root_3d</t>
        </is>
      </c>
      <c r="G41" s="76" t="n"/>
      <c r="H41" s="76" t="inlineStr">
        <is>
          <t>俯视3D</t>
        </is>
      </c>
      <c r="I41" s="76" t="inlineStr">
        <is>
          <t>fate_rock</t>
        </is>
      </c>
      <c r="J41" s="76" t="inlineStr">
        <is>
          <t>力量命运卡</t>
        </is>
      </c>
      <c r="K41" s="76" t="inlineStr">
        <is>
          <t>已完成</t>
        </is>
      </c>
      <c r="L41" s="76" t="inlineStr">
        <is>
          <t>P1</t>
        </is>
      </c>
      <c r="M41" s="76" t="inlineStr">
        <is>
          <t>v001</t>
        </is>
      </c>
      <c r="N41" s="76" t="inlineStr">
        <is>
          <t>低多边形石头，直径0.36m；随弹体滚动，不进入VfxPool3D</t>
        </is>
      </c>
      <c r="O41" s="76" t="inlineStr">
        <is>
          <t>assets/art/vfx/combat_3d/vfx_fate_rock_root_top3d.tscn</t>
        </is>
      </c>
      <c r="P41" s="76" t="inlineStr">
        <is>
          <t>src/vfx/VfxFateRock3D.gd; docs/v0.1/14_技术施工_命运塔罗牌组.md</t>
        </is>
      </c>
      <c r="Q41" s="76" t="inlineStr">
        <is>
          <t>命运;力量;滚石;碎裂</t>
        </is>
      </c>
      <c r="R41" s="76">
        <f>LOWER(TRIM(C41)&amp;"|"&amp;TRIM(D41)&amp;"|"&amp;TRIM(E41)&amp;"|"&amp;TRIM(F41)&amp;"|"&amp;TRIM(H41)&amp;"|"&amp;TRIM(I41))</f>
        <v/>
      </c>
      <c r="S41" s="76">
        <f>IF(COUNTIF($R$6:$R$47,R41)&gt;1,"重复","唯一")</f>
        <v/>
      </c>
      <c r="T41" s="76" t="inlineStr">
        <is>
          <t>e85c77c8f7d178fd9cabe8a806e729bd81c4a9cd9969c3ec468cdbb302930138</t>
        </is>
      </c>
      <c r="U41" s="76" t="inlineStr">
        <is>
          <t>Codex</t>
        </is>
      </c>
      <c r="V41" s="77" t="inlineStr">
        <is>
          <t>2026-10-16</t>
        </is>
      </c>
      <c r="W41" s="76" t="inlineStr">
        <is>
          <t>原创Prefab几何</t>
        </is>
      </c>
      <c r="X41" s="76" t="inlineStr">
        <is>
          <t>FX01-22</t>
        </is>
      </c>
      <c r="Y41" s="76" t="inlineStr">
        <is>
          <t>低多边形石头，直径0.36m；随弹体滚动，不进入VfxPool3D；行为由Projectile3D持有；碰撞不在VFX里。；隔离专项及真实渲染已验收，见2026-10-16_star_physical_mounts开发记录。</t>
        </is>
      </c>
    </row>
    <row r="42">
      <c r="A42" s="76" t="inlineStr">
        <is>
          <t>VFX-FATE-ROCK-SHATTER-3D</t>
        </is>
      </c>
      <c r="B42" s="76" t="inlineStr">
        <is>
          <t>力量碎石爆散</t>
        </is>
      </c>
      <c r="C42" s="76" t="inlineStr">
        <is>
          <t>特效</t>
        </is>
      </c>
      <c r="D42" s="76" t="inlineStr">
        <is>
          <t>combat</t>
        </is>
      </c>
      <c r="E42" s="76" t="inlineStr">
        <is>
          <t>fate_rock_shatter</t>
        </is>
      </c>
      <c r="F42" s="76" t="inlineStr">
        <is>
          <t>root_3d</t>
        </is>
      </c>
      <c r="G42" s="76" t="n"/>
      <c r="H42" s="76" t="inlineStr">
        <is>
          <t>俯视3D</t>
        </is>
      </c>
      <c r="I42" s="76" t="inlineStr">
        <is>
          <t>fate_rock_shatter</t>
        </is>
      </c>
      <c r="J42" s="76" t="inlineStr">
        <is>
          <t>力量命运卡</t>
        </is>
      </c>
      <c r="K42" s="76" t="inlineStr">
        <is>
          <t>已完成</t>
        </is>
      </c>
      <c r="L42" s="76" t="inlineStr">
        <is>
          <t>P1</t>
        </is>
      </c>
      <c r="M42" s="76" t="inlineStr">
        <is>
          <t>v001</t>
        </is>
      </c>
      <c r="N42" s="76" t="inlineStr">
        <is>
          <t>8枚石块径向飞散，0.55s；无灯无碰撞；进入VfxPool3D</t>
        </is>
      </c>
      <c r="O42" s="76" t="inlineStr">
        <is>
          <t>assets/art/vfx/combat_3d/vfx_fate_rock_shatter_root_top3d.tscn</t>
        </is>
      </c>
      <c r="P42" s="76" t="inlineStr">
        <is>
          <t>src/vfx/VfxFateRockShatter3D.gd; docs/v0.1/14_技术施工_命运塔罗牌组.md</t>
        </is>
      </c>
      <c r="Q42" s="76" t="inlineStr">
        <is>
          <t>命运;力量;滚石;碎裂</t>
        </is>
      </c>
      <c r="R42" s="76">
        <f>LOWER(TRIM(C42)&amp;"|"&amp;TRIM(D42)&amp;"|"&amp;TRIM(E42)&amp;"|"&amp;TRIM(F42)&amp;"|"&amp;TRIM(H42)&amp;"|"&amp;TRIM(I42))</f>
        <v/>
      </c>
      <c r="S42" s="76">
        <f>IF(COUNTIF($R$6:$R$47,R42)&gt;1,"重复","唯一")</f>
        <v/>
      </c>
      <c r="T42" s="76" t="inlineStr">
        <is>
          <t>8e25fad8d8af63c4f41ea3d8ac6b6ddc44c0a702c7f7fcd546dfac2ebddc4726</t>
        </is>
      </c>
      <c r="U42" s="76" t="inlineStr">
        <is>
          <t>Codex</t>
        </is>
      </c>
      <c r="V42" s="77" t="inlineStr">
        <is>
          <t>2026-10-16</t>
        </is>
      </c>
      <c r="W42" s="76" t="inlineStr">
        <is>
          <t>原创Prefab几何</t>
        </is>
      </c>
      <c r="X42" s="76" t="inlineStr">
        <is>
          <t>FX01-23</t>
        </is>
      </c>
      <c r="Y42" s="76" t="inlineStr">
        <is>
          <t>8枚石块径向飞散，0.55s；无灯无碰撞；进入VfxPool3D；行为由Projectile3D持有；碰撞不在VFX里。；隔离专项及真实渲染已验收，见2026-10-16_star_physical_mounts开发记录。</t>
        </is>
      </c>
    </row>
    <row r="43" ht="70" customHeight="1" s="52">
      <c r="A43" s="76" t="inlineStr">
        <is>
          <t>VFX-MELEE-AXE-CHARGE-3D</t>
        </is>
      </c>
      <c r="B43" s="76" t="inlineStr">
        <is>
          <t>战斧蓄力环</t>
        </is>
      </c>
      <c r="C43" s="76" t="inlineStr">
        <is>
          <t>特效</t>
        </is>
      </c>
      <c r="D43" s="76" t="inlineStr">
        <is>
          <t>combat</t>
        </is>
      </c>
      <c r="E43" s="76" t="inlineStr">
        <is>
          <t>melee_axe_charge</t>
        </is>
      </c>
      <c r="F43" s="76" t="inlineStr">
        <is>
          <t>root_3d</t>
        </is>
      </c>
      <c r="G43" s="76" t="n"/>
      <c r="H43" s="76" t="inlineStr">
        <is>
          <t>俯视3D</t>
        </is>
      </c>
      <c r="I43" s="76" t="inlineStr">
        <is>
          <t>axe_charge</t>
        </is>
      </c>
      <c r="J43" s="76" t="inlineStr">
        <is>
          <t>三类近战</t>
        </is>
      </c>
      <c r="K43" s="76" t="inlineStr">
        <is>
          <t>已完成</t>
        </is>
      </c>
      <c r="L43" s="76" t="inlineStr">
        <is>
          <t>P0</t>
        </is>
      </c>
      <c r="M43" s="76" t="inlineStr">
        <is>
          <t>v001</t>
        </is>
      </c>
      <c r="N43" s="76" t="inlineStr">
        <is>
          <t>静态Prefab几何+Shader；无碰撞</t>
        </is>
      </c>
      <c r="O43" s="76" t="inlineStr">
        <is>
          <t>assets/art/vfx/combat_3d/vfx_axe_charge_root_top3d.tscn</t>
        </is>
      </c>
      <c r="P43" s="76" t="inlineStr">
        <is>
          <t>src/vfx/VfxAxeCharge3D.gd；docs/v0.1/development/2026-10-16_melee_styles_v041.md</t>
        </is>
      </c>
      <c r="Q43" s="76" t="inlineStr">
        <is>
          <t>战斧蓄力环</t>
        </is>
      </c>
      <c r="R43" s="76">
        <f>LOWER(TRIM(C43)&amp;"|"&amp;TRIM(D43)&amp;"|"&amp;TRIM(E43)&amp;"|"&amp;TRIM(F43)&amp;"|"&amp;TRIM(H43)&amp;"|"&amp;TRIM(I43))</f>
        <v/>
      </c>
      <c r="S43" s="76">
        <f>IF(COUNTIF($R$6:$R$47,R43)&gt;1,"重复","唯一")</f>
        <v/>
      </c>
      <c r="T43" s="76" t="inlineStr">
        <is>
          <t>701ecaa4330435775c16ac939922ccc6fc8a17010de45c3240d654b2e71fb8b7</t>
        </is>
      </c>
      <c r="U43" s="76" t="inlineStr">
        <is>
          <t>Codex</t>
        </is>
      </c>
      <c r="V43" s="77" t="n">
        <v>46311</v>
      </c>
      <c r="W43" s="76" t="inlineStr">
        <is>
          <t>原创Godot几何与Shader</t>
        </is>
      </c>
      <c r="X43" s="76" t="inlineStr">
        <is>
          <t>FX01-24</t>
        </is>
      </c>
      <c r="Y43" s="76" t="inlineStr">
        <is>
          <t>收缩橙金双环，随玩家，持有至释放；池化/跟随/回收/真实渲染通过；无伤害逻辑</t>
        </is>
      </c>
    </row>
    <row r="44" ht="70" customHeight="1" s="52">
      <c r="A44" s="76" t="inlineStr">
        <is>
          <t>VFX-MELEE-AXE-CLEAVE-3D</t>
        </is>
      </c>
      <c r="B44" s="76" t="inlineStr">
        <is>
          <t>战斧下劈弧光</t>
        </is>
      </c>
      <c r="C44" s="76" t="inlineStr">
        <is>
          <t>特效</t>
        </is>
      </c>
      <c r="D44" s="76" t="inlineStr">
        <is>
          <t>combat</t>
        </is>
      </c>
      <c r="E44" s="76" t="inlineStr">
        <is>
          <t>melee_axe_cleave</t>
        </is>
      </c>
      <c r="F44" s="76" t="inlineStr">
        <is>
          <t>root_3d</t>
        </is>
      </c>
      <c r="G44" s="76" t="n"/>
      <c r="H44" s="76" t="inlineStr">
        <is>
          <t>俯视3D</t>
        </is>
      </c>
      <c r="I44" s="76" t="inlineStr">
        <is>
          <t>axe_cleave</t>
        </is>
      </c>
      <c r="J44" s="76" t="inlineStr">
        <is>
          <t>三类近战</t>
        </is>
      </c>
      <c r="K44" s="76" t="inlineStr">
        <is>
          <t>已完成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静态Prefab几何+Shader；无碰撞</t>
        </is>
      </c>
      <c r="O44" s="76" t="inlineStr">
        <is>
          <t>assets/art/vfx/combat_3d/vfx_axe_cleave_root_top3d.tscn</t>
        </is>
      </c>
      <c r="P44" s="76" t="inlineStr">
        <is>
          <t>src/vfx/VfxAxeCleave3D.gd；docs/v0.1/development/2026-10-16_melee_styles_v041.md</t>
        </is>
      </c>
      <c r="Q44" s="76" t="inlineStr">
        <is>
          <t>战斧下劈弧光</t>
        </is>
      </c>
      <c r="R44" s="76">
        <f>LOWER(TRIM(C44)&amp;"|"&amp;TRIM(D44)&amp;"|"&amp;TRIM(E44)&amp;"|"&amp;TRIM(F44)&amp;"|"&amp;TRIM(H44)&amp;"|"&amp;TRIM(I44))</f>
        <v/>
      </c>
      <c r="S44" s="76">
        <f>IF(COUNTIF($R$6:$R$47,R44)&gt;1,"重复","唯一")</f>
        <v/>
      </c>
      <c r="T44" s="76" t="inlineStr">
        <is>
          <t>7b5a11e6d3120623b404a81cd62d0e265852cd77fecb41f6c4043ec4459eeb9f</t>
        </is>
      </c>
      <c r="U44" s="76" t="inlineStr">
        <is>
          <t>Codex</t>
        </is>
      </c>
      <c r="V44" s="77" t="n">
        <v>46311</v>
      </c>
      <c r="W44" s="76" t="inlineStr">
        <is>
          <t>原创Godot几何与Shader</t>
        </is>
      </c>
      <c r="X44" s="76" t="inlineStr">
        <is>
          <t>FX01-25</t>
        </is>
      </c>
      <c r="Y44" s="76" t="inlineStr">
        <is>
          <t>竖向橙金弧，随玩家朝向，有效阶段消退；池化/跟随/回收/真实渲染通过；无伤害逻辑</t>
        </is>
      </c>
    </row>
    <row r="45" ht="70" customHeight="1" s="52">
      <c r="A45" s="76" t="inlineStr">
        <is>
          <t>VFX-MELEE-AXE-IMPACT-3D</t>
        </is>
      </c>
      <c r="B45" s="76" t="inlineStr">
        <is>
          <t>战斧触地冲击</t>
        </is>
      </c>
      <c r="C45" s="76" t="inlineStr">
        <is>
          <t>特效</t>
        </is>
      </c>
      <c r="D45" s="76" t="inlineStr">
        <is>
          <t>combat</t>
        </is>
      </c>
      <c r="E45" s="76" t="inlineStr">
        <is>
          <t>melee_axe_impact</t>
        </is>
      </c>
      <c r="F45" s="76" t="inlineStr">
        <is>
          <t>root_3d</t>
        </is>
      </c>
      <c r="G45" s="76" t="n"/>
      <c r="H45" s="76" t="inlineStr">
        <is>
          <t>俯视3D</t>
        </is>
      </c>
      <c r="I45" s="76" t="inlineStr">
        <is>
          <t>axe_impact</t>
        </is>
      </c>
      <c r="J45" s="76" t="inlineStr">
        <is>
          <t>三类近战</t>
        </is>
      </c>
      <c r="K45" s="76" t="inlineStr">
        <is>
          <t>已完成</t>
        </is>
      </c>
      <c r="L45" s="76" t="inlineStr">
        <is>
          <t>P0</t>
        </is>
      </c>
      <c r="M45" s="76" t="inlineStr">
        <is>
          <t>v001</t>
        </is>
      </c>
      <c r="N45" s="76" t="inlineStr">
        <is>
          <t>静态Prefab几何+Shader；无碰撞</t>
        </is>
      </c>
      <c r="O45" s="76" t="inlineStr">
        <is>
          <t>assets/art/vfx/combat_3d/vfx_axe_impact_root_top3d.tscn</t>
        </is>
      </c>
      <c r="P45" s="76" t="inlineStr">
        <is>
          <t>src/vfx/VfxAxeImpact3D.gd；docs/v0.1/development/2026-10-16_melee_styles_v041.md</t>
        </is>
      </c>
      <c r="Q45" s="76" t="inlineStr">
        <is>
          <t>战斧触地冲击</t>
        </is>
      </c>
      <c r="R45" s="76">
        <f>LOWER(TRIM(C45)&amp;"|"&amp;TRIM(D45)&amp;"|"&amp;TRIM(E45)&amp;"|"&amp;TRIM(F45)&amp;"|"&amp;TRIM(H45)&amp;"|"&amp;TRIM(I45))</f>
        <v/>
      </c>
      <c r="S45" s="76">
        <f>IF(COUNTIF($R$6:$R$47,R45)&gt;1,"重复","唯一")</f>
        <v/>
      </c>
      <c r="T45" s="76" t="inlineStr">
        <is>
          <t>46b1b343a0d62d13ad6d04df74e20598630794d1641c128c98682cee05f6e8c5</t>
        </is>
      </c>
      <c r="U45" s="76" t="inlineStr">
        <is>
          <t>Codex</t>
        </is>
      </c>
      <c r="V45" s="77" t="n">
        <v>46311</v>
      </c>
      <c r="W45" s="76" t="inlineStr">
        <is>
          <t>原创Godot几何与Shader</t>
        </is>
      </c>
      <c r="X45" s="76" t="inlineStr">
        <is>
          <t>FX01-26</t>
        </is>
      </c>
      <c r="Y45" s="76" t="inlineStr">
        <is>
          <t>落点扩散环与8枚碎屑，世界锚定；池化/跟随/回收/真实渲染通过；无伤害逻辑</t>
        </is>
      </c>
    </row>
    <row r="46" ht="70" customHeight="1" s="52">
      <c r="A46" s="76" t="inlineStr">
        <is>
          <t>VFX-MELEE-BLADE-SWEEP-3D</t>
        </is>
      </c>
      <c r="B46" s="76" t="inlineStr">
        <is>
          <t>大剑横扫弧光</t>
        </is>
      </c>
      <c r="C46" s="76" t="inlineStr">
        <is>
          <t>特效</t>
        </is>
      </c>
      <c r="D46" s="76" t="inlineStr">
        <is>
          <t>combat</t>
        </is>
      </c>
      <c r="E46" s="76" t="inlineStr">
        <is>
          <t>melee_blade_sweep</t>
        </is>
      </c>
      <c r="F46" s="76" t="inlineStr">
        <is>
          <t>root_3d</t>
        </is>
      </c>
      <c r="G46" s="76" t="n"/>
      <c r="H46" s="76" t="inlineStr">
        <is>
          <t>俯视3D</t>
        </is>
      </c>
      <c r="I46" s="76" t="inlineStr">
        <is>
          <t>blade_sweep</t>
        </is>
      </c>
      <c r="J46" s="76" t="inlineStr">
        <is>
          <t>三类近战</t>
        </is>
      </c>
      <c r="K46" s="76" t="inlineStr">
        <is>
          <t>已完成</t>
        </is>
      </c>
      <c r="L46" s="76" t="inlineStr">
        <is>
          <t>P0</t>
        </is>
      </c>
      <c r="M46" s="76" t="inlineStr">
        <is>
          <t>v001</t>
        </is>
      </c>
      <c r="N46" s="76" t="inlineStr">
        <is>
          <t>静态Prefab几何+Shader；无碰撞</t>
        </is>
      </c>
      <c r="O46" s="76" t="inlineStr">
        <is>
          <t>assets/art/vfx/combat_3d/vfx_blade_sweep_root_top3d.tscn</t>
        </is>
      </c>
      <c r="P46" s="76" t="inlineStr">
        <is>
          <t>src/vfx/VfxBladeSweep3D.gd；docs/v0.1/development/2026-10-16_melee_styles_v041.md</t>
        </is>
      </c>
      <c r="Q46" s="76" t="inlineStr">
        <is>
          <t>大剑横扫弧光</t>
        </is>
      </c>
      <c r="R46" s="76">
        <f>LOWER(TRIM(C46)&amp;"|"&amp;TRIM(D46)&amp;"|"&amp;TRIM(E46)&amp;"|"&amp;TRIM(F46)&amp;"|"&amp;TRIM(H46)&amp;"|"&amp;TRIM(I46))</f>
        <v/>
      </c>
      <c r="S46" s="76">
        <f>IF(COUNTIF($R$6:$R$47,R46)&gt;1,"重复","唯一")</f>
        <v/>
      </c>
      <c r="T46" s="76" t="inlineStr">
        <is>
          <t>6d06196bc0249b8be7713a8407673da3aa627627bff517f0c644a199eebce79b</t>
        </is>
      </c>
      <c r="U46" s="76" t="inlineStr">
        <is>
          <t>Codex</t>
        </is>
      </c>
      <c r="V46" s="77" t="n">
        <v>46311</v>
      </c>
      <c r="W46" s="76" t="inlineStr">
        <is>
          <t>原创Godot几何与Shader</t>
        </is>
      </c>
      <c r="X46" s="76" t="inlineStr">
        <is>
          <t>FX01-27</t>
        </is>
      </c>
      <c r="Y46" s="76" t="inlineStr">
        <is>
          <t>蓝白弧，第二击反向，随玩家；池化/跟随/回收/真实渲染通过；无伤害逻辑</t>
        </is>
      </c>
    </row>
    <row r="47" ht="70" customHeight="1" s="52">
      <c r="A47" s="76" t="inlineStr">
        <is>
          <t>VFX-MELEE-BLADE-WHIRLWIND-3D</t>
        </is>
      </c>
      <c r="B47" s="76" t="inlineStr">
        <is>
          <t>大剑旋风环</t>
        </is>
      </c>
      <c r="C47" s="76" t="inlineStr">
        <is>
          <t>特效</t>
        </is>
      </c>
      <c r="D47" s="76" t="inlineStr">
        <is>
          <t>combat</t>
        </is>
      </c>
      <c r="E47" s="76" t="inlineStr">
        <is>
          <t>melee_blade_whirlwind</t>
        </is>
      </c>
      <c r="F47" s="76" t="inlineStr">
        <is>
          <t>root_3d</t>
        </is>
      </c>
      <c r="G47" s="76" t="n"/>
      <c r="H47" s="76" t="inlineStr">
        <is>
          <t>俯视3D</t>
        </is>
      </c>
      <c r="I47" s="76" t="inlineStr">
        <is>
          <t>blade_whirlwind</t>
        </is>
      </c>
      <c r="J47" s="76" t="inlineStr">
        <is>
          <t>三类近战</t>
        </is>
      </c>
      <c r="K47" s="76" t="inlineStr">
        <is>
          <t>已完成</t>
        </is>
      </c>
      <c r="L47" s="76" t="inlineStr">
        <is>
          <t>P0</t>
        </is>
      </c>
      <c r="M47" s="76" t="inlineStr">
        <is>
          <t>v001</t>
        </is>
      </c>
      <c r="N47" s="76" t="inlineStr">
        <is>
          <t>静态Prefab几何+Shader；无碰撞</t>
        </is>
      </c>
      <c r="O47" s="76" t="inlineStr">
        <is>
          <t>assets/art/vfx/combat_3d/vfx_blade_whirlwind_root_top3d.tscn</t>
        </is>
      </c>
      <c r="P47" s="76" t="inlineStr">
        <is>
          <t>src/vfx/VfxBladeWhirlwind3D.gd；docs/v0.1/development/2026-10-16_melee_styles_v041.md</t>
        </is>
      </c>
      <c r="Q47" s="76" t="inlineStr">
        <is>
          <t>大剑旋风环</t>
        </is>
      </c>
      <c r="R47" s="76">
        <f>LOWER(TRIM(C47)&amp;"|"&amp;TRIM(D47)&amp;"|"&amp;TRIM(E47)&amp;"|"&amp;TRIM(F47)&amp;"|"&amp;TRIM(H47)&amp;"|"&amp;TRIM(I47))</f>
        <v/>
      </c>
      <c r="S47" s="76">
        <f>IF(COUNTIF($R$6:$R$47,R47)&gt;1,"重复","唯一")</f>
        <v/>
      </c>
      <c r="T47" s="76" t="inlineStr">
        <is>
          <t>48ece915e68370e24e06f9f53ed382585176d5bccfb4bf3133359632806dfc41</t>
        </is>
      </c>
      <c r="U47" s="76" t="inlineStr">
        <is>
          <t>Codex</t>
        </is>
      </c>
      <c r="V47" s="77" t="n">
        <v>46311</v>
      </c>
      <c r="W47" s="76" t="inlineStr">
        <is>
          <t>原创Godot几何与Shader</t>
        </is>
      </c>
      <c r="X47" s="76" t="inlineStr">
        <is>
          <t>FX01-28</t>
        </is>
      </c>
      <c r="Y47" s="76" t="inlineStr">
        <is>
          <t>蓝白双层断续环，每0.55秒旋转，释放/中断归还；池化/跟随/回收/真实渲染通过；无伤害逻辑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42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47" showDropDown="0" showInputMessage="0" showErrorMessage="0" allowBlank="1" type="list">
      <formula1>"角色,敌人,武器,道具,场景,场景道具,基地资产包,UI,特效,子弹特效,音效,音乐"</formula1>
    </dataValidation>
    <dataValidation sqref="K6:K4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4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漫画风超粗字形 + 粗近黑勾边 + 颜色编码（红/橙/暴击金）；参数 effect_color + context.text_value/magnitude/critical + 五维随机（spawn_offset/rise_scale/drift/pop_scale/duration_scale）。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pixel_size=0.00375；MSDF 128 + msdf_pixel_range 64（描边可达上限 ≈ range/2）；字号分档 116/134/152（世界字高 0.435/0.503/0.570 m）；描边 13/15/17；lifetime 0.70s × duration_scale；基线上升 0.90m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v004</t>
        </is>
      </c>
      <c r="Q16" s="51" t="inlineStr">
        <is>
          <t>已实装；Prefab=assets/art/vfx/combat_3d/vfx_damage_number_root_top3d.tscn + 脚本=src/vfx/VfxDamageNumber3D.gd；根节点=VfxDamageNumber3D(Node3D)；FX编号 FX02-01；调用方：Enemy3D._spawn_damage_number 经 VfxPool3D 路由；接受 context.text_value；调用方：Enemy3D._spawn_damage_number 经 VfxPool3D 路由。【2026-10-16 样式重做】字体与样式真源收敛到 src/vfx/DamageNumberStyle.gd（漫画风超粗体：字体链首选 Impact、字重 900、MSDF 128；近黑粗勾边 ≈ 字高 22%）；随机数只活在调用方 Enemy3D._damage_number_context()，特效脚本对同一 context 逐位可复现。【P0 修复】_on_tick 原以**赋值**写 position（position.y = rise_t × 距离），出生坐标第一帧即被清零 —— 实测实机飘字跑到世界原点上方不到 1 米、与怪物楼层无关；改为 position = _origin_local + 偏移。Prefab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13,421（×83.9）。【2026-10-17 描边减半】**描边减半**（业主：「太粗了，缩小一半」）。v003 修好 `msdf_pixel_range` 后描边第一次足额渲染，实机看下来过粗 ⇒ 描边尺寸 26/30/34 → **13/15/17**（占字高 22% → 11%，描边色与淡出通道不变）。真源 `DamageNumberStyle.NORMAL/HEAVY/CRITICAL_OUTLINE_SIZE` 一处改动即覆盖三条链路。**距离场宽度不动**（仍 64）：需求 2 × max(描边 × msdf_size / 字号) 由 57.4 降到 28.7，64 依旧足额且支持描边到约 38 @ 字号 152，留余量以便后续微调不必重新定档。验收侧硬编码期望同步为 13/15/17、下界不等式随之重算为 28.7。反向对照两组：range→16（下界红）／真源描边偷偷改回 26（常量钉子红）—— 均精准变红后复绿。实机同帧 A/B（红色字形像素恒为 5,105 ⇒ 字形未变）：近黑描边像素 12,613 → 6,392（×0.507）。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漫画风超粗字形 + 粗近黑勾边 + 治疗绿；参数 context.text_value/magnitude + 五维随机（同 FX02-01）。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pixel_size=0.00375；MSDF 128 + msdf_pixel_range 64（描边可达上限 ≈ range/2）；字号 116（世界字高 0.435 m）；描边 13；lifetime 0.70s × duration_scale；基线上升 0.90m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v004</t>
        </is>
      </c>
      <c r="Q17" s="51" t="inlineStr">
        <is>
          <t>已实装；Prefab=assets/art/vfx/combat_3d/vfx_heal_number_root_top3d.tscn + 脚本=src/vfx/VfxHealNumber3D.gd；根节点=VfxHealNumber3D(Node3D)；FX编号 FX02-02；调用方：Enemy3D._spawn_damage_number 经 VfxPool3D 路由；接受 context.text_value；调用方：Enemy3D._spawn_heal_number 经 VfxPool3D 路由（2026-10-16 起；此前治疗误借 VFX-DAMAGE-NUMBER-3D ⇒ 回血飘红字「0」，而本 AssetID 全工程零调用方）。【2026-10-16 样式重做】字体与样式取 src/vfx/DamageNumberStyle.gd，与 FX02-01 同源。Prefab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13,421（×83.9）。【2026-10-17 描边减半】**描边减半**（业主：「太粗了，缩小一半」）。v003 修好 `msdf_pixel_range` 后描边第一次足额渲染，实机看下来过粗 ⇒ 描边尺寸 26/30/34 → **13/15/17**（占字高 22% → 11%，描边色与淡出通道不变）。真源 `DamageNumberStyle.NORMAL/HEAVY/CRITICAL_OUTLINE_SIZE` 一处改动即覆盖三条链路。**距离场宽度不动**（仍 64）：需求 2 × max(描边 × msdf_size / 字号) 由 57.4 降到 28.7，64 依旧足额且支持描边到约 38 @ 字号 152，留余量以便后续微调不必重新定档。验收侧硬编码期望同步为 13/15/17、下界不等式随之重算为 28.7。反向对照两组：range→16（下界红）／真源描边偷偷改回 26（常量钉子红）—— 均精准变红后复绿。实机同帧 A/B（红色字形像素恒为 5,105 ⇒ 字形未变）：近黑描边像素 12,613 → 6,392（×0.507）。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A42" s="100" t="inlineStr">
        <is>
          <t>FX01-22</t>
        </is>
      </c>
      <c r="B42" s="101" t="inlineStr">
        <is>
          <t>VFX-FATE-ROCK-3D</t>
        </is>
      </c>
      <c r="C42" s="51" t="inlineStr">
        <is>
          <t>力量滚石弹</t>
        </is>
      </c>
      <c r="D42" s="101" t="inlineStr">
        <is>
          <t>assets/art/vfx/combat_3d/vfx_fate_rock_root_top3d.tscn</t>
        </is>
      </c>
      <c r="E42" s="51" t="inlineStr">
        <is>
          <t>无（Prefab几何）</t>
        </is>
      </c>
      <c r="F42" s="51" t="inlineStr">
        <is>
          <t>无（Prefab几何）</t>
        </is>
      </c>
      <c r="G42" s="51" t="inlineStr">
        <is>
          <t>低多边形石头，直径0.36m；随弹体滚动，不进入VfxPool3D</t>
        </is>
      </c>
      <c r="H42" s="101" t="inlineStr">
        <is>
          <t>src/vfx/VfxFateRock3D.gd</t>
        </is>
      </c>
      <c r="I42" s="51" t="inlineStr">
        <is>
          <t>无</t>
        </is>
      </c>
      <c r="J42" s="51" t="inlineStr">
        <is>
          <t>Projectile3D玩法碰撞</t>
        </is>
      </c>
      <c r="K42" s="51" t="inlineStr">
        <is>
          <t>无CollisionObject3D/CollisionShape3D</t>
        </is>
      </c>
      <c r="L42" s="51" t="inlineStr">
        <is>
          <t>0.36m</t>
        </is>
      </c>
      <c r="M42" s="51" t="inlineStr">
        <is>
          <t>原点=弹心；-Z前向；局部X滚动</t>
        </is>
      </c>
      <c r="N42" s="51" t="inlineStr">
        <is>
          <t>Projectile3D</t>
        </is>
      </c>
      <c r="O42" s="51" t="inlineStr">
        <is>
          <t>已完成</t>
        </is>
      </c>
      <c r="P42" s="101" t="inlineStr">
        <is>
          <t>v001</t>
        </is>
      </c>
      <c r="Q42" s="51" t="inlineStr">
        <is>
          <t>verify_star_physical_mounts与真实渲染通过；开发记录2026-10-16_star_physical_mounts.md</t>
        </is>
      </c>
    </row>
    <row r="43" ht="15" customHeight="1" s="52">
      <c r="A43" s="100" t="inlineStr">
        <is>
          <t>FX01-23</t>
        </is>
      </c>
      <c r="B43" s="101" t="inlineStr">
        <is>
          <t>VFX-FATE-ROCK-SHATTER-3D</t>
        </is>
      </c>
      <c r="C43" s="51" t="inlineStr">
        <is>
          <t>力量碎石爆散</t>
        </is>
      </c>
      <c r="D43" s="101" t="inlineStr">
        <is>
          <t>assets/art/vfx/combat_3d/vfx_fate_rock_shatter_root_top3d.tscn</t>
        </is>
      </c>
      <c r="E43" s="51" t="inlineStr">
        <is>
          <t>无（Prefab几何）</t>
        </is>
      </c>
      <c r="F43" s="51" t="inlineStr">
        <is>
          <t>无（Prefab几何）</t>
        </is>
      </c>
      <c r="G43" s="51" t="inlineStr">
        <is>
          <t>8枚石块径向飞散，0.55s；无灯无碰撞；进入VfxPool3D</t>
        </is>
      </c>
      <c r="H43" s="101" t="inlineStr">
        <is>
          <t>src/vfx/VfxFateRockShatter3D.gd</t>
        </is>
      </c>
      <c r="I43" s="51" t="inlineStr">
        <is>
          <t>无</t>
        </is>
      </c>
      <c r="J43" s="51" t="inlineStr">
        <is>
          <t>Projectile3D玩法碰撞</t>
        </is>
      </c>
      <c r="K43" s="51" t="inlineStr">
        <is>
          <t>无CollisionObject3D/CollisionShape3D</t>
        </is>
      </c>
      <c r="L43" s="51" t="inlineStr">
        <is>
          <t>0.55s，8枚碎块</t>
        </is>
      </c>
      <c r="M43" s="51" t="inlineStr">
        <is>
          <t>原点=命中点；径向碎裂</t>
        </is>
      </c>
      <c r="N43" s="51" t="inlineStr">
        <is>
          <t>Projectile3D</t>
        </is>
      </c>
      <c r="O43" s="51" t="inlineStr">
        <is>
          <t>已完成</t>
        </is>
      </c>
      <c r="P43" s="101" t="inlineStr">
        <is>
          <t>v001</t>
        </is>
      </c>
      <c r="Q43" s="51" t="inlineStr">
        <is>
          <t>verify_star_physical_mounts与真实渲染通过；开发记录2026-10-16_star_physical_mounts.md</t>
        </is>
      </c>
    </row>
    <row r="44" ht="70" customHeight="1" s="52">
      <c r="A44" s="100" t="inlineStr">
        <is>
          <t>FX01-24</t>
        </is>
      </c>
      <c r="B44" s="101" t="inlineStr">
        <is>
          <t>VFX-MELEE-AXE-CHARGE-3D</t>
        </is>
      </c>
      <c r="C44" s="51" t="inlineStr">
        <is>
          <t>战斧蓄力环</t>
        </is>
      </c>
      <c r="D44" s="101" t="inlineStr">
        <is>
          <t>assets/art/vfx/combat_3d/vfx_axe_charge_root_top3d.tscn</t>
        </is>
      </c>
      <c r="G44" s="51" t="inlineStr">
        <is>
          <t>收缩橙金双环，随玩家，持有至释放</t>
        </is>
      </c>
      <c r="H44" s="101" t="inlineStr">
        <is>
          <t>src/vfx/VfxAxeCharge3D.gd</t>
        </is>
      </c>
      <c r="I44" s="51" t="inlineStr">
        <is>
          <t>无</t>
        </is>
      </c>
      <c r="J44" s="51" t="inlineStr">
        <is>
          <t>无</t>
        </is>
      </c>
      <c r="K44" s="51" t="inlineStr">
        <is>
          <t>无</t>
        </is>
      </c>
      <c r="L44" s="51" t="inlineStr">
        <is>
          <t>基础半径1m×size</t>
        </is>
      </c>
      <c r="M44" s="51" t="inlineStr">
        <is>
          <t>local -Z前方；中心为特效原点</t>
        </is>
      </c>
      <c r="N44" s="51" t="inlineStr">
        <is>
          <t>PlayerMeleeCombat3D → VfxPool3D</t>
        </is>
      </c>
      <c r="O44" s="51" t="inlineStr">
        <is>
          <t>完成</t>
        </is>
      </c>
      <c r="P44" s="101" t="inlineStr">
        <is>
          <t>v001</t>
        </is>
      </c>
      <c r="Q44" s="101" t="inlineStr">
        <is>
          <t>docs/v0.1/development/2026-10-16_melee_styles_v041.md</t>
        </is>
      </c>
    </row>
    <row r="45" ht="70" customHeight="1" s="52">
      <c r="A45" s="100" t="inlineStr">
        <is>
          <t>FX01-25</t>
        </is>
      </c>
      <c r="B45" s="101" t="inlineStr">
        <is>
          <t>VFX-MELEE-AXE-CLEAVE-3D</t>
        </is>
      </c>
      <c r="C45" s="51" t="inlineStr">
        <is>
          <t>战斧下劈弧光</t>
        </is>
      </c>
      <c r="D45" s="101" t="inlineStr">
        <is>
          <t>assets/art/vfx/combat_3d/vfx_axe_cleave_root_top3d.tscn</t>
        </is>
      </c>
      <c r="G45" s="51" t="inlineStr">
        <is>
          <t>竖向橙金弧，随玩家朝向，有效阶段消退</t>
        </is>
      </c>
      <c r="H45" s="101" t="inlineStr">
        <is>
          <t>src/vfx/VfxAxeCleave3D.gd</t>
        </is>
      </c>
      <c r="I45" s="51" t="inlineStr">
        <is>
          <t>无</t>
        </is>
      </c>
      <c r="J45" s="51" t="inlineStr">
        <is>
          <t>无</t>
        </is>
      </c>
      <c r="K45" s="51" t="inlineStr">
        <is>
          <t>无</t>
        </is>
      </c>
      <c r="L45" s="51" t="inlineStr">
        <is>
          <t>基础半径1m×size</t>
        </is>
      </c>
      <c r="M45" s="51" t="inlineStr">
        <is>
          <t>local -Z前方；中心为特效原点</t>
        </is>
      </c>
      <c r="N45" s="51" t="inlineStr">
        <is>
          <t>PlayerMeleeCombat3D → VfxPool3D</t>
        </is>
      </c>
      <c r="O45" s="51" t="inlineStr">
        <is>
          <t>完成</t>
        </is>
      </c>
      <c r="P45" s="101" t="inlineStr">
        <is>
          <t>v001</t>
        </is>
      </c>
      <c r="Q45" s="101" t="inlineStr">
        <is>
          <t>docs/v0.1/development/2026-10-16_melee_styles_v041.md</t>
        </is>
      </c>
    </row>
    <row r="46" ht="70" customHeight="1" s="52">
      <c r="A46" s="100" t="inlineStr">
        <is>
          <t>FX01-26</t>
        </is>
      </c>
      <c r="B46" s="101" t="inlineStr">
        <is>
          <t>VFX-MELEE-AXE-IMPACT-3D</t>
        </is>
      </c>
      <c r="C46" s="51" t="inlineStr">
        <is>
          <t>战斧触地冲击</t>
        </is>
      </c>
      <c r="D46" s="101" t="inlineStr">
        <is>
          <t>assets/art/vfx/combat_3d/vfx_axe_impact_root_top3d.tscn</t>
        </is>
      </c>
      <c r="G46" s="51" t="inlineStr">
        <is>
          <t>落点扩散环与8枚碎屑，世界锚定</t>
        </is>
      </c>
      <c r="H46" s="101" t="inlineStr">
        <is>
          <t>src/vfx/VfxAxeImpact3D.gd</t>
        </is>
      </c>
      <c r="I46" s="51" t="inlineStr">
        <is>
          <t>无</t>
        </is>
      </c>
      <c r="J46" s="51" t="inlineStr">
        <is>
          <t>无</t>
        </is>
      </c>
      <c r="K46" s="51" t="inlineStr">
        <is>
          <t>无</t>
        </is>
      </c>
      <c r="L46" s="51" t="inlineStr">
        <is>
          <t>基础半径1m×size</t>
        </is>
      </c>
      <c r="M46" s="51" t="inlineStr">
        <is>
          <t>local -Z前方；中心为特效原点</t>
        </is>
      </c>
      <c r="N46" s="51" t="inlineStr">
        <is>
          <t>PlayerMeleeCombat3D → VfxPool3D</t>
        </is>
      </c>
      <c r="O46" s="51" t="inlineStr">
        <is>
          <t>完成</t>
        </is>
      </c>
      <c r="P46" s="101" t="inlineStr">
        <is>
          <t>v001</t>
        </is>
      </c>
      <c r="Q46" s="101" t="inlineStr">
        <is>
          <t>docs/v0.1/development/2026-10-16_melee_styles_v041.md</t>
        </is>
      </c>
    </row>
    <row r="47" ht="70" customHeight="1" s="52">
      <c r="A47" s="100" t="inlineStr">
        <is>
          <t>FX01-27</t>
        </is>
      </c>
      <c r="B47" s="101" t="inlineStr">
        <is>
          <t>VFX-MELEE-BLADE-SWEEP-3D</t>
        </is>
      </c>
      <c r="C47" s="51" t="inlineStr">
        <is>
          <t>大剑横扫弧光</t>
        </is>
      </c>
      <c r="D47" s="101" t="inlineStr">
        <is>
          <t>assets/art/vfx/combat_3d/vfx_blade_sweep_root_top3d.tscn</t>
        </is>
      </c>
      <c r="G47" s="51" t="inlineStr">
        <is>
          <t>蓝白弧，第二击反向，随玩家</t>
        </is>
      </c>
      <c r="H47" s="101" t="inlineStr">
        <is>
          <t>src/vfx/VfxBladeSweep3D.gd</t>
        </is>
      </c>
      <c r="I47" s="51" t="inlineStr">
        <is>
          <t>无</t>
        </is>
      </c>
      <c r="J47" s="51" t="inlineStr">
        <is>
          <t>无</t>
        </is>
      </c>
      <c r="K47" s="51" t="inlineStr">
        <is>
          <t>无</t>
        </is>
      </c>
      <c r="L47" s="51" t="inlineStr">
        <is>
          <t>基础半径1m×size</t>
        </is>
      </c>
      <c r="M47" s="51" t="inlineStr">
        <is>
          <t>local -Z前方；中心为特效原点</t>
        </is>
      </c>
      <c r="N47" s="51" t="inlineStr">
        <is>
          <t>PlayerMeleeCombat3D → VfxPool3D</t>
        </is>
      </c>
      <c r="O47" s="51" t="inlineStr">
        <is>
          <t>完成</t>
        </is>
      </c>
      <c r="P47" s="101" t="inlineStr">
        <is>
          <t>v001</t>
        </is>
      </c>
      <c r="Q47" s="101" t="inlineStr">
        <is>
          <t>docs/v0.1/development/2026-10-16_melee_styles_v041.md</t>
        </is>
      </c>
    </row>
    <row r="48" ht="70" customHeight="1" s="52">
      <c r="A48" s="100" t="inlineStr">
        <is>
          <t>FX01-28</t>
        </is>
      </c>
      <c r="B48" s="101" t="inlineStr">
        <is>
          <t>VFX-MELEE-BLADE-WHIRLWIND-3D</t>
        </is>
      </c>
      <c r="C48" s="51" t="inlineStr">
        <is>
          <t>大剑旋风环</t>
        </is>
      </c>
      <c r="D48" s="101" t="inlineStr">
        <is>
          <t>assets/art/vfx/combat_3d/vfx_blade_whirlwind_root_top3d.tscn</t>
        </is>
      </c>
      <c r="G48" s="51" t="inlineStr">
        <is>
          <t>蓝白双层断续环，每0.55秒旋转，释放/中断归还</t>
        </is>
      </c>
      <c r="H48" s="101" t="inlineStr">
        <is>
          <t>src/vfx/VfxBladeWhirlwind3D.gd</t>
        </is>
      </c>
      <c r="I48" s="51" t="inlineStr">
        <is>
          <t>无</t>
        </is>
      </c>
      <c r="J48" s="51" t="inlineStr">
        <is>
          <t>无</t>
        </is>
      </c>
      <c r="K48" s="51" t="inlineStr">
        <is>
          <t>无</t>
        </is>
      </c>
      <c r="L48" s="51" t="inlineStr">
        <is>
          <t>基础半径1m×size</t>
        </is>
      </c>
      <c r="M48" s="51" t="inlineStr">
        <is>
          <t>local -Z前方；中心为特效原点</t>
        </is>
      </c>
      <c r="N48" s="51" t="inlineStr">
        <is>
          <t>PlayerMeleeCombat3D → VfxPool3D</t>
        </is>
      </c>
      <c r="O48" s="51" t="inlineStr">
        <is>
          <t>完成</t>
        </is>
      </c>
      <c r="P48" s="101" t="inlineStr">
        <is>
          <t>v001</t>
        </is>
      </c>
      <c r="Q48" s="101" t="inlineStr">
        <is>
          <t>docs/v0.1/development/2026-10-16_melee_styles_v041.md</t>
        </is>
      </c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  <row r="31">
      <c r="A31" s="51" t="inlineStr">
        <is>
          <t>v0.1.star-r3</t>
        </is>
      </c>
      <c r="B31" s="51" t="inlineStr">
        <is>
          <t>2026-10-16</t>
        </is>
      </c>
      <c r="C31" s="51" t="inlineStr">
        <is>
          <t>新增</t>
        </is>
      </c>
      <c r="D31" s="51" t="inlineStr">
        <is>
          <t>FX01-22/23</t>
        </is>
      </c>
      <c r="E31" s="51" t="inlineStr">
        <is>
          <t>力量石头弹与碎裂独立Prefab；正式路由接入，验收中</t>
        </is>
      </c>
      <c r="F31" s="51" t="inlineStr">
        <is>
          <t>不改旧资产路径</t>
        </is>
      </c>
      <c r="G31" s="51" t="inlineStr">
        <is>
          <t>Codex</t>
        </is>
      </c>
    </row>
    <row r="32">
      <c r="A32" s="51" t="inlineStr">
        <is>
          <t>v0.1.24</t>
        </is>
      </c>
      <c r="B32" s="51" t="inlineStr">
        <is>
          <t>2026-10-16</t>
        </is>
      </c>
      <c r="C32" s="51" t="inlineStr">
        <is>
          <t>条目更新（样式重做 + P0 修复 + 调用方收口）</t>
        </is>
      </c>
      <c r="D32" s="51" t="inlineStr">
        <is>
          <t>特效 · 3D-特效（FX02-01 / FX02-02）</t>
        </is>
      </c>
      <c r="E32" s="51" t="inlineStr">
        <is>
          <t>数字飘字字体与样式重做（业主：「先收口，然后要修改字体和样式，走漫画风格的粗体+沟边的，大一点，然后字体飘起的力度感强一些，不要太整齐，带一些随机」）。① 收口四项：删 Enemy3D 里与 _spawn_damage_number 双发的 _spawn_effect("VFX-DAMAGE-NUMBER-3D")（无 context ⇒ 飘红字 0，2026-09-21 审计 P0-1）；治疗改走 VFX-HEAL-NUMBER-3D；字体口径收敛到新建单一真源 src/vfx/DamageNumberStyle.gd；verify_3d_enemy_behavior_flow 的字体断言改从池取生效实例。② 样式：漫画风超粗体（Impact 链 / 字重 900 / MSDF 128）+ 粗勾边（26/30/34 ≈ 字高 22%）+ 放大（世界字高 0.320 → 0.435/0.503/0.570 m，普通档 1.36×）。③ 力度：基线上升 0.60 → 0.90 m、改 ease-out cubic、出生弹出 [1.28,1.48] 后 0.14s 收束。④ 随机：五维全由调用方生成，特效脚本保持逐位确定性。⑤ P0：_on_tick 原以赋值写 position，出生坐标第一帧被清零（飘字跑到世界原点上方不到 1 米）；改为叠加出生点基准。</t>
        </is>
      </c>
      <c r="F32" s="51" t="inlineStr">
        <is>
          <t>AssetID / Prefab 路径 / 版本号（升 v002）稳定；Prefab .tscn 文件逐字未改（样式全在脚本侧）；VfxPool3D 注册表未动；碰撞/伤害/存档无影响。既有条目 AssetID / 路径 / 状态逐格保留。</t>
        </is>
      </c>
      <c r="G32" s="51" t="inlineStr">
        <is>
          <t>摩斯拉</t>
        </is>
      </c>
    </row>
    <row r="33">
      <c r="A33" s="51" t="inlineStr">
        <is>
          <t>v0.1.25</t>
        </is>
      </c>
      <c r="B33" s="51" t="inlineStr">
        <is>
          <t>2026-10-17</t>
        </is>
      </c>
      <c r="C33" s="51" t="inlineStr">
        <is>
          <t>条目更新（勾边修复）</t>
        </is>
      </c>
      <c r="D33" s="51" t="inlineStr">
        <is>
          <t>特效 · 3D-特效（FX02-01 / FX02-02）</t>
        </is>
      </c>
      <c r="E33" s="51" t="inlineStr">
        <is>
          <t>数字飘字黑色勾边修复（业主：「要带黑色描边，我说的是伤害飘字」）。上一轮 v003.9 把描边定到 26/30/34 并声称按字高 22%，但实机从来没画出来过：Godot 的 MSDF 字体下描边可达上限 ≈ msdf_pixel_range / 2，默认 16 只够到 8，26/30/34 远超上限被提前截断成约 1px 细丝（症状：不报错、不变红，且 outline_size 填 26 与填 116 渲染结果逐像素完全相同）。修法：DamageNumberStyle 新增 MSDF_PIXEL_RANGE = 64 并在 make_font() 赋值，VfxDamageNumber3D / VfxHealNumber3D / CombatDamageNumber3D 三条链路共用该工厂故一处即全覆盖。定档：需求 range = 2 × max(描边 × msdf_size / 字号) = 2 × (34 × 128 / 152) ≈ 57.4 ⇒ 取 64；实测 range 16 → 6px、48 → 21px、64/80 → 26px 足额、96 → 左右不对称（过大反崩）⇒ 护栏上界 80。验收新增常量钉子 + 下界不等式 + 上界护栏 + 逐档「实机实例真带该值」断言；反向对照三组（range→16 / range→96 / 删掉 make_font 里那行赋值）均精准变红后还原复绿。</t>
        </is>
      </c>
      <c r="F33" s="51" t="inlineStr">
        <is>
          <t>AssetID / Prefab 路径 / 版本号（升 v003）稳定；Prefab .tscn 文件逐字未改（纯脚本侧）；VfxPool3D 注册表未动；碰撞/伤害/存档无影响。既有条目 AssetID / 路径 / 状态逐格保留。</t>
        </is>
      </c>
      <c r="G33" s="51" t="inlineStr">
        <is>
          <t>摩斯拉</t>
        </is>
      </c>
    </row>
    <row r="34" ht="70" customHeight="1" s="52">
      <c r="A34" s="69" t="inlineStr">
        <is>
          <t>v0.1.26</t>
        </is>
      </c>
      <c r="B34" s="69" t="inlineStr">
        <is>
          <t>2026-10-16</t>
        </is>
      </c>
      <c r="C34" s="62" t="inlineStr">
        <is>
          <t>五种近战专属VFX</t>
        </is>
      </c>
      <c r="D34" s="62" t="inlineStr">
        <is>
          <t>近战差异 v041</t>
        </is>
      </c>
      <c r="E34" s="62" t="inlineStr">
        <is>
          <t>FX01-24至28；独立Prefab，池化跟随与显式结束，动作机唯一调用。</t>
        </is>
      </c>
      <c r="F34" s="62" t="inlineStr">
        <is>
          <t>docs/v0.1/development/2026-10-16_melee_styles_v041.md</t>
        </is>
      </c>
      <c r="G34" s="62" t="inlineStr">
        <is>
          <t>Codex</t>
        </is>
      </c>
    </row>
    <row r="35">
      <c r="A35" s="69" t="inlineStr">
        <is>
          <t>v0.1.27</t>
        </is>
      </c>
      <c r="B35" s="69" t="inlineStr">
        <is>
          <t>2026-10-17</t>
        </is>
      </c>
      <c r="C35" s="62" t="inlineStr">
        <is>
          <t>条目更新（描边减半）</t>
        </is>
      </c>
      <c r="D35" s="62" t="inlineStr">
        <is>
          <t>特效 · 3D-特效（FX02-01 / FX02-02）</t>
        </is>
      </c>
      <c r="E35" s="62" t="inlineStr">
        <is>
          <t>数字飘字描边减半（业主：「太粗了，缩小一半」）。v003 修好 msdf_pixel_range 后描边第一次足额渲染，实机反馈过粗 ⇒ 描边 26/30/34 → 13/15/17（占字高 22% → 11%）。真源 DamageNumberStyle 的 NORMAL/HEAVY/CRITICAL_OUTLINE_SIZE 一处改动即覆盖 VfxDamageNumber3D / VfxHealNumber3D / 兜底 CombatDamageNumber3D 三条链路。距离场宽度不动（仍 64）：需求 2 × max(描边 × msdf_size / 字号) 由 57.4 降到 28.7，64 依旧足额且支持描边到约 38 @ 字号 152，留余量以便后续微调不必重新定档。验收 verify_damage_number_style_flow 的硬编码期望同步为 13/15/17，下界不等式随之重算为 28.7；反向对照两组（range→16 下界红／真源描边偷偷改回 26 常量钉子红）均精准变红后还原复绿。实机同帧 A/B（红色字形像素恒为 5,105 ⇒ 字形本身未变）：近黑描边像素 12,613 → 6,392（×0.507）。</t>
        </is>
      </c>
      <c r="F35" s="62" t="inlineStr">
        <is>
          <t>AssetID / Prefab 路径 / 版本号（升 v004）稳定；Prefab .tscn 文件逐字未改（纯样式常量）；VfxPool3D 注册表未动；碰撞 / 伤害 / 存档无影响。既有条目 AssetID / 路径 / 状态逐格保留。</t>
        </is>
      </c>
      <c r="G35" s="62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2026-10-17T00:09:19Z</dcterms:modified>
  <cp:revision>0</cp:revision>
</cp:coreProperties>
</file>