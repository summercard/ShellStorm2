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'资产主表'!$A$5:$X$21</definedName>
  </definedName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6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E5E7EB"/>
      </right>
    </border>
    <border>
      <bottom style="thin">
        <color rgb="FFD9E2F3"/>
      </bottom>
    </border>
    <border>
      <right style="medium">
        <color rgb="FF446170"/>
      </right>
      <bottom style="medium">
        <color rgb="FF446170"/>
      </bottom>
    </border>
    <border>
      <right style="medium">
        <color rgb="FF446170"/>
      </right>
    </border>
    <border>
      <bottom style="medium">
        <color rgb="FF446170"/>
      </bottom>
    </border>
  </borders>
  <cellStyleXfs count="1">
    <xf numFmtId="0" fontId="0" fillId="0" borderId="0"/>
  </cellStyleXfs>
  <cellXfs count="39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2" pivotButton="0" quotePrefix="0" xfId="0"/>
    <xf numFmtId="0" fontId="0" fillId="0" borderId="23" pivotButton="0" quotePrefix="0" xfId="0"/>
    <xf numFmtId="0" fontId="11" fillId="4" borderId="43" applyAlignment="1" pivotButton="0" quotePrefix="0" xfId="0">
      <alignment vertical="center" wrapText="1"/>
    </xf>
    <xf numFmtId="0" fontId="0" fillId="0" borderId="45" pivotButton="0" quotePrefix="0" xfId="0"/>
    <xf numFmtId="0" fontId="0" fillId="0" borderId="43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特效美术账本 v0.1</t>
        </is>
      </c>
    </row>
    <row r="2" ht="12" customHeight="1"/>
    <row r="3" ht="23" customHeight="1">
      <c r="A3" s="318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域内专表 / 3D Prefab 分页</t>
        </is>
      </c>
      <c r="J5" s="320" t="n"/>
    </row>
    <row r="6" ht="42" customHeight="1">
      <c r="A6" s="321">
        <f>COUNTA('资产主表'!$A$6:$A$22)</f>
        <v/>
      </c>
      <c r="B6" s="354" t="n"/>
      <c r="C6" s="321">
        <f>COUNTIF('资产主表'!$K$6:$K$22,"已完成")+COUNTIF('资产主表'!$K$6:$K$22,"原型已接入")+COUNTIF('资产主表'!$K$6:$K$22,"正式美术已接入")+COUNTIF('资产主表'!$K$6:$K$22,"已优化并正式接入")+COUNTIF('资产主表'!$K$6:$K$22,"Blender源已完成")+COUNTIF('资产主表'!$K$6:$K$22,"已导入；优化完成")</f>
        <v/>
      </c>
      <c r="D6" s="354" t="n"/>
      <c r="E6" s="321">
        <f>COUNTIF('资产主表'!$K$6:$K$22,"待制作")+COUNTIF('资产主表'!$K$6:$K$22,"程序占位")</f>
        <v/>
      </c>
      <c r="F6" s="354" t="n"/>
      <c r="G6" s="321">
        <f>COUNTIF('资产主表'!$S$6:$S$22,"重复")</f>
        <v/>
      </c>
      <c r="H6" s="354" t="n"/>
      <c r="I6" s="320" t="inlineStr">
        <is>
          <t>域内专表：3D-特效　|　3D Prefab 分页：3D-特效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3" t="inlineStr">
        <is>
          <t>资产数</t>
        </is>
      </c>
      <c r="C9" s="323" t="inlineStr">
        <is>
          <t>完成/接入</t>
        </is>
      </c>
      <c r="D9" s="323" t="n"/>
      <c r="E9" s="396" t="inlineStr">
        <is>
          <t>本账本只登记上列大类；跨域搬运资产须同步主账本《分类与编码》并重跑门禁</t>
        </is>
      </c>
      <c r="F9" s="397" t="n"/>
      <c r="G9" s="397" t="n"/>
      <c r="H9" s="397" t="n"/>
      <c r="I9" s="397" t="n"/>
      <c r="J9" s="398" t="n"/>
    </row>
    <row r="10" ht="22" customHeight="1">
      <c r="A10" s="301" t="inlineStr">
        <is>
          <t>特效</t>
        </is>
      </c>
      <c r="B10" s="301">
        <f>COUNTIF('资产主表'!$C$6:$C$22,A10)</f>
        <v/>
      </c>
      <c r="C10" s="301">
        <f>SUMPRODUCT(('资产主表'!$C$6:$C$22=A10)*(('资产主表'!$K$6:$K$22="已完成")+('资产主表'!$K$6:$K$22="原型已接入")+('资产主表'!$K$6:$K$22="正式美术已接入")+('资产主表'!$K$6:$K$22="已优化并正式接入")+('资产主表'!$K$6:$K$22="Blender源已完成")+('资产主表'!$K$6:$K$22="已导入；优化完成")))</f>
        <v/>
      </c>
      <c r="D10" s="301" t="n"/>
      <c r="E10" s="301" t="n"/>
      <c r="F10" s="301" t="n"/>
      <c r="G10" s="301" t="n"/>
      <c r="H10" s="301" t="n"/>
      <c r="I10" s="301" t="n"/>
      <c r="J10" s="301" t="n"/>
    </row>
    <row r="11">
      <c r="A11" s="323" t="inlineStr">
        <is>
          <t>合计</t>
        </is>
      </c>
      <c r="B11" s="323">
        <f>SUM(B10:B10)</f>
        <v/>
      </c>
      <c r="C11" s="323">
        <f>SUM(C10:C10)</f>
        <v/>
      </c>
      <c r="D11" s="323" t="n"/>
      <c r="E11" s="323" t="n"/>
      <c r="F11" s="323" t="n"/>
      <c r="G11" s="323" t="n"/>
      <c r="H11" s="323" t="n"/>
      <c r="I11" s="323" t="n"/>
      <c r="J11" s="323" t="n"/>
    </row>
    <row r="12">
      <c r="A12" s="331" t="n"/>
      <c r="B12" s="331" t="n"/>
      <c r="C12" s="331" t="n"/>
      <c r="D12" s="354" t="n"/>
      <c r="E12" s="330" t="n"/>
      <c r="F12" s="331" t="n"/>
      <c r="G12" s="331" t="n"/>
      <c r="H12" s="354" t="n"/>
      <c r="I12" s="354" t="n"/>
      <c r="J12" s="354" t="n"/>
    </row>
    <row r="13">
      <c r="A13" s="381" t="inlineStr">
        <is>
          <t>域内 3D Prefab 分页统计（快照口径与本账本分页一致；权威清单在各分页表）</t>
        </is>
      </c>
      <c r="B13" s="394" t="n"/>
      <c r="C13" s="394" t="n"/>
      <c r="D13" s="394" t="n"/>
      <c r="E13" s="394" t="n"/>
      <c r="F13" s="394" t="n"/>
      <c r="G13" s="394" t="n"/>
      <c r="H13" s="394" t="n"/>
      <c r="I13" s="394" t="n"/>
      <c r="J13" s="395" t="n"/>
    </row>
    <row r="14">
      <c r="A14" s="320" t="inlineStr">
        <is>
          <t>分页</t>
        </is>
      </c>
      <c r="B14" s="320" t="inlineStr">
        <is>
          <t>Prefab 数</t>
        </is>
      </c>
      <c r="C14" s="320" t="inlineStr">
        <is>
          <t>直接引用 GLB</t>
        </is>
      </c>
      <c r="D14" s="320" t="inlineStr">
        <is>
          <t>有功能脚本</t>
        </is>
      </c>
      <c r="E14" s="320" t="inlineStr">
        <is>
          <t>碰撞开启</t>
        </is>
      </c>
      <c r="F14" s="320" t="inlineStr">
        <is>
          <t>说明</t>
        </is>
      </c>
      <c r="G14" s="331" t="n"/>
      <c r="H14" s="354" t="n"/>
      <c r="I14" s="354" t="n"/>
      <c r="J14" s="354" t="n"/>
    </row>
    <row r="15">
      <c r="A15" s="301" t="inlineStr">
        <is>
          <t>3D-特效</t>
        </is>
      </c>
      <c r="B15" s="301">
        <f>COUNTA('3D-特效'!$A$5:$A$204)</f>
        <v/>
      </c>
      <c r="C15" s="301">
        <f>COUNTIF('3D-特效'!$D$5:$D$204,"&lt;&gt;")</f>
        <v/>
      </c>
      <c r="D15" s="301">
        <f>COUNTIF('3D-特效'!$G$5:$G$204,"&lt;&gt;")</f>
        <v/>
      </c>
      <c r="E15" s="301">
        <f>COUNTIF('3D-特效'!$H$5:$H$204,"开")</f>
        <v/>
      </c>
      <c r="F15" s="301" t="inlineStr">
        <is>
          <t>一行 = 一个实际存在的 Godot PackedScene</t>
        </is>
      </c>
      <c r="G15" s="301" t="n"/>
      <c r="H15" s="301" t="n"/>
      <c r="I15" s="301" t="n"/>
      <c r="J15" s="301" t="n"/>
    </row>
    <row r="16">
      <c r="A16" s="323" t="inlineStr">
        <is>
          <t>合计</t>
        </is>
      </c>
      <c r="B16" s="323">
        <f>SUM(B15:B15)</f>
        <v/>
      </c>
      <c r="C16" s="323">
        <f>SUM(C15:C15)</f>
        <v/>
      </c>
      <c r="D16" s="323">
        <f>SUM(D15:D15)</f>
        <v/>
      </c>
      <c r="E16" s="323">
        <f>SUM(E15:E15)</f>
        <v/>
      </c>
      <c r="F16" s="323" t="n"/>
      <c r="G16" s="323" t="n"/>
      <c r="H16" s="323" t="n"/>
      <c r="I16" s="323" t="n"/>
      <c r="J16" s="323" t="n"/>
    </row>
    <row r="17">
      <c r="A17" s="331" t="n"/>
      <c r="B17" s="331" t="n"/>
      <c r="C17" s="331" t="n"/>
      <c r="D17" s="354" t="n"/>
      <c r="E17" s="354" t="n"/>
      <c r="F17" s="354" t="n"/>
      <c r="G17" s="354" t="n"/>
      <c r="H17" s="354" t="n"/>
      <c r="I17" s="354" t="n"/>
      <c r="J17" s="354" t="n"/>
    </row>
    <row r="18">
      <c r="A18" s="331" t="n"/>
      <c r="B18" s="331" t="n"/>
      <c r="C18" s="331" t="n"/>
      <c r="D18" s="354" t="n"/>
      <c r="E18" s="354" t="n"/>
      <c r="F18" s="354" t="n"/>
      <c r="G18" s="354" t="n"/>
      <c r="H18" s="354" t="n"/>
      <c r="I18" s="354" t="n"/>
      <c r="J18" s="354" t="n"/>
    </row>
    <row r="19">
      <c r="A19" s="354" t="n"/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5">
    <mergeCell ref="A1:J2"/>
    <mergeCell ref="I6:J6"/>
    <mergeCell ref="A3:J3"/>
    <mergeCell ref="E9:J9"/>
    <mergeCell ref="A13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34" customWidth="1" min="3" max="3"/>
    <col width="24" customWidth="1" min="4" max="4"/>
    <col width="24" customWidth="1" min="5" max="5"/>
    <col width="24" customWidth="1" min="6" max="6"/>
  </cols>
  <sheetData>
    <row r="1">
      <c r="A1" s="317" t="inlineStr">
        <is>
          <t>本账本说明 · 特效</t>
        </is>
      </c>
    </row>
    <row r="2"/>
    <row r="3">
      <c r="A3" s="318" t="inlineStr">
        <is>
          <t>本表是分账本自描述；机器可读真源为 assets/registry/ledger_index.json，二者不一致时以 JSON 为准</t>
        </is>
      </c>
    </row>
    <row r="5">
      <c r="A5" s="298" t="inlineStr">
        <is>
          <t>项</t>
        </is>
      </c>
      <c r="B5" s="298" t="inlineStr">
        <is>
          <t>值</t>
        </is>
      </c>
      <c r="C5" s="298" t="n"/>
      <c r="D5" s="298" t="n"/>
      <c r="E5" s="298" t="n"/>
      <c r="F5" s="298" t="n"/>
    </row>
    <row r="6" ht="30" customHeight="1">
      <c r="A6" s="301" t="inlineStr">
        <is>
          <t>账本归属域</t>
        </is>
      </c>
      <c r="B6" s="301" t="inlineStr">
        <is>
          <t>特效</t>
        </is>
      </c>
      <c r="C6" s="301" t="n"/>
      <c r="D6" s="301" t="n"/>
      <c r="E6" s="301" t="n"/>
      <c r="F6" s="301" t="n"/>
    </row>
    <row r="7" ht="30" customHeight="1">
      <c r="A7" s="301" t="inlineStr">
        <is>
          <t>分账本文件</t>
        </is>
      </c>
      <c r="B7" s="301" t="inlineStr">
        <is>
          <t>assets/registry/ledgers/ShellStorm2_特效账本_v001.xlsx</t>
        </is>
      </c>
      <c r="C7" s="301" t="n"/>
      <c r="D7" s="301" t="n"/>
      <c r="E7" s="301" t="n"/>
      <c r="F7" s="301" t="n"/>
    </row>
    <row r="8" ht="30" customHeight="1">
      <c r="A8" s="301" t="inlineStr">
        <is>
          <t>覆盖大类</t>
        </is>
      </c>
      <c r="B8" s="301" t="inlineStr">
        <is>
          <t>特效</t>
        </is>
      </c>
      <c r="C8" s="301" t="n"/>
      <c r="D8" s="301" t="n"/>
      <c r="E8" s="301" t="n"/>
      <c r="F8" s="301" t="n"/>
    </row>
    <row r="9" ht="30" customHeight="1">
      <c r="A9" s="301" t="inlineStr">
        <is>
          <t>AssetID 前缀</t>
        </is>
      </c>
      <c r="B9" s="301" t="inlineStr">
        <is>
          <t>VFX / FX</t>
        </is>
      </c>
      <c r="C9" s="301" t="n"/>
      <c r="D9" s="301" t="n"/>
      <c r="E9" s="301" t="n"/>
      <c r="F9" s="301" t="n"/>
    </row>
    <row r="10" ht="30" customHeight="1">
      <c r="A10" s="301" t="inlineStr">
        <is>
          <t>域内专表</t>
        </is>
      </c>
      <c r="B10" s="301" t="inlineStr">
        <is>
          <t>3D-特效</t>
        </is>
      </c>
      <c r="C10" s="301" t="n"/>
      <c r="D10" s="301" t="n"/>
      <c r="E10" s="301" t="n"/>
      <c r="F10" s="301" t="n"/>
    </row>
    <row r="11" ht="30" customHeight="1">
      <c r="A11" s="301" t="inlineStr">
        <is>
          <t>3D Prefab 分页</t>
        </is>
      </c>
      <c r="B11" s="301" t="inlineStr">
        <is>
          <t>3D-特效</t>
        </is>
      </c>
      <c r="C11" s="301" t="n"/>
      <c r="D11" s="301" t="n"/>
      <c r="E11" s="301" t="n"/>
      <c r="F11" s="301" t="n"/>
    </row>
    <row r="12" ht="30" customHeight="1">
      <c r="A12" s="301" t="inlineStr">
        <is>
          <t>动画登记表</t>
        </is>
      </c>
      <c r="B12" s="301" t="inlineStr">
        <is>
          <t>无</t>
        </is>
      </c>
      <c r="C12" s="301" t="n"/>
      <c r="D12" s="301" t="n"/>
      <c r="E12" s="301" t="n"/>
      <c r="F12" s="301" t="n"/>
    </row>
    <row r="13" ht="30" customHeight="1">
      <c r="A13" s="301" t="inlineStr">
        <is>
          <t>主账本（总目录）</t>
        </is>
      </c>
      <c r="B13" s="301" t="inlineStr">
        <is>
          <t>assets/registry/ShellStorm2_美术资产台账_v001.xlsx</t>
        </is>
      </c>
      <c r="C13" s="301" t="n"/>
      <c r="D13" s="301" t="n"/>
      <c r="E13" s="301" t="n"/>
      <c r="F13" s="301" t="n"/>
    </row>
    <row r="14" ht="30" customHeight="1">
      <c r="A14" s="301" t="inlineStr">
        <is>
          <t>跨域契约</t>
        </is>
      </c>
      <c r="B14" s="301" t="inlineStr">
        <is>
          <t>分类与编码 / 命名与查重 / 版本记录 / Skill 清单 / 3D Prefab 总控 —— 全部只在主账本维护</t>
        </is>
      </c>
      <c r="C14" s="301" t="n"/>
      <c r="D14" s="301" t="n"/>
      <c r="E14" s="301" t="n"/>
      <c r="F14" s="301" t="n"/>
    </row>
    <row r="15" ht="30" customHeight="1">
      <c r="A15" s="301" t="inlineStr">
        <is>
          <t>首选制作 Skill</t>
        </is>
      </c>
      <c r="B15" s="301" t="inlineStr">
        <is>
          <t>godot-model-asset-import-standard</t>
        </is>
      </c>
      <c r="C15" s="301" t="n"/>
      <c r="D15" s="301" t="n"/>
      <c r="E15" s="301" t="n"/>
      <c r="F15" s="301" t="n"/>
    </row>
    <row r="16" ht="30" customHeight="1">
      <c r="A16" s="301" t="inlineStr">
        <is>
          <t>协作 Skill</t>
        </is>
      </c>
      <c r="B16" s="301" t="inlineStr">
        <is>
          <t>无</t>
        </is>
      </c>
      <c r="C16" s="301" t="n"/>
      <c r="D16" s="301" t="n"/>
      <c r="E16" s="301" t="n"/>
      <c r="F16" s="301" t="n"/>
    </row>
    <row r="17" ht="30" customHeight="1">
      <c r="A17" s="301" t="inlineStr">
        <is>
          <t>负责人</t>
        </is>
      </c>
      <c r="B17" s="301" t="inlineStr">
        <is>
          <t>待分配</t>
        </is>
      </c>
      <c r="C17" s="301" t="n"/>
      <c r="D17" s="301" t="n"/>
      <c r="E17" s="301" t="n"/>
      <c r="F17" s="301" t="n"/>
    </row>
    <row r="18" ht="30" customHeight="1">
      <c r="A18" s="301" t="inlineStr">
        <is>
          <t>登记范围</t>
        </is>
      </c>
      <c r="B18" s="301" t="inlineStr">
        <is>
          <t>可独立实例化的3D战斗、环境与可见性特效。每个特效一个独立 Prefab，遵循 14.6 特效系统与制作规范。</t>
        </is>
      </c>
      <c r="C18" s="301" t="n"/>
      <c r="D18" s="301" t="n"/>
      <c r="E18" s="301" t="n"/>
      <c r="F18" s="301" t="n"/>
    </row>
    <row r="19" ht="30" customHeight="1">
      <c r="A19" s="301" t="inlineStr">
        <is>
          <t>编辑边界</t>
        </is>
      </c>
      <c r="B19" s="30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301" t="n"/>
      <c r="D19" s="301" t="n"/>
      <c r="E19" s="301" t="n"/>
      <c r="F19" s="301" t="n"/>
    </row>
    <row r="20" ht="30" customHeight="1">
      <c r="A20" s="301" t="inlineStr">
        <is>
          <t>登记口径</t>
        </is>
      </c>
      <c r="B20" s="30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301" t="n"/>
      <c r="D20" s="301" t="n"/>
      <c r="E20" s="301" t="n"/>
      <c r="F20" s="301" t="n"/>
    </row>
    <row r="21" ht="30" customHeight="1">
      <c r="A21" s="301" t="inlineStr">
        <is>
          <t>门禁</t>
        </is>
      </c>
      <c r="B21" s="301" t="inlineStr">
        <is>
          <t>python3 scripts/check_asset_registry.py --scope structure（需 venv python + openpyxl，且在 /tmp 下跑）</t>
        </is>
      </c>
      <c r="C21" s="301" t="n"/>
      <c r="D21" s="301" t="n"/>
      <c r="E21" s="301" t="n"/>
      <c r="F21" s="301" t="n"/>
    </row>
    <row r="22" ht="30" customHeight="1">
      <c r="A22" s="301" t="inlineStr">
        <is>
          <t>无损基线</t>
        </is>
      </c>
      <c r="B22" s="301" t="inlineStr">
        <is>
          <t>assets/registry/ledger_split_baseline.json；python3 tools/asset_pipeline/verify_ledger_split.py 断言并集与拆分前逐格一致</t>
        </is>
      </c>
      <c r="C22" s="301" t="n"/>
      <c r="D22" s="301" t="n"/>
      <c r="E22" s="301" t="n"/>
      <c r="F22" s="301" t="n"/>
    </row>
    <row r="23" ht="30" customHeight="1">
      <c r="A23" s="301" t="inlineStr">
        <is>
          <t>快照日期</t>
        </is>
      </c>
      <c r="B23" s="301" t="inlineStr">
        <is>
          <t>2026-09-18</t>
        </is>
      </c>
      <c r="C23" s="301" t="n"/>
      <c r="D23" s="301" t="n"/>
      <c r="E23" s="301" t="n"/>
      <c r="F23" s="301" t="n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2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92" t="n"/>
      <c r="B4" s="392" t="n"/>
      <c r="C4" s="392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  <c r="V4" s="392" t="n"/>
      <c r="W4" s="392" t="n"/>
      <c r="Y4" s="392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138" t="inlineStr">
        <is>
          <t>VFX-PLY-DASH-TRAIL</t>
        </is>
      </c>
      <c r="B6" s="138" t="inlineStr">
        <is>
          <t>玩家冲刺尾迹</t>
        </is>
      </c>
      <c r="C6" s="138" t="inlineStr">
        <is>
          <t>特效</t>
        </is>
      </c>
      <c r="D6" s="138" t="inlineStr">
        <is>
          <t>player_state</t>
        </is>
      </c>
      <c r="E6" s="138" t="inlineStr">
        <is>
          <t>player_dash</t>
        </is>
      </c>
      <c r="F6" s="138" t="inlineStr">
        <is>
          <t>root</t>
        </is>
      </c>
      <c r="G6" s="138" t="str"/>
      <c r="H6" s="138" t="inlineStr">
        <is>
          <t>侧面朝右（可水平翻转）</t>
        </is>
      </c>
      <c r="I6" s="138" t="inlineStr">
        <is>
          <t>dashing</t>
        </is>
      </c>
      <c r="J6" s="138" t="inlineStr">
        <is>
          <t>玩家状态</t>
        </is>
      </c>
      <c r="K6" s="138" t="inlineStr">
        <is>
          <t>弃用</t>
        </is>
      </c>
      <c r="L6" s="138" t="inlineStr">
        <is>
          <t>P1</t>
        </is>
      </c>
      <c r="M6" s="138" t="inlineStr">
        <is>
          <t>v001</t>
        </is>
      </c>
      <c r="N6" s="138" t="inlineStr">
        <is>
          <t>待定</t>
        </is>
      </c>
      <c r="O6" s="138" t="str"/>
      <c r="P6" s="138" t="n"/>
      <c r="Q6" s="138" t="str"/>
      <c r="R6" s="138">
        <f>LOWER(TRIM(C6)&amp;"|"&amp;TRIM(D6)&amp;"|"&amp;TRIM(E6)&amp;"|"&amp;TRIM(F6)&amp;"|"&amp;TRIM(H6)&amp;"|"&amp;TRIM(I6))</f>
        <v/>
      </c>
      <c r="S6" s="138">
        <f>IF(COUNTIF($R$6:$R$22,R6)&gt;1,"重复","唯一")</f>
        <v/>
      </c>
      <c r="T6" s="138" t="str"/>
      <c r="U6" s="138" t="inlineStr">
        <is>
          <t>待分配</t>
        </is>
      </c>
      <c r="V6" s="303" t="n">
        <v>46243</v>
      </c>
      <c r="W6" s="138" t="inlineStr">
        <is>
          <t>原创/待确认</t>
        </is>
      </c>
      <c r="X6" s="375" t="inlineStr">
        <is>
          <t>—</t>
        </is>
      </c>
      <c r="Y6" s="138" t="inlineStr">
        <is>
          <t>2026-08-09：旧2D PlayerAvatarRenderer专用表现已删除；当前3D状态表现由 PlayerAvatar3D / WeaponModel3D 持有。</t>
        </is>
      </c>
    </row>
    <row r="7">
      <c r="A7" s="138" t="inlineStr">
        <is>
          <t>VFX-PLY-HURT-FLASH</t>
        </is>
      </c>
      <c r="B7" s="138" t="inlineStr">
        <is>
          <t>玩家受击闪光</t>
        </is>
      </c>
      <c r="C7" s="138" t="inlineStr">
        <is>
          <t>特效</t>
        </is>
      </c>
      <c r="D7" s="138" t="inlineStr">
        <is>
          <t>player_state</t>
        </is>
      </c>
      <c r="E7" s="138" t="inlineStr">
        <is>
          <t>player_hurt</t>
        </is>
      </c>
      <c r="F7" s="138" t="inlineStr">
        <is>
          <t>root</t>
        </is>
      </c>
      <c r="G7" s="138" t="str"/>
      <c r="H7" s="138" t="inlineStr">
        <is>
          <t>侧面朝右（可水平翻转）</t>
        </is>
      </c>
      <c r="I7" s="138" t="inlineStr">
        <is>
          <t>hurt</t>
        </is>
      </c>
      <c r="J7" s="138" t="inlineStr">
        <is>
          <t>玩家状态</t>
        </is>
      </c>
      <c r="K7" s="138" t="inlineStr">
        <is>
          <t>弃用</t>
        </is>
      </c>
      <c r="L7" s="138" t="inlineStr">
        <is>
          <t>P1</t>
        </is>
      </c>
      <c r="M7" s="138" t="inlineStr">
        <is>
          <t>v001</t>
        </is>
      </c>
      <c r="N7" s="138" t="inlineStr">
        <is>
          <t>待定</t>
        </is>
      </c>
      <c r="O7" s="138" t="str"/>
      <c r="P7" s="138" t="n"/>
      <c r="Q7" s="138" t="str"/>
      <c r="R7" s="138">
        <f>LOWER(TRIM(C7)&amp;"|"&amp;TRIM(D7)&amp;"|"&amp;TRIM(E7)&amp;"|"&amp;TRIM(F7)&amp;"|"&amp;TRIM(H7)&amp;"|"&amp;TRIM(I7))</f>
        <v/>
      </c>
      <c r="S7" s="138">
        <f>IF(COUNTIF($R$6:$R$22,R7)&gt;1,"重复","唯一")</f>
        <v/>
      </c>
      <c r="T7" s="138" t="str"/>
      <c r="U7" s="138" t="inlineStr">
        <is>
          <t>待分配</t>
        </is>
      </c>
      <c r="V7" s="303" t="n">
        <v>46243</v>
      </c>
      <c r="W7" s="138" t="inlineStr">
        <is>
          <t>原创/待确认</t>
        </is>
      </c>
      <c r="X7" s="375" t="inlineStr">
        <is>
          <t>—</t>
        </is>
      </c>
      <c r="Y7" s="138" t="inlineStr">
        <is>
          <t>2026-08-09：旧2D PlayerAvatarRenderer专用表现已删除；当前3D状态表现由 PlayerAvatar3D / WeaponModel3D 持有。</t>
        </is>
      </c>
    </row>
    <row r="8">
      <c r="A8" s="138" t="inlineStr">
        <is>
          <t>VFX-PLY-LOWHP-RING</t>
        </is>
      </c>
      <c r="B8" s="138" t="inlineStr">
        <is>
          <t>玩家低血环</t>
        </is>
      </c>
      <c r="C8" s="138" t="inlineStr">
        <is>
          <t>特效</t>
        </is>
      </c>
      <c r="D8" s="138" t="inlineStr">
        <is>
          <t>player_overlay</t>
        </is>
      </c>
      <c r="E8" s="138" t="inlineStr">
        <is>
          <t>player_low_hp</t>
        </is>
      </c>
      <c r="F8" s="138" t="inlineStr">
        <is>
          <t>root</t>
        </is>
      </c>
      <c r="G8" s="138" t="str"/>
      <c r="H8" s="138" t="inlineStr">
        <is>
          <t>侧面朝右（可水平翻转）</t>
        </is>
      </c>
      <c r="I8" s="138" t="inlineStr">
        <is>
          <t>low_health</t>
        </is>
      </c>
      <c r="J8" s="138" t="inlineStr">
        <is>
          <t>叠加状态</t>
        </is>
      </c>
      <c r="K8" s="138" t="inlineStr">
        <is>
          <t>弃用</t>
        </is>
      </c>
      <c r="L8" s="138" t="inlineStr">
        <is>
          <t>P2</t>
        </is>
      </c>
      <c r="M8" s="138" t="inlineStr">
        <is>
          <t>v001</t>
        </is>
      </c>
      <c r="N8" s="138" t="inlineStr">
        <is>
          <t>待定</t>
        </is>
      </c>
      <c r="O8" s="138" t="str"/>
      <c r="P8" s="138" t="n"/>
      <c r="Q8" s="138" t="str"/>
      <c r="R8" s="138">
        <f>LOWER(TRIM(C8)&amp;"|"&amp;TRIM(D8)&amp;"|"&amp;TRIM(E8)&amp;"|"&amp;TRIM(F8)&amp;"|"&amp;TRIM(H8)&amp;"|"&amp;TRIM(I8))</f>
        <v/>
      </c>
      <c r="S8" s="138">
        <f>IF(COUNTIF($R$6:$R$22,R8)&gt;1,"重复","唯一")</f>
        <v/>
      </c>
      <c r="T8" s="138" t="str"/>
      <c r="U8" s="138" t="inlineStr">
        <is>
          <t>待分配</t>
        </is>
      </c>
      <c r="V8" s="303" t="n">
        <v>46243</v>
      </c>
      <c r="W8" s="138" t="inlineStr">
        <is>
          <t>原创/待确认</t>
        </is>
      </c>
      <c r="X8" s="375" t="inlineStr">
        <is>
          <t>—</t>
        </is>
      </c>
      <c r="Y8" s="138" t="inlineStr">
        <is>
          <t>2026-08-09：旧2D PlayerAvatarRenderer专用表现已删除；当前3D状态表现由 PlayerAvatar3D / WeaponModel3D 持有。</t>
        </is>
      </c>
    </row>
    <row r="9">
      <c r="A9" s="138" t="inlineStr">
        <is>
          <t>VFX-PLY-SILENCED-RING</t>
        </is>
      </c>
      <c r="B9" s="138" t="inlineStr">
        <is>
          <t>玩家沉默干扰环</t>
        </is>
      </c>
      <c r="C9" s="138" t="inlineStr">
        <is>
          <t>特效</t>
        </is>
      </c>
      <c r="D9" s="138" t="inlineStr">
        <is>
          <t>player_overlay</t>
        </is>
      </c>
      <c r="E9" s="138" t="inlineStr">
        <is>
          <t>player_silenced</t>
        </is>
      </c>
      <c r="F9" s="138" t="inlineStr">
        <is>
          <t>root</t>
        </is>
      </c>
      <c r="G9" s="138" t="str"/>
      <c r="H9" s="138" t="inlineStr">
        <is>
          <t>侧面朝右（可水平翻转）</t>
        </is>
      </c>
      <c r="I9" s="138" t="inlineStr">
        <is>
          <t>silenced</t>
        </is>
      </c>
      <c r="J9" s="138" t="inlineStr">
        <is>
          <t>叠加状态</t>
        </is>
      </c>
      <c r="K9" s="138" t="inlineStr">
        <is>
          <t>弃用</t>
        </is>
      </c>
      <c r="L9" s="138" t="inlineStr">
        <is>
          <t>P2</t>
        </is>
      </c>
      <c r="M9" s="138" t="inlineStr">
        <is>
          <t>v001</t>
        </is>
      </c>
      <c r="N9" s="138" t="inlineStr">
        <is>
          <t>待定</t>
        </is>
      </c>
      <c r="O9" s="138" t="str"/>
      <c r="P9" s="138" t="n"/>
      <c r="Q9" s="138" t="str"/>
      <c r="R9" s="138">
        <f>LOWER(TRIM(C9)&amp;"|"&amp;TRIM(D9)&amp;"|"&amp;TRIM(E9)&amp;"|"&amp;TRIM(F9)&amp;"|"&amp;TRIM(H9)&amp;"|"&amp;TRIM(I9))</f>
        <v/>
      </c>
      <c r="S9" s="138">
        <f>IF(COUNTIF($R$6:$R$22,R9)&gt;1,"重复","唯一")</f>
        <v/>
      </c>
      <c r="T9" s="138" t="str"/>
      <c r="U9" s="138" t="inlineStr">
        <is>
          <t>待分配</t>
        </is>
      </c>
      <c r="V9" s="303" t="n">
        <v>46243</v>
      </c>
      <c r="W9" s="138" t="inlineStr">
        <is>
          <t>原创/待确认</t>
        </is>
      </c>
      <c r="X9" s="375" t="inlineStr">
        <is>
          <t>—</t>
        </is>
      </c>
      <c r="Y9" s="138" t="inlineStr">
        <is>
          <t>2026-08-09：旧2D PlayerAvatarRenderer专用表现已删除；当前3D状态表现由 PlayerAvatar3D / WeaponModel3D 持有。</t>
        </is>
      </c>
    </row>
    <row r="10">
      <c r="A10" s="138" t="inlineStr">
        <is>
          <t>VFX-EXPLOSION</t>
        </is>
      </c>
      <c r="B10" s="138" t="inlineStr">
        <is>
          <t>爆炸</t>
        </is>
      </c>
      <c r="C10" s="138" t="inlineStr">
        <is>
          <t>特效</t>
        </is>
      </c>
      <c r="D10" s="138" t="inlineStr">
        <is>
          <t>gameplay_vfx</t>
        </is>
      </c>
      <c r="E10" s="138" t="inlineStr">
        <is>
          <t>explosion</t>
        </is>
      </c>
      <c r="F10" s="138" t="inlineStr">
        <is>
          <t>root</t>
        </is>
      </c>
      <c r="G10" s="138" t="str"/>
      <c r="H10" s="138" t="inlineStr">
        <is>
          <t>顶视/屏幕空间</t>
        </is>
      </c>
      <c r="I10" s="138" t="inlineStr">
        <is>
          <t>default</t>
        </is>
      </c>
      <c r="J10" s="138" t="inlineStr">
        <is>
          <t>跨武器/跨场景</t>
        </is>
      </c>
      <c r="K10" s="138" t="inlineStr">
        <is>
          <t>程序占位</t>
        </is>
      </c>
      <c r="L10" s="138" t="inlineStr">
        <is>
          <t>P1</t>
        </is>
      </c>
      <c r="M10" s="138" t="inlineStr">
        <is>
          <t>v001</t>
        </is>
      </c>
      <c r="N10" s="138" t="inlineStr">
        <is>
          <t>粒子或 8–16 帧序列</t>
        </is>
      </c>
      <c r="O10" s="138" t="str"/>
      <c r="P10" s="138" t="inlineStr">
        <is>
          <t>scenes/ExplosionEffect.tscn</t>
        </is>
      </c>
      <c r="Q10" s="138" t="str"/>
      <c r="R10" s="138">
        <f>LOWER(TRIM(C10)&amp;"|"&amp;TRIM(D10)&amp;"|"&amp;TRIM(E10)&amp;"|"&amp;TRIM(F10)&amp;"|"&amp;TRIM(H10)&amp;"|"&amp;TRIM(I10))</f>
        <v/>
      </c>
      <c r="S10" s="138">
        <f>IF(COUNTIF($R$6:$R$22,R10)&gt;1,"重复","唯一")</f>
        <v/>
      </c>
      <c r="T10" s="138" t="str"/>
      <c r="U10" s="138" t="inlineStr">
        <is>
          <t>待分配</t>
        </is>
      </c>
      <c r="V10" s="303" t="n">
        <v>46224</v>
      </c>
      <c r="W10" s="138" t="inlineStr">
        <is>
          <t>原创/待确认</t>
        </is>
      </c>
      <c r="X10" s="375" t="inlineStr">
        <is>
          <t>—</t>
        </is>
      </c>
      <c r="Y10" s="138" t="inlineStr">
        <is>
          <t>颜色/尺寸作参数变体，禁止复制整套</t>
        </is>
      </c>
    </row>
    <row r="11">
      <c r="A11" s="138" t="inlineStr">
        <is>
          <t>VFX-MUZZLE-FLASH</t>
        </is>
      </c>
      <c r="B11" s="138" t="inlineStr">
        <is>
          <t>枪口火焰</t>
        </is>
      </c>
      <c r="C11" s="138" t="inlineStr">
        <is>
          <t>特效</t>
        </is>
      </c>
      <c r="D11" s="138" t="inlineStr">
        <is>
          <t>gameplay_vfx</t>
        </is>
      </c>
      <c r="E11" s="138" t="inlineStr">
        <is>
          <t>muzzle_flash</t>
        </is>
      </c>
      <c r="F11" s="138" t="inlineStr">
        <is>
          <t>root</t>
        </is>
      </c>
      <c r="G11" s="138" t="str"/>
      <c r="H11" s="138" t="inlineStr">
        <is>
          <t>顶视/屏幕空间</t>
        </is>
      </c>
      <c r="I11" s="138" t="inlineStr">
        <is>
          <t>default</t>
        </is>
      </c>
      <c r="J11" s="138" t="inlineStr">
        <is>
          <t>跨武器/跨场景</t>
        </is>
      </c>
      <c r="K11" s="138" t="inlineStr">
        <is>
          <t>程序占位</t>
        </is>
      </c>
      <c r="L11" s="138" t="inlineStr">
        <is>
          <t>P1</t>
        </is>
      </c>
      <c r="M11" s="138" t="inlineStr">
        <is>
          <t>v001</t>
        </is>
      </c>
      <c r="N11" s="138" t="inlineStr">
        <is>
          <t>粒子或 8–16 帧序列</t>
        </is>
      </c>
      <c r="O11" s="138" t="str"/>
      <c r="P11" s="138" t="inlineStr">
        <is>
          <t>src/weapon/WeaponDisplay.gd</t>
        </is>
      </c>
      <c r="Q11" s="138" t="str"/>
      <c r="R11" s="138">
        <f>LOWER(TRIM(C11)&amp;"|"&amp;TRIM(D11)&amp;"|"&amp;TRIM(E11)&amp;"|"&amp;TRIM(F11)&amp;"|"&amp;TRIM(H11)&amp;"|"&amp;TRIM(I11))</f>
        <v/>
      </c>
      <c r="S11" s="138">
        <f>IF(COUNTIF($R$6:$R$22,R11)&gt;1,"重复","唯一")</f>
        <v/>
      </c>
      <c r="T11" s="138" t="str"/>
      <c r="U11" s="138" t="inlineStr">
        <is>
          <t>待分配</t>
        </is>
      </c>
      <c r="V11" s="303" t="n">
        <v>46224</v>
      </c>
      <c r="W11" s="138" t="inlineStr">
        <is>
          <t>原创/待确认</t>
        </is>
      </c>
      <c r="X11" s="375" t="inlineStr">
        <is>
          <t>—</t>
        </is>
      </c>
      <c r="Y11" s="138" t="inlineStr">
        <is>
          <t>颜色/尺寸作参数变体，禁止复制整套</t>
        </is>
      </c>
    </row>
    <row r="12">
      <c r="A12" s="138" t="inlineStr">
        <is>
          <t>VFX-DAMAGE-NUMBER</t>
        </is>
      </c>
      <c r="B12" s="138" t="inlineStr">
        <is>
          <t>伤害数字</t>
        </is>
      </c>
      <c r="C12" s="138" t="inlineStr">
        <is>
          <t>特效</t>
        </is>
      </c>
      <c r="D12" s="138" t="inlineStr">
        <is>
          <t>gameplay_vfx</t>
        </is>
      </c>
      <c r="E12" s="138" t="inlineStr">
        <is>
          <t>damage_number</t>
        </is>
      </c>
      <c r="F12" s="138" t="inlineStr">
        <is>
          <t>root</t>
        </is>
      </c>
      <c r="G12" s="138" t="str"/>
      <c r="H12" s="138" t="inlineStr">
        <is>
          <t>顶视/屏幕空间</t>
        </is>
      </c>
      <c r="I12" s="138" t="inlineStr">
        <is>
          <t>default</t>
        </is>
      </c>
      <c r="J12" s="138" t="inlineStr">
        <is>
          <t>跨武器/跨场景</t>
        </is>
      </c>
      <c r="K12" s="138" t="inlineStr">
        <is>
          <t>程序占位</t>
        </is>
      </c>
      <c r="L12" s="138" t="inlineStr">
        <is>
          <t>P2</t>
        </is>
      </c>
      <c r="M12" s="138" t="inlineStr">
        <is>
          <t>v001</t>
        </is>
      </c>
      <c r="N12" s="138" t="inlineStr">
        <is>
          <t>粒子或 8–16 帧序列</t>
        </is>
      </c>
      <c r="O12" s="138" t="str"/>
      <c r="P12" s="138" t="inlineStr">
        <is>
          <t>scenes/DamageNumber.tscn</t>
        </is>
      </c>
      <c r="Q12" s="138" t="str"/>
      <c r="R12" s="138">
        <f>LOWER(TRIM(C12)&amp;"|"&amp;TRIM(D12)&amp;"|"&amp;TRIM(E12)&amp;"|"&amp;TRIM(F12)&amp;"|"&amp;TRIM(H12)&amp;"|"&amp;TRIM(I12))</f>
        <v/>
      </c>
      <c r="S12" s="138">
        <f>IF(COUNTIF($R$6:$R$22,R12)&gt;1,"重复","唯一")</f>
        <v/>
      </c>
      <c r="T12" s="138" t="str"/>
      <c r="U12" s="138" t="inlineStr">
        <is>
          <t>待分配</t>
        </is>
      </c>
      <c r="V12" s="303" t="n">
        <v>46224</v>
      </c>
      <c r="W12" s="138" t="inlineStr">
        <is>
          <t>原创/待确认</t>
        </is>
      </c>
      <c r="X12" s="375" t="inlineStr">
        <is>
          <t>—</t>
        </is>
      </c>
      <c r="Y12" s="138" t="inlineStr">
        <is>
          <t>颜色/尺寸作参数变体，禁止复制整套</t>
        </is>
      </c>
    </row>
    <row r="13">
      <c r="A13" s="138" t="inlineStr">
        <is>
          <t>VFX-SPARK</t>
        </is>
      </c>
      <c r="B13" s="138" t="inlineStr">
        <is>
          <t>火花</t>
        </is>
      </c>
      <c r="C13" s="138" t="inlineStr">
        <is>
          <t>特效</t>
        </is>
      </c>
      <c r="D13" s="138" t="inlineStr">
        <is>
          <t>gameplay_vfx</t>
        </is>
      </c>
      <c r="E13" s="138" t="inlineStr">
        <is>
          <t>spark</t>
        </is>
      </c>
      <c r="F13" s="138" t="inlineStr">
        <is>
          <t>root</t>
        </is>
      </c>
      <c r="G13" s="138" t="str"/>
      <c r="H13" s="138" t="inlineStr">
        <is>
          <t>顶视/屏幕空间</t>
        </is>
      </c>
      <c r="I13" s="138" t="inlineStr">
        <is>
          <t>default</t>
        </is>
      </c>
      <c r="J13" s="138" t="inlineStr">
        <is>
          <t>跨武器/跨场景</t>
        </is>
      </c>
      <c r="K13" s="138" t="inlineStr">
        <is>
          <t>程序占位</t>
        </is>
      </c>
      <c r="L13" s="138" t="inlineStr">
        <is>
          <t>P2</t>
        </is>
      </c>
      <c r="M13" s="138" t="inlineStr">
        <is>
          <t>v001</t>
        </is>
      </c>
      <c r="N13" s="138" t="inlineStr">
        <is>
          <t>粒子或 8–16 帧序列</t>
        </is>
      </c>
      <c r="O13" s="138" t="str"/>
      <c r="P13" s="138" t="inlineStr">
        <is>
          <t>src/fx/SparkParticles.gd</t>
        </is>
      </c>
      <c r="Q13" s="138" t="str"/>
      <c r="R13" s="138">
        <f>LOWER(TRIM(C13)&amp;"|"&amp;TRIM(D13)&amp;"|"&amp;TRIM(E13)&amp;"|"&amp;TRIM(F13)&amp;"|"&amp;TRIM(H13)&amp;"|"&amp;TRIM(I13))</f>
        <v/>
      </c>
      <c r="S13" s="138">
        <f>IF(COUNTIF($R$6:$R$22,R13)&gt;1,"重复","唯一")</f>
        <v/>
      </c>
      <c r="T13" s="138" t="str"/>
      <c r="U13" s="138" t="inlineStr">
        <is>
          <t>待分配</t>
        </is>
      </c>
      <c r="V13" s="303" t="n">
        <v>46224</v>
      </c>
      <c r="W13" s="138" t="inlineStr">
        <is>
          <t>原创/待确认</t>
        </is>
      </c>
      <c r="X13" s="375" t="inlineStr">
        <is>
          <t>—</t>
        </is>
      </c>
      <c r="Y13" s="138" t="inlineStr">
        <is>
          <t>颜色/尺寸作参数变体，禁止复制整套</t>
        </is>
      </c>
    </row>
    <row r="14">
      <c r="A14" s="138" t="inlineStr">
        <is>
          <t>VFX-ROOM-TRANSITION</t>
        </is>
      </c>
      <c r="B14" s="138" t="inlineStr">
        <is>
          <t>房间转场</t>
        </is>
      </c>
      <c r="C14" s="138" t="inlineStr">
        <is>
          <t>特效</t>
        </is>
      </c>
      <c r="D14" s="138" t="inlineStr">
        <is>
          <t>gameplay_vfx</t>
        </is>
      </c>
      <c r="E14" s="138" t="inlineStr">
        <is>
          <t>room_transition</t>
        </is>
      </c>
      <c r="F14" s="138" t="inlineStr">
        <is>
          <t>root</t>
        </is>
      </c>
      <c r="G14" s="138" t="str"/>
      <c r="H14" s="138" t="inlineStr">
        <is>
          <t>顶视/屏幕空间</t>
        </is>
      </c>
      <c r="I14" s="138" t="inlineStr">
        <is>
          <t>default</t>
        </is>
      </c>
      <c r="J14" s="138" t="inlineStr">
        <is>
          <t>跨武器/跨场景</t>
        </is>
      </c>
      <c r="K14" s="138" t="inlineStr">
        <is>
          <t>程序占位</t>
        </is>
      </c>
      <c r="L14" s="138" t="inlineStr">
        <is>
          <t>P2</t>
        </is>
      </c>
      <c r="M14" s="138" t="inlineStr">
        <is>
          <t>v001</t>
        </is>
      </c>
      <c r="N14" s="138" t="inlineStr">
        <is>
          <t>粒子或 8–16 帧序列</t>
        </is>
      </c>
      <c r="O14" s="138" t="str"/>
      <c r="P14" s="138" t="inlineStr">
        <is>
          <t>src/fx/RoomTransitionFX.gd</t>
        </is>
      </c>
      <c r="Q14" s="138" t="str"/>
      <c r="R14" s="138">
        <f>LOWER(TRIM(C14)&amp;"|"&amp;TRIM(D14)&amp;"|"&amp;TRIM(E14)&amp;"|"&amp;TRIM(F14)&amp;"|"&amp;TRIM(H14)&amp;"|"&amp;TRIM(I14))</f>
        <v/>
      </c>
      <c r="S14" s="138">
        <f>IF(COUNTIF($R$6:$R$22,R14)&gt;1,"重复","唯一")</f>
        <v/>
      </c>
      <c r="T14" s="138" t="str"/>
      <c r="U14" s="138" t="inlineStr">
        <is>
          <t>待分配</t>
        </is>
      </c>
      <c r="V14" s="303" t="n">
        <v>46224</v>
      </c>
      <c r="W14" s="138" t="inlineStr">
        <is>
          <t>原创/待确认</t>
        </is>
      </c>
      <c r="X14" s="375" t="inlineStr">
        <is>
          <t>—</t>
        </is>
      </c>
      <c r="Y14" s="138" t="inlineStr">
        <is>
          <t>颜色/尺寸作参数变体，禁止复制整套</t>
        </is>
      </c>
    </row>
    <row r="15">
      <c r="A15" s="138" t="inlineStr">
        <is>
          <t>VFX-HEALTH-VIGNETTE</t>
        </is>
      </c>
      <c r="B15" s="138" t="inlineStr">
        <is>
          <t>低血暗角</t>
        </is>
      </c>
      <c r="C15" s="138" t="inlineStr">
        <is>
          <t>特效</t>
        </is>
      </c>
      <c r="D15" s="138" t="inlineStr">
        <is>
          <t>gameplay_vfx</t>
        </is>
      </c>
      <c r="E15" s="138" t="inlineStr">
        <is>
          <t>health_vignette</t>
        </is>
      </c>
      <c r="F15" s="138" t="inlineStr">
        <is>
          <t>root</t>
        </is>
      </c>
      <c r="G15" s="138" t="str"/>
      <c r="H15" s="138" t="inlineStr">
        <is>
          <t>顶视/屏幕空间</t>
        </is>
      </c>
      <c r="I15" s="138" t="inlineStr">
        <is>
          <t>default</t>
        </is>
      </c>
      <c r="J15" s="138" t="inlineStr">
        <is>
          <t>跨武器/跨场景</t>
        </is>
      </c>
      <c r="K15" s="138" t="inlineStr">
        <is>
          <t>原型已接入</t>
        </is>
      </c>
      <c r="L15" s="138" t="inlineStr">
        <is>
          <t>P2</t>
        </is>
      </c>
      <c r="M15" s="138" t="inlineStr">
        <is>
          <t>v001</t>
        </is>
      </c>
      <c r="N15" s="138" t="inlineStr">
        <is>
          <t>粒子或 8–16 帧序列</t>
        </is>
      </c>
      <c r="O15" s="138" t="inlineStr">
        <is>
          <t>scenes/Dungeon3D.tscn</t>
        </is>
      </c>
      <c r="P15" s="138" t="inlineStr">
        <is>
          <t>src/world3d/Dungeon3D.gd</t>
        </is>
      </c>
      <c r="Q15" s="138" t="str"/>
      <c r="R15" s="138">
        <f>LOWER(TRIM(C15)&amp;"|"&amp;TRIM(D15)&amp;"|"&amp;TRIM(E15)&amp;"|"&amp;TRIM(F15)&amp;"|"&amp;TRIM(H15)&amp;"|"&amp;TRIM(I15))</f>
        <v/>
      </c>
      <c r="S15" s="138">
        <f>IF(COUNTIF($R$6:$R$22,R15)&gt;1,"重复","唯一")</f>
        <v/>
      </c>
      <c r="T15" s="138" t="inlineStr">
        <is>
          <t>86fa546a86758f57eb7b5c8fae0aeadb30e62b29e08c1b40d7fb685ac36a4b53</t>
        </is>
      </c>
      <c r="U15" s="138" t="inlineStr">
        <is>
          <t>待分配</t>
        </is>
      </c>
      <c r="V15" s="303" t="n">
        <v>46264</v>
      </c>
      <c r="W15" s="138" t="inlineStr">
        <is>
          <t>原创/待确认</t>
        </is>
      </c>
      <c r="X15" s="375" t="inlineStr">
        <is>
          <t>—</t>
        </is>
      </c>
      <c r="Y15" s="138" t="inlineStr">
        <is>
          <t>复用低血暗角身份；3D HUD低血时提高边缘强度，不复制第二套逻辑ID
2026-08-30 AST-02：补齐单一生产路径SHA；验收：verify_3d_vision_input_flow；SHA 4e61089a3bcd。</t>
        </is>
      </c>
    </row>
    <row r="16">
      <c r="A16" s="138" t="inlineStr">
        <is>
          <t>VFX-VISIBILITY-LIGHT</t>
        </is>
      </c>
      <c r="B16" s="138" t="inlineStr">
        <is>
          <t>视野光锥</t>
        </is>
      </c>
      <c r="C16" s="138" t="inlineStr">
        <is>
          <t>特效</t>
        </is>
      </c>
      <c r="D16" s="138" t="inlineStr">
        <is>
          <t>gameplay_vfx</t>
        </is>
      </c>
      <c r="E16" s="138" t="inlineStr">
        <is>
          <t>visibility_light</t>
        </is>
      </c>
      <c r="F16" s="138" t="inlineStr">
        <is>
          <t>root</t>
        </is>
      </c>
      <c r="G16" s="138" t="str"/>
      <c r="H16" s="138" t="inlineStr">
        <is>
          <t>顶视/屏幕空间</t>
        </is>
      </c>
      <c r="I16" s="138" t="inlineStr">
        <is>
          <t>default</t>
        </is>
      </c>
      <c r="J16" s="138" t="inlineStr">
        <is>
          <t>跨武器/跨场景</t>
        </is>
      </c>
      <c r="K16" s="138" t="inlineStr">
        <is>
          <t>程序占位</t>
        </is>
      </c>
      <c r="L16" s="138" t="inlineStr">
        <is>
          <t>P2</t>
        </is>
      </c>
      <c r="M16" s="138" t="inlineStr">
        <is>
          <t>v001</t>
        </is>
      </c>
      <c r="N16" s="138" t="inlineStr">
        <is>
          <t>粒子或 8–16 帧序列</t>
        </is>
      </c>
      <c r="O16" s="138" t="str"/>
      <c r="P16" s="138" t="inlineStr">
        <is>
          <t>src/fx/VisibilityLight2D.gd</t>
        </is>
      </c>
      <c r="Q16" s="138" t="str"/>
      <c r="R16" s="138">
        <f>LOWER(TRIM(C16)&amp;"|"&amp;TRIM(D16)&amp;"|"&amp;TRIM(E16)&amp;"|"&amp;TRIM(F16)&amp;"|"&amp;TRIM(H16)&amp;"|"&amp;TRIM(I16))</f>
        <v/>
      </c>
      <c r="S16" s="138">
        <f>IF(COUNTIF($R$6:$R$22,R16)&gt;1,"重复","唯一")</f>
        <v/>
      </c>
      <c r="T16" s="138" t="str"/>
      <c r="U16" s="138" t="inlineStr">
        <is>
          <t>待分配</t>
        </is>
      </c>
      <c r="V16" s="303" t="n">
        <v>46225</v>
      </c>
      <c r="W16" s="138" t="inlineStr">
        <is>
          <t>原创/待确认</t>
        </is>
      </c>
      <c r="X16" s="375" t="inlineStr">
        <is>
          <t>—</t>
        </is>
      </c>
      <c r="Y16" s="138" t="inlineStr">
        <is>
          <t>2D视野表现根；3D真实判定与地面网格登记为 VFX-VISIBILITY-FIELD-3D，禁止用灯光替代</t>
        </is>
      </c>
    </row>
    <row r="17">
      <c r="A17" s="138" t="inlineStr">
        <is>
          <t>VFX-EXTRACTION-BEACON</t>
        </is>
      </c>
      <c r="B17" s="138" t="inlineStr">
        <is>
          <t>撤离信标效果</t>
        </is>
      </c>
      <c r="C17" s="138" t="inlineStr">
        <is>
          <t>特效</t>
        </is>
      </c>
      <c r="D17" s="138" t="inlineStr">
        <is>
          <t>gameplay_vfx</t>
        </is>
      </c>
      <c r="E17" s="138" t="inlineStr">
        <is>
          <t>extraction_beacon</t>
        </is>
      </c>
      <c r="F17" s="138" t="inlineStr">
        <is>
          <t>root</t>
        </is>
      </c>
      <c r="G17" s="138" t="str"/>
      <c r="H17" s="138" t="inlineStr">
        <is>
          <t>顶视/屏幕空间</t>
        </is>
      </c>
      <c r="I17" s="138" t="inlineStr">
        <is>
          <t>default</t>
        </is>
      </c>
      <c r="J17" s="138" t="inlineStr">
        <is>
          <t>跨武器/跨场景</t>
        </is>
      </c>
      <c r="K17" s="138" t="inlineStr">
        <is>
          <t>程序占位</t>
        </is>
      </c>
      <c r="L17" s="138" t="inlineStr">
        <is>
          <t>P2</t>
        </is>
      </c>
      <c r="M17" s="138" t="inlineStr">
        <is>
          <t>v001</t>
        </is>
      </c>
      <c r="N17" s="138" t="inlineStr">
        <is>
          <t>粒子或 8–16 帧序列</t>
        </is>
      </c>
      <c r="O17" s="138" t="str"/>
      <c r="P17" s="138" t="inlineStr">
        <is>
          <t>src/map/ExtractionDirector.gd</t>
        </is>
      </c>
      <c r="Q17" s="138" t="str"/>
      <c r="R17" s="138">
        <f>LOWER(TRIM(C17)&amp;"|"&amp;TRIM(D17)&amp;"|"&amp;TRIM(E17)&amp;"|"&amp;TRIM(F17)&amp;"|"&amp;TRIM(H17)&amp;"|"&amp;TRIM(I17))</f>
        <v/>
      </c>
      <c r="S17" s="138">
        <f>IF(COUNTIF($R$6:$R$22,R17)&gt;1,"重复","唯一")</f>
        <v/>
      </c>
      <c r="T17" s="138" t="str"/>
      <c r="U17" s="138" t="inlineStr">
        <is>
          <t>待分配</t>
        </is>
      </c>
      <c r="V17" s="303" t="n">
        <v>46224</v>
      </c>
      <c r="W17" s="138" t="inlineStr">
        <is>
          <t>原创/待确认</t>
        </is>
      </c>
      <c r="X17" s="375" t="inlineStr">
        <is>
          <t>—</t>
        </is>
      </c>
      <c r="Y17" s="138" t="inlineStr">
        <is>
          <t>颜色/尺寸作参数变体，禁止复制整套</t>
        </is>
      </c>
    </row>
    <row r="18">
      <c r="A18" s="392" t="inlineStr">
        <is>
          <t>VFX-HAZARD-FIELD-3D</t>
        </is>
      </c>
      <c r="B18" s="392" t="inlineStr">
        <is>
          <t>房间危险场3D特效</t>
        </is>
      </c>
      <c r="C18" s="392" t="inlineStr">
        <is>
          <t>特效</t>
        </is>
      </c>
      <c r="D18" s="392" t="inlineStr">
        <is>
          <t>environment</t>
        </is>
      </c>
      <c r="E18" s="392" t="inlineStr">
        <is>
          <t>hazard_field</t>
        </is>
      </c>
      <c r="F18" s="392" t="inlineStr">
        <is>
          <t>root_3d</t>
        </is>
      </c>
      <c r="G18" s="392" t="inlineStr">
        <is>
          <t>ENV-DUNGEON-RUNTIME-3D</t>
        </is>
      </c>
      <c r="H18" s="392" t="inlineStr">
        <is>
          <t>俯视3D</t>
        </is>
      </c>
      <c r="I18" s="392" t="inlineStr">
        <is>
          <t>active</t>
        </is>
      </c>
      <c r="J18" s="392" t="inlineStr">
        <is>
          <t>陷阱房</t>
        </is>
      </c>
      <c r="K18" s="392" t="inlineStr">
        <is>
          <t>原型已接入</t>
        </is>
      </c>
      <c r="L18" s="392" t="inlineStr">
        <is>
          <t>P0</t>
        </is>
      </c>
      <c r="M18" s="392" t="inlineStr">
        <is>
          <t>v001</t>
        </is>
      </c>
      <c r="N18" s="392" t="inlineStr">
        <is>
          <t>PackedScene/程序环形特效</t>
        </is>
      </c>
      <c r="O18" s="392" t="inlineStr">
        <is>
          <t>assets/art/vfx/environment_3d/vfx_hazard_field_root_top3d.tscn</t>
        </is>
      </c>
      <c r="P18" s="392" t="inlineStr">
        <is>
          <t>src/world3d/HazardField3D.gd</t>
        </is>
      </c>
      <c r="Q18" s="392" t="inlineStr">
        <is>
          <t>危险区;陷阱;范围伤害;3D</t>
        </is>
      </c>
      <c r="R18" s="392">
        <f>LOWER(TRIM(C18)&amp;"|"&amp;TRIM(D18)&amp;"|"&amp;TRIM(E18)&amp;"|"&amp;TRIM(F18)&amp;"|"&amp;TRIM(H18)&amp;"|"&amp;TRIM(I18))</f>
        <v/>
      </c>
      <c r="S18" s="392">
        <f>IF(COUNTIF($R$6:$R$22,R18)&gt;1,"重复","唯一")</f>
        <v/>
      </c>
      <c r="T18" s="392" t="inlineStr">
        <is>
          <t>9457d360dc6529e42502980b94188d13f76da5efb581b261cfb9b8adbd0f5ff6</t>
        </is>
      </c>
      <c r="U18" s="392" t="inlineStr">
        <is>
          <t>Codex</t>
        </is>
      </c>
      <c r="V18" s="348" t="n">
        <v>46224</v>
      </c>
      <c r="W18" s="392" t="inlineStr">
        <is>
          <t>原创程序特效</t>
        </is>
      </c>
      <c r="X18" s="375" t="inlineStr">
        <is>
          <t>—</t>
        </is>
      </c>
      <c r="Y18" s="392" t="inlineStr">
        <is>
          <t>颜色、半径与伤害可按主题配置</t>
        </is>
      </c>
    </row>
    <row r="19">
      <c r="A19" s="392" t="inlineStr">
        <is>
          <t>VFX-COMBAT-KIT-3D</t>
        </is>
      </c>
      <c r="B19" s="392" t="inlineStr">
        <is>
          <t>战斗反馈3D通用特效套件</t>
        </is>
      </c>
      <c r="C19" s="392" t="inlineStr">
        <is>
          <t>特效</t>
        </is>
      </c>
      <c r="D19" s="392" t="inlineStr">
        <is>
          <t>combat</t>
        </is>
      </c>
      <c r="E19" s="392" t="inlineStr">
        <is>
          <t>combat_feedback</t>
        </is>
      </c>
      <c r="F19" s="392" t="inlineStr">
        <is>
          <t>root_3d</t>
        </is>
      </c>
      <c r="G19" s="392" t="n"/>
      <c r="H19" s="392" t="inlineStr">
        <is>
          <t>俯视3D</t>
        </is>
      </c>
      <c r="I19" s="392" t="inlineStr">
        <is>
          <t>muzzle_impact_damage_explosion_slash_melee_impact</t>
        </is>
      </c>
      <c r="J19" s="392" t="inlineStr">
        <is>
          <t>枪械/近战/敌人/关卡</t>
        </is>
      </c>
      <c r="K19" s="392" t="inlineStr">
        <is>
          <t>原型已接入</t>
        </is>
      </c>
      <c r="L19" s="392" t="inlineStr">
        <is>
          <t>P0</t>
        </is>
      </c>
      <c r="M19" s="392" t="inlineStr">
        <is>
          <t>v001</t>
        </is>
      </c>
      <c r="N19" s="392" t="inlineStr">
        <is>
          <t>PackedScene/参数化特效</t>
        </is>
      </c>
      <c r="O19" s="392" t="inlineStr">
        <is>
          <t>assets/art/vfx/combat_3d/vfx_combat_kit_root_top3d.tscn</t>
        </is>
      </c>
      <c r="P19" s="392" t="inlineStr">
        <is>
          <t>src/combat3d/CombatEffect3D.gd; src/combat3d/CombatEffectPool3D.gd; src/player3d/melee/PlayerMeleeCombat3D.gd</t>
        </is>
      </c>
      <c r="Q19" s="392" t="inlineStr">
        <is>
          <t>枪口;命中;伤害;爆炸;挥砍;近战冲击;slash;melee_impact;3D</t>
        </is>
      </c>
      <c r="R19" s="392">
        <f>LOWER(TRIM(C19)&amp;"|"&amp;TRIM(D19)&amp;"|"&amp;TRIM(E19)&amp;"|"&amp;TRIM(F19)&amp;"|"&amp;TRIM(H19)&amp;"|"&amp;TRIM(I19))</f>
        <v/>
      </c>
      <c r="S19" s="392">
        <f>IF(COUNTIF($R$6:$R$22,R19)&gt;1,"重复","唯一")</f>
        <v/>
      </c>
      <c r="T19" s="392" t="inlineStr">
        <is>
          <t>59cd5409b33ff9fae9c541b357699249d8f0574bc21add6fec2d1fdfd89a098e</t>
        </is>
      </c>
      <c r="U19" s="392" t="inlineStr">
        <is>
          <t>Codex</t>
        </is>
      </c>
      <c r="V19" s="348" t="n">
        <v>46224</v>
      </c>
      <c r="W19" s="392" t="inlineStr">
        <is>
          <t>原创程序特效</t>
        </is>
      </c>
      <c r="X19" s="375" t="inlineStr">
        <is>
          <t>—</t>
        </is>
      </c>
      <c r="Y19" s="392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20">
      <c r="A20" s="392" t="inlineStr">
        <is>
          <t>VFX-VISIBILITY-FIELD-3D</t>
        </is>
      </c>
      <c r="B20" s="392" t="inlineStr">
        <is>
          <t>柔边真实单位视野场3D</t>
        </is>
      </c>
      <c r="C20" s="392" t="inlineStr">
        <is>
          <t>特效</t>
        </is>
      </c>
      <c r="D20" s="392" t="inlineStr">
        <is>
          <t>gameplay_vfx</t>
        </is>
      </c>
      <c r="E20" s="392" t="inlineStr">
        <is>
          <t>visibility_field</t>
        </is>
      </c>
      <c r="F20" s="392" t="inlineStr">
        <is>
          <t>field_mesh_3d</t>
        </is>
      </c>
      <c r="G20" s="392" t="inlineStr">
        <is>
          <t>VFX-VISIBILITY-LIGHT</t>
        </is>
      </c>
      <c r="H20" s="392" t="inlineStr">
        <is>
          <t>俯视3D</t>
        </is>
      </c>
      <c r="I20" s="392" t="inlineStr">
        <is>
          <t>default</t>
        </is>
      </c>
      <c r="J20" s="392" t="inlineStr">
        <is>
          <t>3D行动区/靶场/基地</t>
        </is>
      </c>
      <c r="K20" s="392" t="inlineStr">
        <is>
          <t>原型已接入</t>
        </is>
      </c>
      <c r="L20" s="392" t="inlineStr">
        <is>
          <t>P0</t>
        </is>
      </c>
      <c r="M20" s="392" t="inlineStr">
        <is>
          <t>v001</t>
        </is>
      </c>
      <c r="N20" s="392" t="inlineStr">
        <is>
          <t>360°逻辑射线 + ImmediateMesh 49+28表现射线</t>
        </is>
      </c>
      <c r="O20" s="392" t="inlineStr">
        <is>
          <t>src/player3d/PlayerVision3D.gd</t>
        </is>
      </c>
      <c r="P20" s="392" t="inlineStr">
        <is>
          <t>scenes/Player3D.tscn</t>
        </is>
      </c>
      <c r="Q20" s="392" t="inlineStr">
        <is>
          <t>360度逻辑视野;96度目光表现;柔边;墙体遮挡;无描边;非灯光判定</t>
        </is>
      </c>
      <c r="R20" s="392">
        <f>LOWER(TRIM(C20)&amp;"|"&amp;TRIM(D20)&amp;"|"&amp;TRIM(E20)&amp;"|"&amp;TRIM(F20)&amp;"|"&amp;TRIM(H20)&amp;"|"&amp;TRIM(I20))</f>
        <v/>
      </c>
      <c r="S20" s="392">
        <f>IF(COUNTIF($R$6:$R$22,R20)&gt;1,"重复","唯一")</f>
        <v/>
      </c>
      <c r="T20" s="392" t="inlineStr">
        <is>
          <t>128dc5eab4c8b523961178714d4ed65bbefd86297641e6ba2cb0b7cf8b91f7f0</t>
        </is>
      </c>
      <c r="U20" s="392" t="inlineStr">
        <is>
          <t>Codex</t>
        </is>
      </c>
      <c r="V20" s="392" t="n">
        <v>46264</v>
      </c>
      <c r="W20" s="392" t="inlineStr">
        <is>
          <t>原创程序几何</t>
        </is>
      </c>
      <c r="X20" s="375" t="inlineStr">
        <is>
          <t>—</t>
        </is>
      </c>
      <c r="Y20" s="392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1">
      <c r="A21" s="392" t="inlineStr">
        <is>
          <t>VFX-PLAYER-FLASHLIGHT-3D</t>
        </is>
      </c>
      <c r="B21" s="392" t="inlineStr">
        <is>
          <t>玩家真实探照灯组件3D</t>
        </is>
      </c>
      <c r="C21" s="392" t="inlineStr">
        <is>
          <t>特效</t>
        </is>
      </c>
      <c r="D21" s="392" t="inlineStr">
        <is>
          <t>gameplay_vfx</t>
        </is>
      </c>
      <c r="E21" s="392" t="inlineStr">
        <is>
          <t>player_flashlight</t>
        </is>
      </c>
      <c r="F21" s="392" t="inlineStr">
        <is>
          <t>light_rig_3d</t>
        </is>
      </c>
      <c r="G21" s="392" t="inlineStr">
        <is>
          <t>VFX-VISIBILITY-FIELD-3D</t>
        </is>
      </c>
      <c r="H21" s="392" t="inlineStr">
        <is>
          <t>俯视3D</t>
        </is>
      </c>
      <c r="I21" s="392" t="inlineStr">
        <is>
          <t>default</t>
        </is>
      </c>
      <c r="J21" s="392" t="inlineStr">
        <is>
          <t>3D行动区/靶场/基地</t>
        </is>
      </c>
      <c r="K21" s="392" t="inlineStr">
        <is>
          <t>原型已接入</t>
        </is>
      </c>
      <c r="L21" s="392" t="inlineStr">
        <is>
          <t>P0</t>
        </is>
      </c>
      <c r="M21" s="392" t="inlineStr">
        <is>
          <t>v001</t>
        </is>
      </c>
      <c r="N21" s="392" t="inlineStr">
        <is>
          <t>PackedScene/2 SpotLight3D+1 OmniLight3D</t>
        </is>
      </c>
      <c r="O21" s="392" t="inlineStr">
        <is>
          <t>assets/art/vfx/visibility_3d/vfx_player_flashlight_root_top3d.tscn</t>
        </is>
      </c>
      <c r="P21" s="392" t="inlineStr">
        <is>
          <t>src/player3d/PlayerFlashlight3D.gd</t>
        </is>
      </c>
      <c r="Q21" s="392" t="inlineStr">
        <is>
          <t>真实探照灯;玩家灯光;前向聚光;角色补光;可调灯光</t>
        </is>
      </c>
      <c r="R21" s="392">
        <f>LOWER(TRIM(C21)&amp;"|"&amp;TRIM(D21)&amp;"|"&amp;TRIM(E21)&amp;"|"&amp;TRIM(F21)&amp;"|"&amp;TRIM(H21)&amp;"|"&amp;TRIM(I21))</f>
        <v/>
      </c>
      <c r="S21" s="392">
        <f>IF(COUNTIF($R$6:$R$22,R21)&gt;1,"重复","唯一")</f>
        <v/>
      </c>
      <c r="T21" s="392" t="inlineStr">
        <is>
          <t>66d910c4fbcfd63176427c8012d3b6dbb11c4e0999587b34a3a66d6202920017</t>
        </is>
      </c>
      <c r="U21" s="392" t="inlineStr">
        <is>
          <t>Codex</t>
        </is>
      </c>
      <c r="V21" s="348" t="n">
        <v>46225</v>
      </c>
      <c r="W21" s="348" t="inlineStr">
        <is>
          <t>原创程序几何</t>
        </is>
      </c>
      <c r="X21" s="375" t="inlineStr">
        <is>
          <t>—</t>
        </is>
      </c>
      <c r="Y21" s="392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2">
      <c r="A22" s="392" t="inlineStr">
        <is>
          <t>VFX-SHELL-CASING-3D</t>
        </is>
      </c>
      <c r="B22" s="392" t="inlineStr">
        <is>
          <t>抛壳落地特效</t>
        </is>
      </c>
      <c r="C22" s="392" t="inlineStr">
        <is>
          <t>特效</t>
        </is>
      </c>
      <c r="D22" s="392" t="inlineStr">
        <is>
          <t>战斗反馈</t>
        </is>
      </c>
      <c r="E22" s="392" t="inlineStr">
        <is>
          <t>FX01-07</t>
        </is>
      </c>
      <c r="F22" s="392" t="n"/>
      <c r="G22" s="392" t="n"/>
      <c r="H22" s="392" t="inlineStr">
        <is>
          <t>俯视3D</t>
        </is>
      </c>
      <c r="I22" s="392" t="inlineStr">
        <is>
          <t>开火抛壳/落地</t>
        </is>
      </c>
      <c r="J22" s="392" t="inlineStr">
        <is>
          <t>玩家/敌人远程枪械</t>
        </is>
      </c>
      <c r="K22" s="392" t="inlineStr">
        <is>
          <t>已完成</t>
        </is>
      </c>
      <c r="L22" s="392" t="inlineStr">
        <is>
          <t>P1</t>
        </is>
      </c>
      <c r="M22" s="392" t="inlineStr">
        <is>
          <t>v001</t>
        </is>
      </c>
      <c r="N22" s="392" t="inlineStr">
        <is>
          <t>PackedScene/程序运动</t>
        </is>
      </c>
      <c r="O22" s="392" t="inlineStr">
        <is>
          <t>assets/art/vfx/combat_3d/vfx_shell_casing_root_top3d.tscn</t>
        </is>
      </c>
      <c r="P22" s="392" t="inlineStr">
        <is>
          <t>src/vfx/VfxShellCasing3D.gd</t>
        </is>
      </c>
      <c r="Q22" s="392" t="inlineStr">
        <is>
          <t>弹壳,抛壳,落地,枪械反馈</t>
        </is>
      </c>
      <c r="R22" s="392">
        <f>LOWER(TRIM(C22)&amp;"|"&amp;TRIM(D22)&amp;"|"&amp;TRIM(E22)&amp;"|"&amp;TRIM(F22)&amp;"|"&amp;TRIM(H22)&amp;"|"&amp;TRIM(I22))</f>
        <v/>
      </c>
      <c r="S22" s="392">
        <f>IF(COUNTIF($R$6:$R$22,R22)&gt;1,"重复","唯一")</f>
        <v/>
      </c>
      <c r="T22" s="392" t="inlineStr">
        <is>
          <t>f848a7fa405457b1d420329ae574d32bf0d65898358b75036a40360c563fbeef</t>
        </is>
      </c>
      <c r="U22" s="392" t="inlineStr">
        <is>
          <t>摩斯拉</t>
        </is>
      </c>
      <c r="V22" s="348" t="n">
        <v>46287</v>
      </c>
      <c r="W22" s="348" t="inlineStr">
        <is>
          <t>原创程序几何</t>
        </is>
      </c>
      <c r="X22" s="375" t="inlineStr">
        <is>
          <t>—</t>
        </is>
      </c>
      <c r="Y22" s="392" t="inlineStr">
        <is>
          <t>独立纯视觉 Prefab，无碰撞体；每次成功开火生成 1 枚；从枪械右侧抛出，重力 9.8m/s²，命中地板最多 2 次小弹跳后静止，3.2s 回收；验收 verify_combat_vfx_toon_v002。</t>
        </is>
      </c>
    </row>
    <row r="79" ht="155" customHeight="1"/>
    <row r="113" ht="155" customHeight="1"/>
    <row r="120" ht="155" customHeight="1"/>
    <row r="123" ht="155" customHeight="1"/>
    <row r="124" ht="34" customHeight="1"/>
    <row r="125" ht="34" customHeight="1"/>
    <row r="126" ht="34" customHeight="1"/>
    <row r="127" ht="34" customHeight="1"/>
    <row r="128" ht="155" customHeight="1"/>
    <row r="129" ht="34" customHeight="1"/>
    <row r="130" ht="34" customHeight="1"/>
    <row r="131" ht="34" customHeight="1"/>
    <row r="132" ht="34" customHeight="1"/>
    <row r="133" ht="34" customHeight="1"/>
    <row r="134" ht="34" customHeight="1"/>
    <row r="135" ht="34" customHeight="1"/>
    <row r="136" ht="34" customHeight="1"/>
    <row r="137" ht="34" customHeight="1"/>
    <row r="138" ht="34" customHeight="1"/>
    <row r="139" ht="34" customHeight="1"/>
    <row r="143" ht="155" customHeight="1"/>
    <row r="146" ht="44" customHeight="1"/>
    <row r="147" ht="44" customHeight="1"/>
    <row r="148" ht="44" customHeight="1"/>
    <row r="149" ht="44" customHeight="1"/>
    <row r="150" ht="44" customHeight="1"/>
    <row r="151" ht="44" customHeight="1"/>
    <row r="152" ht="44" customHeight="1"/>
    <row r="153" ht="44" customHeight="1"/>
    <row r="154" ht="44" customHeight="1"/>
    <row r="155" ht="44" customHeight="1"/>
    <row r="156" ht="132" customHeight="1"/>
    <row r="157" ht="118" customHeight="1"/>
    <row r="158" ht="118" customHeight="1"/>
    <row r="159" ht="118" customHeight="1"/>
    <row r="160" ht="118" customHeight="1"/>
    <row r="161" ht="132" customHeight="1"/>
    <row r="162" ht="132" customHeight="1"/>
    <row r="163" ht="155" customHeight="1"/>
    <row r="164" ht="132" customHeight="1"/>
    <row r="165" ht="132" customHeight="1"/>
    <row r="166" ht="132" customHeight="1"/>
    <row r="167" ht="155" customHeight="1"/>
    <row r="168" ht="220" customHeight="1"/>
    <row r="169" ht="220" customHeight="1"/>
    <row r="172" ht="42" customHeight="1"/>
    <row r="173" ht="42" customHeight="1"/>
    <row r="174" ht="44" customHeight="1"/>
    <row r="175" ht="44" customHeight="1"/>
    <row r="176" ht="44" customHeight="1"/>
    <row r="177" ht="44" customHeight="1"/>
    <row r="178" ht="44" customHeight="1"/>
    <row r="179" ht="44" customHeight="1"/>
    <row r="180" ht="44" customHeight="1"/>
    <row r="181" ht="44" customHeight="1"/>
    <row r="182" ht="44" customHeight="1"/>
    <row r="183" ht="44" customHeight="1"/>
    <row r="184" ht="44" customHeight="1"/>
    <row r="185" ht="44" customHeight="1"/>
    <row r="186" ht="44" customHeight="1"/>
    <row r="187" ht="44" customHeight="1"/>
    <row r="188" ht="44" customHeight="1"/>
    <row r="189" ht="44" customHeight="1"/>
    <row r="190" ht="44" customHeight="1"/>
    <row r="191" ht="44" customHeight="1"/>
    <row r="192" ht="44" customHeight="1"/>
    <row r="193" ht="44" customHeight="1"/>
    <row r="194" ht="44" customHeight="1"/>
    <row r="195" ht="44" customHeight="1"/>
    <row r="196" ht="44" customHeight="1"/>
    <row r="197" ht="44" customHeight="1"/>
    <row r="198" ht="44" customHeight="1"/>
    <row r="199" ht="44" customHeight="1"/>
    <row r="200" ht="44" customHeight="1"/>
    <row r="201" ht="44" customHeight="1"/>
    <row r="202" ht="44" customHeight="1"/>
    <row r="203" ht="44" customHeight="1"/>
    <row r="204" ht="44" customHeight="1"/>
    <row r="240" ht="255" customHeight="1"/>
    <row r="281" ht="66" customHeight="1"/>
    <row r="282" ht="66" customHeight="1"/>
    <row r="283" ht="66" customHeight="1"/>
    <row r="284" ht="66" customHeight="1"/>
    <row r="285" ht="66" customHeight="1"/>
    <row r="286" ht="66" customHeight="1"/>
    <row r="287" ht="56" customHeight="1"/>
    <row r="301" ht="132" customHeight="1"/>
    <row r="302" ht="54" customHeight="1"/>
    <row r="303" ht="54" customHeight="1"/>
    <row r="304" ht="54" customHeight="1"/>
    <row r="305" ht="54" customHeight="1"/>
    <row r="306" ht="54" customHeight="1"/>
    <row r="307" ht="54" customHeight="1"/>
    <row r="308" ht="54" customHeight="1"/>
    <row r="309" ht="54" customHeight="1"/>
    <row r="310" ht="54" customHeight="1"/>
    <row r="311" ht="72" customHeight="1"/>
    <row r="312" ht="54" customHeight="1"/>
    <row r="313" ht="54" customHeight="1"/>
    <row r="314" ht="54" customHeight="1"/>
    <row r="315" ht="54" customHeight="1"/>
    <row r="316" ht="54" customHeight="1"/>
    <row r="317" ht="54" customHeight="1"/>
    <row r="318" ht="54" customHeight="1"/>
    <row r="319" ht="54" customHeight="1"/>
    <row r="320" ht="54" customHeight="1"/>
    <row r="321" ht="54" customHeight="1"/>
    <row r="322" ht="54" customHeight="1"/>
    <row r="323" ht="54" customHeight="1"/>
    <row r="324" ht="54" customHeight="1"/>
    <row r="325" ht="54" customHeight="1"/>
    <row r="326" ht="54" customHeight="1"/>
    <row r="327" ht="54" customHeight="1"/>
    <row r="328" ht="54" customHeight="1"/>
    <row r="329" ht="54" customHeight="1"/>
    <row r="330" ht="54" customHeight="1"/>
    <row r="331" ht="54" customHeight="1"/>
    <row r="332" ht="54" customHeight="1"/>
    <row r="333" ht="54" customHeight="1"/>
    <row r="334" ht="54" customHeight="1"/>
    <row r="335" ht="54" customHeight="1"/>
    <row r="336" ht="54" customHeight="1"/>
    <row r="337" ht="54" customHeight="1"/>
    <row r="338" ht="54" customHeight="1"/>
    <row r="339" ht="54" customHeight="1"/>
    <row r="340" ht="54" customHeight="1"/>
    <row r="341" ht="54" customHeight="1"/>
    <row r="342" ht="54" customHeight="1"/>
    <row r="343" ht="54" customHeight="1"/>
    <row r="344" ht="54" customHeight="1"/>
    <row r="345" ht="54" customHeight="1"/>
    <row r="346" ht="54" customHeight="1"/>
    <row r="347" ht="54" customHeight="1"/>
    <row r="348" ht="54" customHeight="1"/>
    <row r="349" ht="54" customHeight="1"/>
    <row r="350" ht="54" customHeight="1"/>
    <row r="351" ht="54" customHeight="1"/>
    <row r="352" ht="54" customHeight="1"/>
    <row r="353" ht="54" customHeight="1"/>
    <row r="354" ht="54" customHeight="1"/>
    <row r="355" ht="54" customHeight="1"/>
    <row r="356" ht="54" customHeight="1"/>
    <row r="357" ht="54" customHeight="1"/>
    <row r="358" ht="54" customHeight="1"/>
    <row r="359" ht="72" customHeight="1"/>
    <row r="360" ht="54" customHeight="1"/>
    <row r="361" ht="54" customHeight="1"/>
    <row r="362" ht="54" customHeight="1"/>
    <row r="363" ht="54" customHeight="1"/>
    <row r="364" ht="54" customHeight="1"/>
    <row r="365" ht="54" customHeight="1"/>
    <row r="366" ht="54" customHeight="1"/>
    <row r="367" ht="54" customHeight="1"/>
    <row r="368" ht="72" customHeight="1"/>
    <row r="369" ht="54" customHeight="1"/>
    <row r="370" ht="54" customHeight="1"/>
    <row r="371" ht="54" customHeight="1"/>
    <row r="372" ht="54" customHeight="1"/>
    <row r="373" ht="54" customHeight="1"/>
    <row r="374" ht="54" customHeight="1"/>
    <row r="375" ht="54" customHeight="1"/>
    <row r="376" ht="54" customHeight="1"/>
    <row r="377" ht="54" customHeight="1"/>
    <row r="378" ht="54" customHeight="1"/>
    <row r="379" ht="54" customHeight="1"/>
    <row r="380" ht="54" customHeight="1"/>
    <row r="381" ht="54" customHeight="1"/>
    <row r="382" ht="54" customHeight="1"/>
    <row r="383" ht="54" customHeight="1"/>
    <row r="384" ht="54" customHeight="1"/>
    <row r="385" ht="54" customHeight="1"/>
    <row r="386" ht="54" customHeight="1"/>
    <row r="387" ht="54" customHeight="1"/>
    <row r="388" ht="54" customHeight="1"/>
    <row r="389" ht="54" customHeight="1"/>
    <row r="390" ht="54" customHeight="1"/>
    <row r="391" ht="54" customHeight="1"/>
    <row r="392" ht="54" customHeight="1"/>
    <row r="393" ht="54" customHeight="1"/>
    <row r="394" ht="54" customHeight="1"/>
    <row r="395" ht="54" customHeight="1"/>
    <row r="396" ht="54" customHeight="1"/>
    <row r="397" ht="54" customHeight="1"/>
    <row r="398" ht="54" customHeight="1"/>
    <row r="399" ht="54" customHeight="1"/>
    <row r="400" ht="54" customHeight="1"/>
    <row r="401" ht="54" customHeight="1"/>
    <row r="402" ht="54" customHeight="1"/>
    <row r="403" ht="54" customHeight="1"/>
    <row r="404" ht="54" customHeight="1"/>
    <row r="405" ht="54" customHeight="1"/>
    <row r="406" ht="54" customHeight="1"/>
    <row r="407" ht="54" customHeight="1"/>
    <row r="408" ht="54" customHeight="1"/>
    <row r="409" ht="54" customHeight="1"/>
    <row r="410" ht="54" customHeight="1"/>
    <row r="411" ht="54" customHeight="1"/>
    <row r="412" ht="54" customHeight="1"/>
    <row r="413" ht="76" customHeight="1"/>
    <row r="414" ht="72" customHeight="1"/>
    <row r="415" ht="72" customHeight="1"/>
    <row r="416" ht="72" customHeight="1"/>
    <row r="424" ht="85" customHeight="1"/>
    <row r="425" ht="85" customHeight="1"/>
    <row r="426" ht="85" customHeight="1"/>
    <row r="427" ht="85" customHeight="1"/>
    <row r="429" ht="120" customHeight="1"/>
  </sheetData>
  <autoFilter ref="A5:X21"/>
  <mergeCells count="2">
    <mergeCell ref="A1:X2"/>
    <mergeCell ref="A3:X3"/>
  </mergeCells>
  <conditionalFormatting sqref="S6:S21">
    <cfRule type="containsText" priority="1" operator="containsText" dxfId="0" text="重复"/>
  </conditionalFormatting>
  <conditionalFormatting sqref="K6:K2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2" showDropDown="0" showInputMessage="0" showErrorMessage="0" allowBlank="1" type="list">
      <formula1>"角色,敌人,武器,道具,场景,场景道具,基地资产包,UI,特效,音频"</formula1>
    </dataValidation>
    <dataValidation sqref="K6:K22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2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76" t="inlineStr">
        <is>
          <t>ShellStorm2 · 特效 3D Prefab</t>
        </is>
      </c>
    </row>
    <row r="2" ht="34" customHeight="1">
      <c r="A2" s="377" t="inlineStr">
        <is>
          <t>特效按独立 Prefab 原则：每个特效一个独立 .tscn；Prefab 是特效唯一出口；账本和调用代码读 Prefab。本 sheet 共 12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</t>
        </is>
      </c>
    </row>
    <row r="4" ht="30" customHeight="1">
      <c r="A4" s="378" t="inlineStr">
        <is>
          <t>编号</t>
        </is>
      </c>
      <c r="B4" s="379" t="inlineStr">
        <is>
          <t>AssetID</t>
        </is>
      </c>
      <c r="C4" s="379" t="inlineStr">
        <is>
          <t>中文名</t>
        </is>
      </c>
      <c r="D4" s="379" t="inlineStr">
        <is>
          <t>Prefab路径</t>
        </is>
      </c>
      <c r="E4" s="379" t="inlineStr">
        <is>
          <t>GLB模型路径</t>
        </is>
      </c>
      <c r="F4" s="379" t="inlineStr">
        <is>
          <t>Blender源文件</t>
        </is>
      </c>
      <c r="G4" s="379" t="inlineStr">
        <is>
          <t>功能说明</t>
        </is>
      </c>
      <c r="H4" s="379" t="inlineStr">
        <is>
          <t>功能脚本路径</t>
        </is>
      </c>
      <c r="I4" s="379" t="inlineStr">
        <is>
          <t>碰撞开关</t>
        </is>
      </c>
      <c r="J4" s="379" t="inlineStr">
        <is>
          <t>碰撞归属</t>
        </is>
      </c>
      <c r="K4" s="379" t="inlineStr">
        <is>
          <t>碰撞方式</t>
        </is>
      </c>
      <c r="L4" s="379" t="inlineStr">
        <is>
          <t>标准尺寸</t>
        </is>
      </c>
      <c r="M4" s="379" t="inlineStr">
        <is>
          <t>原点与朝向</t>
        </is>
      </c>
      <c r="N4" s="379" t="inlineStr">
        <is>
          <t>使用位置</t>
        </is>
      </c>
      <c r="O4" s="379" t="inlineStr">
        <is>
          <t>制作状态</t>
        </is>
      </c>
      <c r="P4" s="380" t="inlineStr">
        <is>
          <t>版本</t>
        </is>
      </c>
      <c r="Q4" s="389" t="inlineStr">
        <is>
          <t>备注</t>
        </is>
      </c>
    </row>
    <row r="5" ht="66" customHeight="1">
      <c r="A5" s="381" t="inlineStr">
        <is>
          <t>▼ 00 特效套件（老形态）</t>
        </is>
      </c>
      <c r="B5" s="382" t="n"/>
      <c r="C5" s="382" t="n"/>
      <c r="D5" s="382" t="n"/>
      <c r="E5" s="382" t="n"/>
      <c r="F5" s="382" t="n"/>
      <c r="G5" s="382" t="n"/>
      <c r="H5" s="382" t="n"/>
      <c r="I5" s="382" t="n"/>
      <c r="J5" s="382" t="n"/>
      <c r="K5" s="382" t="n"/>
      <c r="L5" s="382" t="n"/>
      <c r="M5" s="382" t="n"/>
      <c r="N5" s="382" t="n"/>
      <c r="O5" s="382" t="n"/>
      <c r="P5" s="383" t="n"/>
      <c r="Q5" s="388" t="n"/>
    </row>
    <row r="6" ht="66" customHeight="1">
      <c r="A6" s="390" t="inlineStr">
        <is>
          <t>FX00-01</t>
        </is>
      </c>
      <c r="B6" s="192" t="inlineStr">
        <is>
          <t>VFX-COMBAT-KIT-3D</t>
        </is>
      </c>
      <c r="C6" s="192" t="inlineStr">
        <is>
          <t>战斗反馈3D通用特效套件</t>
        </is>
      </c>
      <c r="D6" s="192" t="inlineStr">
        <is>
          <t>assets/art/vfx/combat_3d/vfx_combat_kit_root_top3d.tscn</t>
        </is>
      </c>
      <c r="E6" s="192" t="n"/>
      <c r="F6" s="192" t="n"/>
      <c r="G6" s="192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192" t="inlineStr">
        <is>
          <t>src/combat3d/CombatEffect3D.gd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无</t>
        </is>
      </c>
      <c r="L6" s="192" t="inlineStr">
        <is>
          <t>PackedScene/参数化特效</t>
        </is>
      </c>
      <c r="M6" s="192" t="inlineStr">
        <is>
          <t>未声明</t>
        </is>
      </c>
      <c r="N6" s="192" t="inlineStr">
        <is>
          <t>枪械/近战/敌人/关卡</t>
        </is>
      </c>
      <c r="O6" s="192" t="inlineStr">
        <is>
          <t>老 · 待拆分</t>
        </is>
      </c>
      <c r="P6" s="193" t="inlineStr">
        <is>
          <t>v001</t>
        </is>
      </c>
      <c r="Q6" t="inlineStr">
        <is>
          <t>老形态·保留为过渡；待 14.6 §6 迁移完成后删除</t>
        </is>
      </c>
    </row>
    <row r="7" ht="66" customHeight="1">
      <c r="A7" s="384" t="inlineStr">
        <is>
          <t>▼ 01 战斗反馈</t>
        </is>
      </c>
      <c r="B7" s="385" t="n"/>
      <c r="C7" s="385" t="n"/>
      <c r="D7" s="385" t="n"/>
      <c r="E7" s="385" t="n"/>
      <c r="F7" s="385" t="n"/>
      <c r="G7" s="385" t="n"/>
      <c r="H7" s="385" t="n"/>
      <c r="I7" s="385" t="n"/>
      <c r="J7" s="385" t="n"/>
      <c r="K7" s="385" t="n"/>
      <c r="L7" s="385" t="n"/>
      <c r="M7" s="385" t="n"/>
      <c r="N7" s="385" t="n"/>
      <c r="O7" s="385" t="n"/>
      <c r="P7" s="386" t="n"/>
      <c r="Q7" s="388" t="n"/>
    </row>
    <row r="8">
      <c r="A8" s="391" t="inlineStr">
        <is>
          <t>FX01-01</t>
        </is>
      </c>
      <c r="B8" t="inlineStr">
        <is>
          <t>VFX-MUZZLE-FLASH-3D</t>
        </is>
      </c>
      <c r="C8" t="inlineStr">
        <is>
          <t>枪口火光特效</t>
        </is>
      </c>
      <c r="D8" t="inlineStr">
        <is>
          <t>assets/art/vfx/combat_3d/vfx_muzzle_flash_root_top3d.tscn</t>
        </is>
      </c>
      <c r="G8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t="inlineStr">
        <is>
          <t>src/vfx/VfxMuzzleFlash3D.gd</t>
        </is>
      </c>
      <c r="I8" t="inlineStr">
        <is>
          <t>无</t>
        </is>
      </c>
      <c r="J8" t="inlineStr">
        <is>
          <t>无</t>
        </is>
      </c>
      <c r="K8" t="inlineStr">
        <is>
          <t>无</t>
        </is>
      </c>
      <c r="L8" t="inlineStr">
        <is>
          <t>亮芯约 0.18m；火焰长 0.7~1.8×size；lifetime 0.16s；MuzzleLight range 3.5m×size、峰值 light_energy 5.0、寿命末端归零</t>
        </is>
      </c>
      <c r="M8" t="inlineStr">
        <is>
          <t>原点=根节点中心；朝向=Basis.looking_at(context.forward)，local -Z 对齐射击方向</t>
        </is>
      </c>
      <c r="N8" t="inlineStr">
        <is>
          <t>枪械开火（远程 7 枪）</t>
        </is>
      </c>
      <c r="O8" t="inlineStr">
        <is>
          <t>完成</t>
        </is>
      </c>
      <c r="P8" t="inlineStr">
        <is>
          <t>v002</t>
        </is>
      </c>
      <c r="Q8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>
      <c r="A9" s="391" t="inlineStr">
        <is>
          <t>FX01-02</t>
        </is>
      </c>
      <c r="B9" s="388" t="inlineStr">
        <is>
          <t>VFX-IMPACT-3D</t>
        </is>
      </c>
      <c r="C9" s="388" t="inlineStr">
        <is>
          <t>通用命中特效</t>
        </is>
      </c>
      <c r="D9" s="388" t="inlineStr">
        <is>
          <t>assets/art/vfx/combat_3d/vfx_impact_root_top3d.tscn</t>
        </is>
      </c>
      <c r="E9" s="388" t="n"/>
      <c r="F9" s="388" t="n"/>
      <c r="G9" s="388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388" t="inlineStr">
        <is>
          <t>src/vfx/VfxImpact3D.gd</t>
        </is>
      </c>
      <c r="I9" s="388" t="inlineStr">
        <is>
          <t>无</t>
        </is>
      </c>
      <c r="J9" s="388" t="inlineStr">
        <is>
          <t>无</t>
        </is>
      </c>
      <c r="K9" s="388" t="inlineStr">
        <is>
          <t>无</t>
        </is>
      </c>
      <c r="L9" s="388" t="inlineStr">
        <is>
          <t>亮芯约 0.16m；冲击环 0.2→2.4×size；lifetime 0.32s</t>
        </is>
      </c>
      <c r="M9" s="388" t="inlineStr">
        <is>
          <t>原点=根节点中心；朝向=Basis(Quaternion(UP, context.normal))，local +Y 对齐命中法线</t>
        </is>
      </c>
      <c r="N9" s="388" t="inlineStr">
        <is>
          <t>子弹/投射物命中通用</t>
        </is>
      </c>
      <c r="O9" s="388" t="inlineStr">
        <is>
          <t>完成</t>
        </is>
      </c>
      <c r="P9" s="388" t="inlineStr">
        <is>
          <t>v002</t>
        </is>
      </c>
      <c r="Q9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>
      <c r="A10" s="391" t="inlineStr">
        <is>
          <t>FX01-03</t>
        </is>
      </c>
      <c r="B10" t="inlineStr">
        <is>
          <t>VFX-EXPLOSION-3D</t>
        </is>
      </c>
      <c r="C10" t="inlineStr">
        <is>
          <t>爆炸特效</t>
        </is>
      </c>
      <c r="D10" t="inlineStr">
        <is>
          <t>assets/art/vfx/combat_3d/vfx_explosion_root_top3d.tscn</t>
        </is>
      </c>
      <c r="G10" t="inlineStr">
        <is>
          <t>范围爆炸；1 SphereMesh 核心 + 2 TorusMesh 冲击波环（径向波 + 二次环）；参数 effect_color / effect_size。</t>
        </is>
      </c>
      <c r="H10" t="inlineStr">
        <is>
          <t>src/vfx/VfxExplosion3D.gd</t>
        </is>
      </c>
      <c r="I10" t="inlineStr">
        <is>
          <t>无</t>
        </is>
      </c>
      <c r="J10" t="inlineStr">
        <is>
          <t>无</t>
        </is>
      </c>
      <c r="K10" t="inlineStr">
        <is>
          <t>无</t>
        </is>
      </c>
      <c r="L10" t="inlineStr">
        <is>
          <t>约 0.42m 核心 → 0.82m 外环；lifetime 0.46s</t>
        </is>
      </c>
      <c r="M10" t="inlineStr">
        <is>
          <t>原点=根节点中心；朝向=local -Z 正面</t>
        </is>
      </c>
      <c r="N10" t="inlineStr">
        <is>
          <t>爆炸弹/范围武器</t>
        </is>
      </c>
      <c r="O10" t="inlineStr">
        <is>
          <t>完成</t>
        </is>
      </c>
      <c r="P10" t="inlineStr">
        <is>
          <t>v001</t>
        </is>
      </c>
      <c r="Q10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>
      <c r="A11" s="391" t="inlineStr">
        <is>
          <t>FX01-04</t>
        </is>
      </c>
      <c r="B11" t="inlineStr">
        <is>
          <t>VFX-MELEE-SLASH-3D</t>
        </is>
      </c>
      <c r="C11" t="inlineStr">
        <is>
          <t>近战挥砍弧特效</t>
        </is>
      </c>
      <c r="D11" t="inlineStr">
        <is>
          <t>assets/art/vfx/combat_3d/vfx_melee_slash_root_top3d.tscn</t>
        </is>
      </c>
      <c r="G11" t="inlineStr">
        <is>
          <t>近战挥砍时的弧光；SurfaceTool 自定义三角扇形 + 顶点 alpha 渐隐；连段 1/2/3 通过 effect_size 和方向区分。</t>
        </is>
      </c>
      <c r="H11" t="inlineStr">
        <is>
          <t>src/vfx/VfxMeleeSlash3D.gd</t>
        </is>
      </c>
      <c r="I11" t="inlineStr">
        <is>
          <t>无</t>
        </is>
      </c>
      <c r="J11" t="inlineStr">
        <is>
          <t>无</t>
        </is>
      </c>
      <c r="K11" t="inlineStr">
        <is>
          <t>无</t>
        </is>
      </c>
      <c r="L11" t="inlineStr">
        <is>
          <t>内径 0.78m / 外径 1.42m；lifetime 0.28s</t>
        </is>
      </c>
      <c r="M11" t="inlineStr">
        <is>
          <t>原点=根节点中心；朝向=local -Z 正面</t>
        </is>
      </c>
      <c r="N11" t="inlineStr">
        <is>
          <t>棒球棍/巨刃/战斧挥砍（近战 3 武器）</t>
        </is>
      </c>
      <c r="O11" t="inlineStr">
        <is>
          <t>完成</t>
        </is>
      </c>
      <c r="P11" t="inlineStr">
        <is>
          <t>v001</t>
        </is>
      </c>
      <c r="Q1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>
      <c r="A12" s="391" t="inlineStr">
        <is>
          <t>FX01-05</t>
        </is>
      </c>
      <c r="B12" t="inlineStr">
        <is>
          <t>VFX-MELEE-IMPACT-3D</t>
        </is>
      </c>
      <c r="C12" t="inlineStr">
        <is>
          <t>近战命中爆点特效</t>
        </is>
      </c>
      <c r="D12" t="inlineStr">
        <is>
          <t>assets/art/vfx/combat_3d/vfx_melee_impact_root_top3d.tscn</t>
        </is>
      </c>
      <c r="G12" t="inlineStr">
        <is>
          <t>近战命中目标时的爆点；1 SphereMesh 核心 + 2 TorusMesh 环 + 6 BoxMesh 飞散碎片；逐目标独立爆点。</t>
        </is>
      </c>
      <c r="H12" t="inlineStr">
        <is>
          <t>src/vfx/VfxMeleeImpact3D.gd</t>
        </is>
      </c>
      <c r="I12" t="inlineStr">
        <is>
          <t>无</t>
        </is>
      </c>
      <c r="J12" t="inlineStr">
        <is>
          <t>无</t>
        </is>
      </c>
      <c r="K12" t="inlineStr">
        <is>
          <t>无</t>
        </is>
      </c>
      <c r="L12" t="inlineStr">
        <is>
          <t>约 0.19m 核心；lifetime 0.32s</t>
        </is>
      </c>
      <c r="M12" t="inlineStr">
        <is>
          <t>原点=根节点中心；朝向=local -Z 正面</t>
        </is>
      </c>
      <c r="N12" t="inlineStr">
        <is>
          <t>近战命中爆点（连段 1/2/3 各 1 次）</t>
        </is>
      </c>
      <c r="O12" t="inlineStr">
        <is>
          <t>完成</t>
        </is>
      </c>
      <c r="P12" t="inlineStr">
        <is>
          <t>v001</t>
        </is>
      </c>
      <c r="Q12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>
      <c r="A13" s="391" t="inlineStr">
        <is>
          <t>FX01-06</t>
        </is>
      </c>
      <c r="B13" t="inlineStr">
        <is>
          <t>VFX-BULLET-VISUAL-3D</t>
        </is>
      </c>
      <c r="C13" t="inlineStr">
        <is>
          <t>飞行子弹纯视觉特效</t>
        </is>
      </c>
      <c r="D13" t="inlineStr">
        <is>
          <t>assets/art/vfx/combat_3d/vfx_bullet_visual_root_top3d.tscn</t>
        </is>
      </c>
      <c r="G13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t="inlineStr">
        <is>
          <t>src/vfx/VfxBulletVisual3D.gd</t>
        </is>
      </c>
      <c r="I13" t="inlineStr">
        <is>
          <t>无</t>
        </is>
      </c>
      <c r="J13" t="inlineStr">
        <is>
          <t>无</t>
        </is>
      </c>
      <c r="K13" t="inlineStr">
        <is>
          <t>无</t>
        </is>
      </c>
      <c r="L13" t="inlineStr">
        <is>
          <t>弹芯 CapsuleMesh r=0.045/h=0.20；外壳 r=0.075/h=0.18；拖尾锥底半径 0.06/长 0.5；灯 range 1.8m</t>
        </is>
      </c>
      <c r="M13" t="inlineStr">
        <is>
          <t>原点=宿主原点（local position 保持 0，随 Projectile3D 变换）；朝向=弹体沿 local -Z，拖尾向 local +Z（身后）</t>
        </is>
      </c>
      <c r="N13" t="inlineStr">
        <is>
          <t>玩家/敌人飞行子弹（远程 7 枪 + 各类投射物）</t>
        </is>
      </c>
      <c r="O13" t="inlineStr">
        <is>
          <t>已完成</t>
        </is>
      </c>
      <c r="P13" t="inlineStr">
        <is>
          <t>v001</t>
        </is>
      </c>
      <c r="Q13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</t>
        </is>
      </c>
    </row>
    <row r="14">
      <c r="A14" s="391" t="inlineStr">
        <is>
          <t>FX01-07</t>
        </is>
      </c>
      <c r="B14" t="inlineStr">
        <is>
          <t>VFX-SHELL-CASING-3D</t>
        </is>
      </c>
      <c r="C14" t="inlineStr">
        <is>
          <t>抛壳落地特效</t>
        </is>
      </c>
      <c r="D14" t="inlineStr">
        <is>
          <t>assets/art/vfx/combat_3d/vfx_shell_casing_root_top3d.tscn</t>
        </is>
      </c>
      <c r="G14" t="inlineStr">
        <is>
          <t>枪械开火时从枪械右侧飞出的弹壳：黄铜色圆柱弹壳 + 底缘圆环 + 底火；由 VfxPool3D 按 AssetID 路由。弹壳脱离武器挂点进入世界空间，程序化重力 9.8m/s² 下落，命中地板最多 2 次小弹跳后静止，寿命 3.2s 回收。</t>
        </is>
      </c>
      <c r="H14" t="inlineStr">
        <is>
          <t>src/vfx/VfxShellCasing3D.gd</t>
        </is>
      </c>
      <c r="I14" t="inlineStr">
        <is>
          <t>无</t>
        </is>
      </c>
      <c r="J14" t="inlineStr">
        <is>
          <t>无</t>
        </is>
      </c>
      <c r="K14" t="inlineStr">
        <is>
          <t>程序射线落地</t>
        </is>
      </c>
      <c r="L14" t="inlineStr">
        <is>
          <t>直径约 0.09m；长度 0.24m；弹出初速度右向 2.1m/s + 上抛 1.55m/s；lifetime 3.2s</t>
        </is>
      </c>
      <c r="M14" t="inlineStr">
        <is>
          <t>原点=弹壳中心；朝向=圆柱 local Y 为壳体长轴；出生点取 EjectionSocket/TacticalSocket</t>
        </is>
      </c>
      <c r="N14" t="inlineStr">
        <is>
          <t>玩家/敌人远程枪械开火反馈</t>
        </is>
      </c>
      <c r="O14" t="inlineStr">
        <is>
          <t>已完成</t>
        </is>
      </c>
      <c r="P14" t="inlineStr">
        <is>
          <t>v001</t>
        </is>
      </c>
      <c r="Q14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</t>
        </is>
      </c>
    </row>
    <row r="15">
      <c r="A15" s="387" t="inlineStr">
        <is>
          <t>▼ 02 受击飘字</t>
        </is>
      </c>
      <c r="B15" s="388" t="n"/>
      <c r="C15" s="388" t="n"/>
      <c r="D15" s="388" t="n"/>
      <c r="E15" s="388" t="n"/>
      <c r="F15" s="388" t="n"/>
      <c r="G15" s="388" t="n"/>
      <c r="H15" s="388" t="n"/>
      <c r="I15" s="388" t="n"/>
      <c r="J15" s="388" t="n"/>
      <c r="K15" s="388" t="n"/>
      <c r="L15" s="388" t="n"/>
      <c r="M15" s="388" t="n"/>
      <c r="N15" s="388" t="n"/>
      <c r="O15" s="388" t="n"/>
      <c r="P15" s="388" t="n"/>
      <c r="Q15" s="388" t="n"/>
    </row>
    <row r="16">
      <c r="A16" s="391" t="inlineStr">
        <is>
          <t>FX02-01</t>
        </is>
      </c>
      <c r="B16" t="inlineStr">
        <is>
          <t>VFX-DAMAGE-NUMBER-3D</t>
        </is>
      </c>
      <c r="C16" t="inlineStr">
        <is>
          <t>伤害数字飘字特效</t>
        </is>
      </c>
      <c r="D16" t="inlineStr">
        <is>
          <t>assets/art/vfx/combat_3d/vfx_damage_number_root_top3d.tscn</t>
        </is>
      </c>
      <c r="G16" t="inlineStr">
        <is>
          <t>受击伤害数字上升飘字；Label3D + 黑边 + 颜色编码（红/橙/暴击金）；参数 effect_color + context.text_value。</t>
        </is>
      </c>
      <c r="H16" t="inlineStr">
        <is>
          <t>src/vfx/VfxDamageNumber3D.gd</t>
        </is>
      </c>
      <c r="I16" t="inlineStr">
        <is>
          <t>无</t>
        </is>
      </c>
      <c r="J16" t="inlineStr">
        <is>
          <t>无</t>
        </is>
      </c>
      <c r="K16" t="inlineStr">
        <is>
          <t>无</t>
        </is>
      </c>
      <c r="L16" t="inlineStr">
        <is>
          <t>Label3D pixel_size=0.010；lifetime 0.72s</t>
        </is>
      </c>
      <c r="M16" t="inlineStr">
        <is>
          <t>原点=根节点中心；朝向=local -Z 正面</t>
        </is>
      </c>
      <c r="N16" t="inlineStr">
        <is>
          <t>玩家/敌人受击伤害显示</t>
        </is>
      </c>
      <c r="O16" t="inlineStr">
        <is>
          <t>完成</t>
        </is>
      </c>
      <c r="P16" t="inlineStr">
        <is>
          <t>v001</t>
        </is>
      </c>
      <c r="Q16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>
      <c r="A17" s="391" t="inlineStr">
        <is>
          <t>FX02-02</t>
        </is>
      </c>
      <c r="B17" t="inlineStr">
        <is>
          <t>VFX-HEAL-NUMBER-3D</t>
        </is>
      </c>
      <c r="C17" t="inlineStr">
        <is>
          <t>治疗数字飘字特效</t>
        </is>
      </c>
      <c r="D17" t="inlineStr">
        <is>
          <t>assets/art/vfx/combat_3d/vfx_heal_number_root_top3d.tscn</t>
        </is>
      </c>
      <c r="G17" t="inlineStr">
        <is>
          <t>治疗/恢复数字上升飘字；Label3D + 绿色调（+ 白色描边）；参数 context.text_value。</t>
        </is>
      </c>
      <c r="H17" t="inlineStr">
        <is>
          <t>src/vfx/VfxHealNumber3D.gd</t>
        </is>
      </c>
      <c r="I17" t="inlineStr">
        <is>
          <t>无</t>
        </is>
      </c>
      <c r="J17" t="inlineStr">
        <is>
          <t>无</t>
        </is>
      </c>
      <c r="K17" t="inlineStr">
        <is>
          <t>无</t>
        </is>
      </c>
      <c r="L17" t="inlineStr">
        <is>
          <t>Label3D pixel_size=0.010；lifetime 0.72s</t>
        </is>
      </c>
      <c r="M17" t="inlineStr">
        <is>
          <t>原点=根节点中心；朝向=local -Z 正面</t>
        </is>
      </c>
      <c r="N17" t="inlineStr">
        <is>
          <t>玩家/队友治疗显示</t>
        </is>
      </c>
      <c r="O17" t="inlineStr">
        <is>
          <t>完成</t>
        </is>
      </c>
      <c r="P17" t="inlineStr">
        <is>
          <t>v001</t>
        </is>
      </c>
      <c r="Q17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>
      <c r="A18" s="387" t="inlineStr">
        <is>
          <t>▼ 03 环境场</t>
        </is>
      </c>
      <c r="B18" s="388" t="n"/>
      <c r="C18" s="388" t="n"/>
      <c r="D18" s="388" t="n"/>
      <c r="E18" s="388" t="n"/>
      <c r="F18" s="388" t="n"/>
      <c r="G18" s="388" t="n"/>
      <c r="H18" s="388" t="n"/>
      <c r="I18" s="388" t="n"/>
      <c r="J18" s="388" t="n"/>
      <c r="K18" s="388" t="n"/>
      <c r="L18" s="388" t="n"/>
      <c r="M18" s="388" t="n"/>
      <c r="N18" s="388" t="n"/>
      <c r="O18" s="388" t="n"/>
      <c r="P18" s="388" t="n"/>
      <c r="Q18" s="388" t="n"/>
    </row>
    <row r="19">
      <c r="A19" s="391" t="inlineStr">
        <is>
          <t>FX03-01</t>
        </is>
      </c>
      <c r="B19" t="inlineStr">
        <is>
          <t>VFX-HAZARD-FIELD-3D</t>
        </is>
      </c>
      <c r="C19" t="inlineStr">
        <is>
          <t>房间危险场3D特效</t>
        </is>
      </c>
      <c r="D19" t="inlineStr">
        <is>
          <t>assets/art/vfx/environment_3d/vfx_hazard_field_root_top3d.tscn</t>
        </is>
      </c>
      <c r="G19" t="inlineStr">
        <is>
          <t>房间危险场 Area3D 特效；脚本生成的环形危险区域；触发时产生伤害 + 视觉脉冲。</t>
        </is>
      </c>
      <c r="H19" t="inlineStr">
        <is>
          <t>src/world3d/HazardField3D.gd</t>
        </is>
      </c>
      <c r="I19" t="inlineStr">
        <is>
          <t>开</t>
        </is>
      </c>
      <c r="J19" t="inlineStr">
        <is>
          <t>Prefab自身</t>
        </is>
      </c>
      <c r="K19" t="inlineStr">
        <is>
          <t>脚本生成</t>
        </is>
      </c>
      <c r="L19" t="inlineStr">
        <is>
          <t>PackedScene/程序环形特效</t>
        </is>
      </c>
      <c r="M19" t="inlineStr">
        <is>
          <t>未声明</t>
        </is>
      </c>
      <c r="N19" t="inlineStr">
        <is>
          <t>陷阱房</t>
        </is>
      </c>
      <c r="O19" t="inlineStr">
        <is>
          <t>完成</t>
        </is>
      </c>
      <c r="P19" t="inlineStr">
        <is>
          <t>v001</t>
        </is>
      </c>
      <c r="Q19" t="inlineStr">
        <is>
          <t>已实装；命名待 14.6 §6 迁移时对齐（改名 VfxHazardField3D + 移至 src/vfx/）</t>
        </is>
      </c>
    </row>
    <row r="20">
      <c r="A20" s="387" t="inlineStr">
        <is>
          <t>▼ 04 可见性</t>
        </is>
      </c>
      <c r="B20" s="388" t="n"/>
      <c r="C20" s="388" t="n"/>
      <c r="D20" s="388" t="n"/>
      <c r="E20" s="388" t="n"/>
      <c r="F20" s="388" t="n"/>
      <c r="G20" s="388" t="n"/>
      <c r="H20" s="388" t="n"/>
      <c r="I20" s="388" t="n"/>
      <c r="J20" s="388" t="n"/>
      <c r="K20" s="388" t="n"/>
      <c r="L20" s="388" t="n"/>
      <c r="M20" s="388" t="n"/>
      <c r="N20" s="388" t="n"/>
      <c r="O20" s="388" t="n"/>
      <c r="P20" s="388" t="n"/>
      <c r="Q20" s="388" t="n"/>
    </row>
    <row r="21">
      <c r="A21" s="391" t="inlineStr">
        <is>
          <t>FX04-01</t>
        </is>
      </c>
      <c r="B21" t="inlineStr">
        <is>
          <t>VFX-PLAYER-FLASHLIGHT-3D</t>
        </is>
      </c>
      <c r="C21" t="inlineStr">
        <is>
          <t>玩家真实探照灯组件3D</t>
        </is>
      </c>
      <c r="D21" t="inlineStr">
        <is>
          <t>assets/art/vfx/visibility_3d/vfx_player_flashlight_root_top3d.tscn</t>
        </is>
      </c>
      <c r="G21" t="inlineStr">
        <is>
          <t>玩家真实探照灯 Node3D 组件；2 SpotLight3D + 1 OmniLight3D 组合；3D 行动区/靶场/基地覆盖。</t>
        </is>
      </c>
      <c r="H21" t="inlineStr">
        <is>
          <t>src/player3d/PlayerFlashlight3D.gd</t>
        </is>
      </c>
      <c r="I21" t="inlineStr">
        <is>
          <t>无</t>
        </is>
      </c>
      <c r="J21" t="inlineStr">
        <is>
          <t>无</t>
        </is>
      </c>
      <c r="K21" t="inlineStr">
        <is>
          <t>无</t>
        </is>
      </c>
      <c r="L21" t="inlineStr">
        <is>
          <t>PackedScene/2 SpotLight3D+1 OmniLight3D</t>
        </is>
      </c>
      <c r="M21" t="inlineStr">
        <is>
          <t>未声明</t>
        </is>
      </c>
      <c r="N21" t="inlineStr">
        <is>
          <t>3D行动区/靶场/基地</t>
        </is>
      </c>
      <c r="O21" t="inlineStr">
        <is>
          <t>完成</t>
        </is>
      </c>
      <c r="P21" t="inlineStr">
        <is>
          <t>v001</t>
        </is>
      </c>
      <c r="Q21" t="inlineStr">
        <is>
          <t>已实装；命名待 14.6 §6 迁移时对齐（改名 VfxPlayerFlashlight3D + 移至 src/vfx/）</t>
        </is>
      </c>
    </row>
  </sheetData>
  <mergeCells count="2">
    <mergeCell ref="A2:Q2"/>
    <mergeCell ref="A1:Q1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70" customWidth="1" min="5" max="5"/>
    <col width="48" customWidth="1" min="6" max="6"/>
    <col width="12" customWidth="1" min="7" max="7"/>
  </cols>
  <sheetData>
    <row r="1">
      <c r="A1" s="317" t="inlineStr">
        <is>
          <t>特效账本变更日志</t>
        </is>
      </c>
    </row>
    <row r="2"/>
    <row r="3">
      <c r="A3" s="318" t="inlineStr">
        <is>
          <t>只记录本账本的域内变更；跨域与全局变更记录在主账本《版本记录》</t>
        </is>
      </c>
    </row>
    <row r="5">
      <c r="A5" s="298" t="inlineStr">
        <is>
          <t>台账版本</t>
        </is>
      </c>
      <c r="B5" s="298" t="inlineStr">
        <is>
          <t>日期</t>
        </is>
      </c>
      <c r="C5" s="298" t="inlineStr">
        <is>
          <t>变更类型</t>
        </is>
      </c>
      <c r="D5" s="298" t="inlineStr">
        <is>
          <t>范围</t>
        </is>
      </c>
      <c r="E5" s="298" t="inlineStr">
        <is>
          <t>说明</t>
        </is>
      </c>
      <c r="F5" s="298" t="inlineStr">
        <is>
          <t>兼容性</t>
        </is>
      </c>
      <c r="G5" s="298" t="inlineStr">
        <is>
          <t>负责人</t>
        </is>
      </c>
    </row>
    <row r="6" ht="46" customHeight="1">
      <c r="A6" s="301" t="inlineStr">
        <is>
          <t>v0.1.0</t>
        </is>
      </c>
      <c r="B6" s="301" t="inlineStr">
        <is>
          <t>2026-09-18</t>
        </is>
      </c>
      <c r="C6" s="301" t="inlineStr">
        <is>
          <t>分账本建立</t>
        </is>
      </c>
      <c r="D6" s="301" t="inlineStr">
        <is>
          <t>特效</t>
        </is>
      </c>
      <c r="E6" s="301" t="inlineStr">
        <is>
          <t>由单体账本《ShellStorm2_美术资产台账_v001.xlsx》按大类拆分而来；本账本接管大类=特效，条目内容逐格不变，仅登记位置变化。</t>
        </is>
      </c>
      <c r="F6" s="301" t="inlineStr">
        <is>
          <t>资产条目、AssetID、路径与哈希全部不变；只换文件。旧引用可用 scripts/ledger_registry.py 解析。</t>
        </is>
      </c>
      <c r="G6" s="301" t="inlineStr">
        <is>
          <t>摩斯拉</t>
        </is>
      </c>
    </row>
    <row r="7">
      <c r="A7" s="301" t="inlineStr">
        <is>
          <t>v0.1.1</t>
        </is>
      </c>
      <c r="B7" s="301" t="inlineStr">
        <is>
          <t>2026-09-21</t>
        </is>
      </c>
      <c r="C7" s="301" t="inlineStr">
        <is>
          <t>条目更新 + 新增</t>
        </is>
      </c>
      <c r="D7" s="301" t="inlineStr">
        <is>
          <t>特效 · 3D-特效</t>
        </is>
      </c>
      <c r="E7" s="301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301" t="inlineStr">
        <is>
          <t>AssetID 不变；仅新增一条 FX01-06；Prefab 路径保持去版本化；资产主表未改动</t>
        </is>
      </c>
      <c r="G7" s="301" t="inlineStr">
        <is>
          <t>摩斯拉</t>
        </is>
      </c>
    </row>
    <row r="8">
      <c r="A8" t="inlineStr">
        <is>
          <t>v0.1.2</t>
        </is>
      </c>
      <c r="B8" t="inlineStr">
        <is>
          <t>2026-09-21</t>
        </is>
      </c>
      <c r="C8" t="inlineStr">
        <is>
          <t>条目更新</t>
        </is>
      </c>
      <c r="D8" t="inlineStr">
        <is>
          <t>特效 · 3D-特效</t>
        </is>
      </c>
      <c r="E8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t="inlineStr">
        <is>
          <t>AssetID / Prefab 路径 / 尺寸契约不变；行为为向后兼容增强（未传 follow 时退化为世界锚定）</t>
        </is>
      </c>
      <c r="G8" t="inlineStr">
        <is>
          <t>摩斯拉</t>
        </is>
      </c>
    </row>
    <row r="9">
      <c r="A9" t="inlineStr">
        <is>
          <t>v0.1.3</t>
        </is>
      </c>
      <c r="B9" t="inlineStr">
        <is>
          <t>2026-09-22</t>
        </is>
      </c>
      <c r="C9" t="inlineStr">
        <is>
          <t>新增条目</t>
        </is>
      </c>
      <c r="D9" t="inlineStr">
        <is>
          <t>特效 · 3D-特效</t>
        </is>
      </c>
      <c r="E9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t="inlineStr">
        <is>
          <t>新增一个 AssetID；不改既有 AssetID；纯视觉无碰撞体；开火调用向后兼容。</t>
        </is>
      </c>
      <c r="G9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2026-09-21T22:58:56Z</dcterms:modified>
</cp:coreProperties>
</file>