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特效" sheetId="4" state="visible" r:id="rId4"/>
    <sheet name="域变更日志" sheetId="5" state="visible" r:id="rId5"/>
  </sheets>
  <definedNames>
    <definedName name="_xlnm._FilterDatabase" localSheetId="2" hidden="1">'资产主表'!$A$5:$Y$25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COUNTA('资产主表'!$A$6:$A$25)</f>
        <v/>
      </c>
      <c r="B6" s="55" t="n"/>
      <c r="C6" s="57">
        <f>COUNTIF('资产主表'!$K$6:$K$25,"已完成")+COUNTIF('资产主表'!$K$6:$K$25,"原型已接入")+COUNTIF('资产主表'!$K$6:$K$25,"正式美术已接入")+COUNTIF('资产主表'!$K$6:$K$25,"已优化并正式接入")+COUNTIF('资产主表'!$K$6:$K$25,"Blender源已完成")+COUNTIF('资产主表'!$K$6:$K$25,"已导入；优化完成")+COUNTIF('资产主表'!$K$6:$K$25,"白模源已完成；QA PASS")</f>
        <v/>
      </c>
      <c r="D6" s="55" t="n"/>
      <c r="E6" s="57">
        <f>COUNTIF('资产主表'!$K$6:$K$25,"待制作")+COUNTIF('资产主表'!$K$6:$K$25,"程序占位")</f>
        <v/>
      </c>
      <c r="F6" s="55" t="n"/>
      <c r="G6" s="57">
        <f>COUNTIF('资产主表'!$S$6:$S$25,"重复")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COUNTIF('资产主表'!$C$6:$C$25,A10)</f>
        <v/>
      </c>
      <c r="C10" s="62">
        <f>SUMPRODUCT(('资产主表'!$C$6:$C$25=A10)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+('资产主表'!$K$6:$K$25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15" customHeight="1" s="52">
      <c r="A11" s="58" t="inlineStr">
        <is>
          <t>合计</t>
        </is>
      </c>
      <c r="B11" s="58">
        <f>COUNTIF('资产主表'!$C$6:$C$25,A11)</f>
        <v/>
      </c>
      <c r="C11" s="58">
        <f>SUMPRODUCT(('资产主表'!$C$6:$C$25=A11)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+('资产主表'!$K$6:$K$25="白模源已完成；QA PASS")))</f>
        <v/>
      </c>
      <c r="D11" s="58" t="n"/>
      <c r="E11" s="58" t="n"/>
      <c r="F11" s="58" t="n"/>
      <c r="G11" s="58" t="n"/>
      <c r="H11" s="58" t="n"/>
      <c r="I11" s="58" t="n"/>
      <c r="J11" s="58" t="n"/>
    </row>
    <row r="12" ht="15" customHeight="1" s="52">
      <c r="A12" s="63" t="n"/>
      <c r="B12" s="63" t="n"/>
      <c r="C12" s="63" t="n"/>
      <c r="D12" s="55" t="n"/>
      <c r="E12" s="64" t="n"/>
      <c r="F12" s="63" t="n"/>
      <c r="G12" s="63" t="n"/>
      <c r="H12" s="55" t="n"/>
      <c r="I12" s="55" t="n"/>
      <c r="J12" s="55" t="n"/>
    </row>
    <row r="13" ht="15" customHeight="1" s="52">
      <c r="A13" s="65" t="inlineStr">
        <is>
          <t>域内 3D Prefab 分页统计（快照口径与本账本分页一致；权威清单在各分页表）</t>
        </is>
      </c>
      <c r="B13" s="66" t="n"/>
      <c r="C13" s="66" t="n"/>
      <c r="D13" s="66" t="n"/>
      <c r="E13" s="66" t="n"/>
      <c r="F13" s="66" t="n"/>
      <c r="G13" s="66" t="n"/>
      <c r="H13" s="66" t="n"/>
      <c r="I13" s="66" t="n"/>
      <c r="J13" s="67" t="n"/>
    </row>
    <row r="14" ht="39.55" customHeight="1" s="52">
      <c r="A14" s="56" t="inlineStr">
        <is>
          <t>分页</t>
        </is>
      </c>
      <c r="B14" s="68" t="inlineStr">
        <is>
          <t>Prefab 数</t>
        </is>
      </c>
      <c r="C14" s="56" t="inlineStr">
        <is>
          <t>直接引用 GLB</t>
        </is>
      </c>
      <c r="D14" s="56" t="inlineStr">
        <is>
          <t>有功能脚本</t>
        </is>
      </c>
      <c r="E14" s="56" t="inlineStr">
        <is>
          <t>碰撞开启</t>
        </is>
      </c>
      <c r="F14" s="56" t="inlineStr">
        <is>
          <t>说明</t>
        </is>
      </c>
      <c r="G14" s="63" t="n"/>
      <c r="H14" s="55" t="n"/>
      <c r="I14" s="55" t="n"/>
      <c r="J14" s="55" t="n"/>
    </row>
    <row r="15" ht="15" customHeight="1" s="52">
      <c r="A15" s="69" t="inlineStr">
        <is>
          <t>3D-特效</t>
        </is>
      </c>
      <c r="B15" s="62">
        <f>COUNTA('3D-特效'!$A$5:$A$204)</f>
        <v/>
      </c>
      <c r="C15" s="62">
        <f>COUNTIF('3D-特效'!$D$5:$D$204,"&lt;&gt;")</f>
        <v/>
      </c>
      <c r="D15" s="62">
        <f>COUNTIF('3D-特效'!$G$5:$G$204,"&lt;&gt;")</f>
        <v/>
      </c>
      <c r="E15" s="62">
        <f>COUNTIF('3D-特效'!$H$5:$H$204,"开")</f>
        <v/>
      </c>
      <c r="F15" s="62" t="inlineStr">
        <is>
          <t>一行 = 一个实际存在的 Godot PackedScene</t>
        </is>
      </c>
      <c r="G15" s="62" t="n"/>
      <c r="H15" s="62" t="n"/>
      <c r="I15" s="62" t="n"/>
      <c r="J15" s="62" t="n"/>
    </row>
    <row r="16" ht="15" customHeight="1" s="52">
      <c r="A16" s="58" t="inlineStr">
        <is>
          <t>合计</t>
        </is>
      </c>
      <c r="B16" s="58">
        <f>SUM(B15)</f>
        <v/>
      </c>
      <c r="C16" s="58">
        <f>SUM(C15)</f>
        <v/>
      </c>
      <c r="D16" s="58">
        <f>SUM(D15)</f>
        <v/>
      </c>
      <c r="E16" s="58">
        <f>SUM(E15)</f>
        <v/>
      </c>
      <c r="F16" s="58" t="n"/>
      <c r="G16" s="58" t="n"/>
      <c r="H16" s="58" t="n"/>
      <c r="I16" s="58" t="n"/>
      <c r="J16" s="58" t="n"/>
    </row>
    <row r="17" ht="15" customHeight="1" s="52">
      <c r="A17" s="63" t="n"/>
      <c r="B17" s="63" t="n"/>
      <c r="C17" s="63" t="n"/>
      <c r="D17" s="55" t="n"/>
      <c r="E17" s="55" t="n"/>
      <c r="F17" s="55" t="n"/>
      <c r="G17" s="55" t="n"/>
      <c r="H17" s="55" t="n"/>
      <c r="I17" s="55" t="n"/>
      <c r="J17" s="55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IF(COUNTIF($R$6:$R$25,R6)&gt;1,"重复","唯一")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IF(COUNTIF($R$6:$R$25,R7)&gt;1,"重复","唯一")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IF(COUNTIF($R$6:$R$25,R8)&gt;1,"重复","唯一")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IF(COUNTIF($R$6:$R$25,R9)&gt;1,"重复","唯一")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IF(COUNTIF($R$6:$R$25,R10)&gt;1,"重复","唯一")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IF(COUNTIF($R$6:$R$25,R11)&gt;1,"重复","唯一")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IF(COUNTIF($R$6:$R$25,R12)&gt;1,"重复","唯一")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IF(COUNTIF($R$6:$R$25,R13)&gt;1,"重复","唯一")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IF(COUNTIF($R$6:$R$25,R14)&gt;1,"重复","唯一")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IF(COUNTIF($R$6:$R$25,R15)&gt;1,"重复","唯一")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IF(COUNTIF($R$6:$R$25,R16)&gt;1,"重复","唯一")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IF(COUNTIF($R$6:$R$25,R17)&gt;1,"重复","唯一")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IF(COUNTIF($R$6:$R$25,R18)&gt;1,"重复","唯一")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IF(COUNTIF($R$6:$R$25,R19)&gt;1,"重复","唯一")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IF(COUNTIF($R$6:$R$25,R20)&gt;1,"重复","唯一")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IF(COUNTIF($R$6:$R$25,R21)&gt;1,"重复","唯一")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IF(COUNTIF($R$6:$R$25,R22)&gt;1,"重复","唯一")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IF(COUNTIF($R$6:$R$25,R23)&gt;1,"重复","唯一")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v001</t>
        </is>
      </c>
      <c r="N24" s="79" t="inlineStr">
        <is>
          <t>7只；12秒；30fps；每鸟296三角面/11骨骼；独立错峰关键帧；共享场景哑光材质/PaletteUV R10C10冷白；无碰撞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assets/art/vfx/environment_3d/bird_flocks/source/flyby/v001/asset_manifest.json;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IF(COUNTIF($R$6:$R$25,R24)&gt;1,"重复","唯一")</f>
        <v/>
      </c>
      <c r="T24" s="79" t="inlineStr">
        <is>
          <t>7f42f76978488604f7f6e21f5e9333794236a8ce213ca276676e7db298ce237a</t>
        </is>
      </c>
      <c r="U24" s="79" t="inlineStr">
        <is>
          <t>Codex</t>
        </is>
      </c>
      <c r="V24" s="104" t="inlineStr">
        <is>
          <t>2026-10-09 00:00:00</t>
        </is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Godot已接入；环境循环(播12s+停20s)；无碰撞；运行时归属场景特效；塔2正上方+吊桥第1跨中段上空，世界锚点(20.0,1.6,-64.5)，rotation_y=0.2rad。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v001</t>
        </is>
      </c>
      <c r="N25" s="79" t="inlineStr">
        <is>
          <t>7只；24秒；30fps；每鸟296三角面/11骨骼；独立错峰关键帧；共享场景哑光材质/PaletteUV R10C10冷白；无碰撞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assets/art/vfx/environment_3d/bird_flocks/source/ground/v001/asset_manifest.json;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IF(COUNTIF($R$6:$R$25,R25)&gt;1,"重复","唯一")</f>
        <v/>
      </c>
      <c r="T25" s="79" t="inlineStr">
        <is>
          <t>37ebd978d40612def1521aec5f3fb671b2a13237ed807137bb4ed449b6e5125d</t>
        </is>
      </c>
      <c r="U25" s="79" t="inlineStr">
        <is>
          <t>Codex</t>
        </is>
      </c>
      <c r="V25" s="104" t="inlineStr">
        <is>
          <t>2026-10-09 00:00:00</t>
        </is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Godot已接入；环境循环(播24s+停30s)；无碰撞；运行时归属场景特效；主塔100F天台吊桥北出口以东，局部锚点(25.0,0.0,-31.0)。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25"/>
  <mergeCells count="2">
    <mergeCell ref="A1:X2"/>
    <mergeCell ref="A3:X3"/>
  </mergeCells>
  <conditionalFormatting sqref="S6:S22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22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5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5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5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ssets/art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15" customHeight="1" s="52">
      <c r="H25" s="101" t="n"/>
      <c r="I25" s="51" t="n"/>
      <c r="N25" s="51" t="n"/>
    </row>
    <row r="26" ht="15" customHeight="1" s="52">
      <c r="H26" s="101" t="n"/>
      <c r="I26" s="51" t="n"/>
      <c r="N26" s="51" t="n"/>
    </row>
    <row r="27" ht="15" customHeight="1" s="52">
      <c r="H27" s="101" t="n"/>
      <c r="I27" s="51" t="n"/>
      <c r="N27" s="51" t="n"/>
    </row>
    <row r="28" ht="15" customHeight="1" s="52">
      <c r="H28" s="101" t="n"/>
      <c r="I28" s="51" t="n"/>
      <c r="N28" s="51" t="n"/>
    </row>
    <row r="29" ht="15" customHeight="1" s="52">
      <c r="H29" s="101" t="n"/>
      <c r="I29" s="51" t="n"/>
      <c r="N29" s="51" t="n"/>
    </row>
    <row r="30" ht="15" customHeight="1" s="52">
      <c r="H30" s="101" t="n"/>
      <c r="I30" s="51" t="n"/>
      <c r="N30" s="51" t="n"/>
    </row>
    <row r="31" ht="15" customHeight="1" s="52">
      <c r="H31" s="101" t="n"/>
      <c r="I31" s="51" t="n"/>
      <c r="N31" s="51" t="n"/>
    </row>
    <row r="32" ht="15" customHeight="1" s="52">
      <c r="H32" s="101" t="n"/>
      <c r="I32" s="51" t="n"/>
      <c r="N32" s="51" t="n"/>
    </row>
    <row r="33" ht="15" customHeight="1" s="52">
      <c r="H33" s="101" t="n"/>
      <c r="I33" s="51" t="n"/>
      <c r="N33" s="51" t="n"/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2026-09-18T02:30:04Z</dcterms:created>
  <dcterms:modified xsi:type="dcterms:W3CDTF">2026-10-09T07:20:21Z</dcterms:modified>
  <cp:revision>0</cp:revision>
</cp:coreProperties>
</file>