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账本说明" sheetId="2" state="visible" r:id="rId2"/>
    <sheet name="资产主表" sheetId="3" state="visible" r:id="rId3"/>
    <sheet name="3D-特效" sheetId="4" state="visible" r:id="rId4"/>
    <sheet name="域变更日志" sheetId="5" state="visible" r:id="rId5"/>
  </sheets>
  <definedNames>
    <definedName name="_xlnm._FilterDatabase" localSheetId="2" hidden="1">'资产主表'!$A$5:$X$21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3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</borders>
  <cellStyleXfs count="1">
    <xf numFmtId="0" fontId="0" fillId="0" borderId="0"/>
  </cellStyleXfs>
  <cellXfs count="39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特效美术账本 v0.1</t>
        </is>
      </c>
    </row>
    <row r="2" ht="12" customHeight="1"/>
    <row r="3" ht="23" customHeight="1">
      <c r="A3" s="318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COUNTA('资产主表'!$A$6:$A$21)</f>
        <v/>
      </c>
      <c r="B6" s="354" t="n"/>
      <c r="C6" s="321">
        <f>COUNTIF('资产主表'!$K$6:$K$21,"已完成")+COUNTIF('资产主表'!$K$6:$K$21,"原型已接入")+COUNTIF('资产主表'!$K$6:$K$21,"正式美术已接入")+COUNTIF('资产主表'!$K$6:$K$21,"已优化并正式接入")+COUNTIF('资产主表'!$K$6:$K$21,"Blender源已完成")+COUNTIF('资产主表'!$K$6:$K$21,"已导入；优化完成")</f>
        <v/>
      </c>
      <c r="D6" s="354" t="n"/>
      <c r="E6" s="321">
        <f>COUNTIF('资产主表'!$K$6:$K$21,"待制作")+COUNTIF('资产主表'!$K$6:$K$21,"程序占位")</f>
        <v/>
      </c>
      <c r="F6" s="354" t="n"/>
      <c r="G6" s="321">
        <f>COUNTIF('资产主表'!$S$6:$S$21,"重复")</f>
        <v/>
      </c>
      <c r="H6" s="354" t="n"/>
      <c r="I6" s="320" t="inlineStr">
        <is>
          <t>域内专表：3D-特效　|　3D Prefab 分页：3D-特效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20" t="inlineStr">
        <is>
          <t>本账本只登记上列大类；跨域搬运资产须同步主账本《分类与编码》并重跑门禁</t>
        </is>
      </c>
      <c r="F9" s="125" t="n"/>
      <c r="G9" s="125" t="n"/>
      <c r="H9" s="125" t="n"/>
      <c r="I9" s="125" t="n"/>
      <c r="J9" s="126" t="n"/>
    </row>
    <row r="10" ht="22" customHeight="1">
      <c r="A10" s="301" t="inlineStr">
        <is>
          <t>特效</t>
        </is>
      </c>
      <c r="B10" s="301">
        <f>COUNTIF('资产主表'!$C$6:$C$21,A10)</f>
        <v/>
      </c>
      <c r="C10" s="301">
        <f>SUMPRODUCT(('资产主表'!$C$6:$C$21=A10)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3D-特效</t>
        </is>
      </c>
      <c r="B15" s="301">
        <f>COUNTA('3D-特效'!$A$5:$A$204)</f>
        <v/>
      </c>
      <c r="C15" s="301">
        <f>COUNTIF('3D-特效'!$D$5:$D$204,"&lt;&gt;")</f>
        <v/>
      </c>
      <c r="D15" s="301">
        <f>COUNTIF('3D-特效'!$G$5:$G$204,"&lt;&gt;")</f>
        <v/>
      </c>
      <c r="E15" s="301">
        <f>COUNTIF('3D-特效'!$H$5:$H$204,"开")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23" t="inlineStr">
        <is>
          <t>合计</t>
        </is>
      </c>
      <c r="B16" s="323">
        <f>SUM(B15:B15)</f>
        <v/>
      </c>
      <c r="C16" s="323">
        <f>SUM(C15:C15)</f>
        <v/>
      </c>
      <c r="D16" s="323">
        <f>SUM(D15:D15)</f>
        <v/>
      </c>
      <c r="E16" s="323">
        <f>SUM(E15:E15)</f>
        <v/>
      </c>
      <c r="F16" s="323" t="n"/>
      <c r="G16" s="323" t="n"/>
      <c r="H16" s="323" t="n"/>
      <c r="I16" s="323" t="n"/>
      <c r="J16" s="323" t="n"/>
    </row>
    <row r="17">
      <c r="A17" s="331" t="n"/>
      <c r="B17" s="331" t="n"/>
      <c r="C17" s="331" t="n"/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特效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特效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assets/registry/ledgers/ShellStorm2_特效账本_v001.xlsx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特效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VFX / FX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3D-特效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3D-特效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无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godot-model-asset-import-standard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无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可独立实例化的3D战斗、环境与可见性特效。每个特效一个独立 Prefab，遵循 14.6 特效系统与制作规范。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VFX-PLY-DASH-TRAIL</t>
        </is>
      </c>
      <c r="B6" s="138" t="inlineStr">
        <is>
          <t>玩家冲刺尾迹</t>
        </is>
      </c>
      <c r="C6" s="138" t="inlineStr">
        <is>
          <t>特效</t>
        </is>
      </c>
      <c r="D6" s="138" t="inlineStr">
        <is>
          <t>player_state</t>
        </is>
      </c>
      <c r="E6" s="138" t="inlineStr">
        <is>
          <t>player_dash</t>
        </is>
      </c>
      <c r="F6" s="138" t="inlineStr">
        <is>
          <t>root</t>
        </is>
      </c>
      <c r="G6" s="138" t="str"/>
      <c r="H6" s="138" t="inlineStr">
        <is>
          <t>侧面朝右（可水平翻转）</t>
        </is>
      </c>
      <c r="I6" s="138" t="inlineStr">
        <is>
          <t>dashing</t>
        </is>
      </c>
      <c r="J6" s="138" t="inlineStr">
        <is>
          <t>玩家状态</t>
        </is>
      </c>
      <c r="K6" s="138" t="inlineStr">
        <is>
          <t>弃用</t>
        </is>
      </c>
      <c r="L6" s="138" t="inlineStr">
        <is>
          <t>P1</t>
        </is>
      </c>
      <c r="M6" s="138" t="inlineStr">
        <is>
          <t>v001</t>
        </is>
      </c>
      <c r="N6" s="138" t="inlineStr">
        <is>
          <t>待定</t>
        </is>
      </c>
      <c r="O6" s="138" t="str"/>
      <c r="P6" s="138" t="n"/>
      <c r="Q6" s="138" t="str"/>
      <c r="R6" s="138">
        <f>LOWER(TRIM(C6)&amp;"|"&amp;TRIM(D6)&amp;"|"&amp;TRIM(E6)&amp;"|"&amp;TRIM(F6)&amp;"|"&amp;TRIM(H6)&amp;"|"&amp;TRIM(I6))</f>
        <v/>
      </c>
      <c r="S6" s="138">
        <f>IF(COUNTIF($R$6:$R$21,R6)&gt;1,"重复","唯一")</f>
        <v/>
      </c>
      <c r="T6" s="138" t="str"/>
      <c r="U6" s="138" t="inlineStr">
        <is>
          <t>待分配</t>
        </is>
      </c>
      <c r="V6" s="303" t="n">
        <v>46243</v>
      </c>
      <c r="W6" s="138" t="inlineStr">
        <is>
          <t>原创/待确认</t>
        </is>
      </c>
      <c r="X6" s="375" t="inlineStr">
        <is>
          <t>—</t>
        </is>
      </c>
      <c r="Y6" s="138" t="inlineStr">
        <is>
          <t>2026-08-09：旧2D PlayerAvatarRenderer专用表现已删除；当前3D状态表现由 PlayerAvatar3D / WeaponModel3D 持有。</t>
        </is>
      </c>
    </row>
    <row r="7">
      <c r="A7" s="138" t="inlineStr">
        <is>
          <t>VFX-PLY-HURT-FLASH</t>
        </is>
      </c>
      <c r="B7" s="138" t="inlineStr">
        <is>
          <t>玩家受击闪光</t>
        </is>
      </c>
      <c r="C7" s="138" t="inlineStr">
        <is>
          <t>特效</t>
        </is>
      </c>
      <c r="D7" s="138" t="inlineStr">
        <is>
          <t>player_state</t>
        </is>
      </c>
      <c r="E7" s="138" t="inlineStr">
        <is>
          <t>player_hurt</t>
        </is>
      </c>
      <c r="F7" s="138" t="inlineStr">
        <is>
          <t>root</t>
        </is>
      </c>
      <c r="G7" s="138" t="str"/>
      <c r="H7" s="138" t="inlineStr">
        <is>
          <t>侧面朝右（可水平翻转）</t>
        </is>
      </c>
      <c r="I7" s="138" t="inlineStr">
        <is>
          <t>hurt</t>
        </is>
      </c>
      <c r="J7" s="138" t="inlineStr">
        <is>
          <t>玩家状态</t>
        </is>
      </c>
      <c r="K7" s="138" t="inlineStr">
        <is>
          <t>弃用</t>
        </is>
      </c>
      <c r="L7" s="138" t="inlineStr">
        <is>
          <t>P1</t>
        </is>
      </c>
      <c r="M7" s="138" t="inlineStr">
        <is>
          <t>v001</t>
        </is>
      </c>
      <c r="N7" s="138" t="inlineStr">
        <is>
          <t>待定</t>
        </is>
      </c>
      <c r="O7" s="138" t="str"/>
      <c r="P7" s="138" t="n"/>
      <c r="Q7" s="138" t="str"/>
      <c r="R7" s="138">
        <f>LOWER(TRIM(C7)&amp;"|"&amp;TRIM(D7)&amp;"|"&amp;TRIM(E7)&amp;"|"&amp;TRIM(F7)&amp;"|"&amp;TRIM(H7)&amp;"|"&amp;TRIM(I7))</f>
        <v/>
      </c>
      <c r="S7" s="138">
        <f>IF(COUNTIF($R$6:$R$21,R7)&gt;1,"重复","唯一")</f>
        <v/>
      </c>
      <c r="T7" s="138" t="str"/>
      <c r="U7" s="138" t="inlineStr">
        <is>
          <t>待分配</t>
        </is>
      </c>
      <c r="V7" s="303" t="n">
        <v>46243</v>
      </c>
      <c r="W7" s="138" t="inlineStr">
        <is>
          <t>原创/待确认</t>
        </is>
      </c>
      <c r="X7" s="375" t="inlineStr">
        <is>
          <t>—</t>
        </is>
      </c>
      <c r="Y7" s="138" t="inlineStr">
        <is>
          <t>2026-08-09：旧2D PlayerAvatarRenderer专用表现已删除；当前3D状态表现由 PlayerAvatar3D / WeaponModel3D 持有。</t>
        </is>
      </c>
    </row>
    <row r="8">
      <c r="A8" s="138" t="inlineStr">
        <is>
          <t>VFX-PLY-LOWHP-RING</t>
        </is>
      </c>
      <c r="B8" s="138" t="inlineStr">
        <is>
          <t>玩家低血环</t>
        </is>
      </c>
      <c r="C8" s="138" t="inlineStr">
        <is>
          <t>特效</t>
        </is>
      </c>
      <c r="D8" s="138" t="inlineStr">
        <is>
          <t>player_overlay</t>
        </is>
      </c>
      <c r="E8" s="138" t="inlineStr">
        <is>
          <t>player_low_hp</t>
        </is>
      </c>
      <c r="F8" s="138" t="inlineStr">
        <is>
          <t>root</t>
        </is>
      </c>
      <c r="G8" s="138" t="str"/>
      <c r="H8" s="138" t="inlineStr">
        <is>
          <t>侧面朝右（可水平翻转）</t>
        </is>
      </c>
      <c r="I8" s="138" t="inlineStr">
        <is>
          <t>low_health</t>
        </is>
      </c>
      <c r="J8" s="138" t="inlineStr">
        <is>
          <t>叠加状态</t>
        </is>
      </c>
      <c r="K8" s="138" t="inlineStr">
        <is>
          <t>弃用</t>
        </is>
      </c>
      <c r="L8" s="138" t="inlineStr">
        <is>
          <t>P2</t>
        </is>
      </c>
      <c r="M8" s="138" t="inlineStr">
        <is>
          <t>v001</t>
        </is>
      </c>
      <c r="N8" s="138" t="inlineStr">
        <is>
          <t>待定</t>
        </is>
      </c>
      <c r="O8" s="138" t="str"/>
      <c r="P8" s="138" t="n"/>
      <c r="Q8" s="138" t="str"/>
      <c r="R8" s="138">
        <f>LOWER(TRIM(C8)&amp;"|"&amp;TRIM(D8)&amp;"|"&amp;TRIM(E8)&amp;"|"&amp;TRIM(F8)&amp;"|"&amp;TRIM(H8)&amp;"|"&amp;TRIM(I8))</f>
        <v/>
      </c>
      <c r="S8" s="138">
        <f>IF(COUNTIF($R$6:$R$21,R8)&gt;1,"重复","唯一")</f>
        <v/>
      </c>
      <c r="T8" s="138" t="str"/>
      <c r="U8" s="138" t="inlineStr">
        <is>
          <t>待分配</t>
        </is>
      </c>
      <c r="V8" s="303" t="n">
        <v>46243</v>
      </c>
      <c r="W8" s="138" t="inlineStr">
        <is>
          <t>原创/待确认</t>
        </is>
      </c>
      <c r="X8" s="375" t="inlineStr">
        <is>
          <t>—</t>
        </is>
      </c>
      <c r="Y8" s="138" t="inlineStr">
        <is>
          <t>2026-08-09：旧2D PlayerAvatarRenderer专用表现已删除；当前3D状态表现由 PlayerAvatar3D / WeaponModel3D 持有。</t>
        </is>
      </c>
    </row>
    <row r="9">
      <c r="A9" s="138" t="inlineStr">
        <is>
          <t>VFX-PLY-SILENCED-RING</t>
        </is>
      </c>
      <c r="B9" s="138" t="inlineStr">
        <is>
          <t>玩家沉默干扰环</t>
        </is>
      </c>
      <c r="C9" s="138" t="inlineStr">
        <is>
          <t>特效</t>
        </is>
      </c>
      <c r="D9" s="138" t="inlineStr">
        <is>
          <t>player_overlay</t>
        </is>
      </c>
      <c r="E9" s="138" t="inlineStr">
        <is>
          <t>player_silenced</t>
        </is>
      </c>
      <c r="F9" s="138" t="inlineStr">
        <is>
          <t>root</t>
        </is>
      </c>
      <c r="G9" s="138" t="str"/>
      <c r="H9" s="138" t="inlineStr">
        <is>
          <t>侧面朝右（可水平翻转）</t>
        </is>
      </c>
      <c r="I9" s="138" t="inlineStr">
        <is>
          <t>silenced</t>
        </is>
      </c>
      <c r="J9" s="138" t="inlineStr">
        <is>
          <t>叠加状态</t>
        </is>
      </c>
      <c r="K9" s="138" t="inlineStr">
        <is>
          <t>弃用</t>
        </is>
      </c>
      <c r="L9" s="138" t="inlineStr">
        <is>
          <t>P2</t>
        </is>
      </c>
      <c r="M9" s="138" t="inlineStr">
        <is>
          <t>v001</t>
        </is>
      </c>
      <c r="N9" s="138" t="inlineStr">
        <is>
          <t>待定</t>
        </is>
      </c>
      <c r="O9" s="138" t="str"/>
      <c r="P9" s="138" t="n"/>
      <c r="Q9" s="138" t="str"/>
      <c r="R9" s="138">
        <f>LOWER(TRIM(C9)&amp;"|"&amp;TRIM(D9)&amp;"|"&amp;TRIM(E9)&amp;"|"&amp;TRIM(F9)&amp;"|"&amp;TRIM(H9)&amp;"|"&amp;TRIM(I9))</f>
        <v/>
      </c>
      <c r="S9" s="138">
        <f>IF(COUNTIF($R$6:$R$21,R9)&gt;1,"重复","唯一")</f>
        <v/>
      </c>
      <c r="T9" s="138" t="str"/>
      <c r="U9" s="138" t="inlineStr">
        <is>
          <t>待分配</t>
        </is>
      </c>
      <c r="V9" s="303" t="n">
        <v>46243</v>
      </c>
      <c r="W9" s="138" t="inlineStr">
        <is>
          <t>原创/待确认</t>
        </is>
      </c>
      <c r="X9" s="375" t="inlineStr">
        <is>
          <t>—</t>
        </is>
      </c>
      <c r="Y9" s="138" t="inlineStr">
        <is>
          <t>2026-08-09：旧2D PlayerAvatarRenderer专用表现已删除；当前3D状态表现由 PlayerAvatar3D / WeaponModel3D 持有。</t>
        </is>
      </c>
    </row>
    <row r="10">
      <c r="A10" s="138" t="inlineStr">
        <is>
          <t>VFX-EXPLOSION</t>
        </is>
      </c>
      <c r="B10" s="138" t="inlineStr">
        <is>
          <t>爆炸</t>
        </is>
      </c>
      <c r="C10" s="138" t="inlineStr">
        <is>
          <t>特效</t>
        </is>
      </c>
      <c r="D10" s="138" t="inlineStr">
        <is>
          <t>gameplay_vfx</t>
        </is>
      </c>
      <c r="E10" s="138" t="inlineStr">
        <is>
          <t>explosion</t>
        </is>
      </c>
      <c r="F10" s="138" t="inlineStr">
        <is>
          <t>root</t>
        </is>
      </c>
      <c r="G10" s="138" t="str"/>
      <c r="H10" s="138" t="inlineStr">
        <is>
          <t>顶视/屏幕空间</t>
        </is>
      </c>
      <c r="I10" s="138" t="inlineStr">
        <is>
          <t>default</t>
        </is>
      </c>
      <c r="J10" s="138" t="inlineStr">
        <is>
          <t>跨武器/跨场景</t>
        </is>
      </c>
      <c r="K10" s="138" t="inlineStr">
        <is>
          <t>程序占位</t>
        </is>
      </c>
      <c r="L10" s="138" t="inlineStr">
        <is>
          <t>P1</t>
        </is>
      </c>
      <c r="M10" s="138" t="inlineStr">
        <is>
          <t>v001</t>
        </is>
      </c>
      <c r="N10" s="138" t="inlineStr">
        <is>
          <t>粒子或 8–16 帧序列</t>
        </is>
      </c>
      <c r="O10" s="138" t="str"/>
      <c r="P10" s="138" t="inlineStr">
        <is>
          <t>scenes/ExplosionEffect.tscn</t>
        </is>
      </c>
      <c r="Q10" s="138" t="str"/>
      <c r="R10" s="138">
        <f>LOWER(TRIM(C10)&amp;"|"&amp;TRIM(D10)&amp;"|"&amp;TRIM(E10)&amp;"|"&amp;TRIM(F10)&amp;"|"&amp;TRIM(H10)&amp;"|"&amp;TRIM(I10))</f>
        <v/>
      </c>
      <c r="S10" s="138">
        <f>IF(COUNTIF($R$6:$R$21,R10)&gt;1,"重复","唯一")</f>
        <v/>
      </c>
      <c r="T10" s="138" t="str"/>
      <c r="U10" s="138" t="inlineStr">
        <is>
          <t>待分配</t>
        </is>
      </c>
      <c r="V10" s="303" t="n">
        <v>46224</v>
      </c>
      <c r="W10" s="138" t="inlineStr">
        <is>
          <t>原创/待确认</t>
        </is>
      </c>
      <c r="X10" s="375" t="inlineStr">
        <is>
          <t>—</t>
        </is>
      </c>
      <c r="Y10" s="138" t="inlineStr">
        <is>
          <t>颜色/尺寸作参数变体，禁止复制整套</t>
        </is>
      </c>
    </row>
    <row r="11">
      <c r="A11" s="138" t="inlineStr">
        <is>
          <t>VFX-MUZZLE-FLASH</t>
        </is>
      </c>
      <c r="B11" s="138" t="inlineStr">
        <is>
          <t>枪口火焰</t>
        </is>
      </c>
      <c r="C11" s="138" t="inlineStr">
        <is>
          <t>特效</t>
        </is>
      </c>
      <c r="D11" s="138" t="inlineStr">
        <is>
          <t>gameplay_vfx</t>
        </is>
      </c>
      <c r="E11" s="138" t="inlineStr">
        <is>
          <t>muzzle_flash</t>
        </is>
      </c>
      <c r="F11" s="138" t="inlineStr">
        <is>
          <t>root</t>
        </is>
      </c>
      <c r="G11" s="138" t="str"/>
      <c r="H11" s="138" t="inlineStr">
        <is>
          <t>顶视/屏幕空间</t>
        </is>
      </c>
      <c r="I11" s="138" t="inlineStr">
        <is>
          <t>default</t>
        </is>
      </c>
      <c r="J11" s="138" t="inlineStr">
        <is>
          <t>跨武器/跨场景</t>
        </is>
      </c>
      <c r="K11" s="138" t="inlineStr">
        <is>
          <t>程序占位</t>
        </is>
      </c>
      <c r="L11" s="138" t="inlineStr">
        <is>
          <t>P1</t>
        </is>
      </c>
      <c r="M11" s="138" t="inlineStr">
        <is>
          <t>v001</t>
        </is>
      </c>
      <c r="N11" s="138" t="inlineStr">
        <is>
          <t>粒子或 8–16 帧序列</t>
        </is>
      </c>
      <c r="O11" s="138" t="str"/>
      <c r="P11" s="138" t="inlineStr">
        <is>
          <t>src/weapon/WeaponDisplay.gd</t>
        </is>
      </c>
      <c r="Q11" s="138" t="str"/>
      <c r="R11" s="138">
        <f>LOWER(TRIM(C11)&amp;"|"&amp;TRIM(D11)&amp;"|"&amp;TRIM(E11)&amp;"|"&amp;TRIM(F11)&amp;"|"&amp;TRIM(H11)&amp;"|"&amp;TRIM(I11))</f>
        <v/>
      </c>
      <c r="S11" s="138">
        <f>IF(COUNTIF($R$6:$R$21,R11)&gt;1,"重复","唯一")</f>
        <v/>
      </c>
      <c r="T11" s="138" t="str"/>
      <c r="U11" s="138" t="inlineStr">
        <is>
          <t>待分配</t>
        </is>
      </c>
      <c r="V11" s="303" t="n">
        <v>46224</v>
      </c>
      <c r="W11" s="138" t="inlineStr">
        <is>
          <t>原创/待确认</t>
        </is>
      </c>
      <c r="X11" s="375" t="inlineStr">
        <is>
          <t>—</t>
        </is>
      </c>
      <c r="Y11" s="138" t="inlineStr">
        <is>
          <t>颜色/尺寸作参数变体，禁止复制整套</t>
        </is>
      </c>
    </row>
    <row r="12">
      <c r="A12" s="138" t="inlineStr">
        <is>
          <t>VFX-DAMAGE-NUMBER</t>
        </is>
      </c>
      <c r="B12" s="138" t="inlineStr">
        <is>
          <t>伤害数字</t>
        </is>
      </c>
      <c r="C12" s="138" t="inlineStr">
        <is>
          <t>特效</t>
        </is>
      </c>
      <c r="D12" s="138" t="inlineStr">
        <is>
          <t>gameplay_vfx</t>
        </is>
      </c>
      <c r="E12" s="138" t="inlineStr">
        <is>
          <t>damage_number</t>
        </is>
      </c>
      <c r="F12" s="138" t="inlineStr">
        <is>
          <t>root</t>
        </is>
      </c>
      <c r="G12" s="138" t="str"/>
      <c r="H12" s="138" t="inlineStr">
        <is>
          <t>顶视/屏幕空间</t>
        </is>
      </c>
      <c r="I12" s="138" t="inlineStr">
        <is>
          <t>default</t>
        </is>
      </c>
      <c r="J12" s="138" t="inlineStr">
        <is>
          <t>跨武器/跨场景</t>
        </is>
      </c>
      <c r="K12" s="138" t="inlineStr">
        <is>
          <t>程序占位</t>
        </is>
      </c>
      <c r="L12" s="138" t="inlineStr">
        <is>
          <t>P2</t>
        </is>
      </c>
      <c r="M12" s="138" t="inlineStr">
        <is>
          <t>v001</t>
        </is>
      </c>
      <c r="N12" s="138" t="inlineStr">
        <is>
          <t>粒子或 8–16 帧序列</t>
        </is>
      </c>
      <c r="O12" s="138" t="str"/>
      <c r="P12" s="138" t="inlineStr">
        <is>
          <t>scenes/DamageNumber.tscn</t>
        </is>
      </c>
      <c r="Q12" s="138" t="str"/>
      <c r="R12" s="138">
        <f>LOWER(TRIM(C12)&amp;"|"&amp;TRIM(D12)&amp;"|"&amp;TRIM(E12)&amp;"|"&amp;TRIM(F12)&amp;"|"&amp;TRIM(H12)&amp;"|"&amp;TRIM(I12))</f>
        <v/>
      </c>
      <c r="S12" s="138">
        <f>IF(COUNTIF($R$6:$R$21,R12)&gt;1,"重复","唯一")</f>
        <v/>
      </c>
      <c r="T12" s="138" t="str"/>
      <c r="U12" s="138" t="inlineStr">
        <is>
          <t>待分配</t>
        </is>
      </c>
      <c r="V12" s="303" t="n">
        <v>46224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颜色/尺寸作参数变体，禁止复制整套</t>
        </is>
      </c>
    </row>
    <row r="13">
      <c r="A13" s="138" t="inlineStr">
        <is>
          <t>VFX-SPARK</t>
        </is>
      </c>
      <c r="B13" s="138" t="inlineStr">
        <is>
          <t>火花</t>
        </is>
      </c>
      <c r="C13" s="138" t="inlineStr">
        <is>
          <t>特效</t>
        </is>
      </c>
      <c r="D13" s="138" t="inlineStr">
        <is>
          <t>gameplay_vfx</t>
        </is>
      </c>
      <c r="E13" s="138" t="inlineStr">
        <is>
          <t>spark</t>
        </is>
      </c>
      <c r="F13" s="138" t="inlineStr">
        <is>
          <t>root</t>
        </is>
      </c>
      <c r="G13" s="138" t="str"/>
      <c r="H13" s="138" t="inlineStr">
        <is>
          <t>顶视/屏幕空间</t>
        </is>
      </c>
      <c r="I13" s="138" t="inlineStr">
        <is>
          <t>default</t>
        </is>
      </c>
      <c r="J13" s="138" t="inlineStr">
        <is>
          <t>跨武器/跨场景</t>
        </is>
      </c>
      <c r="K13" s="138" t="inlineStr">
        <is>
          <t>程序占位</t>
        </is>
      </c>
      <c r="L13" s="138" t="inlineStr">
        <is>
          <t>P2</t>
        </is>
      </c>
      <c r="M13" s="138" t="inlineStr">
        <is>
          <t>v001</t>
        </is>
      </c>
      <c r="N13" s="138" t="inlineStr">
        <is>
          <t>粒子或 8–16 帧序列</t>
        </is>
      </c>
      <c r="O13" s="138" t="str"/>
      <c r="P13" s="138" t="inlineStr">
        <is>
          <t>src/fx/SparkParticles.gd</t>
        </is>
      </c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IF(COUNTIF($R$6:$R$21,R13)&gt;1,"重复","唯一")</f>
        <v/>
      </c>
      <c r="T13" s="138" t="str"/>
      <c r="U13" s="138" t="inlineStr">
        <is>
          <t>待分配</t>
        </is>
      </c>
      <c r="V13" s="303" t="n">
        <v>46224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颜色/尺寸作参数变体，禁止复制整套</t>
        </is>
      </c>
    </row>
    <row r="14">
      <c r="A14" s="138" t="inlineStr">
        <is>
          <t>VFX-ROOM-TRANSITION</t>
        </is>
      </c>
      <c r="B14" s="138" t="inlineStr">
        <is>
          <t>房间转场</t>
        </is>
      </c>
      <c r="C14" s="138" t="inlineStr">
        <is>
          <t>特效</t>
        </is>
      </c>
      <c r="D14" s="138" t="inlineStr">
        <is>
          <t>gameplay_vfx</t>
        </is>
      </c>
      <c r="E14" s="138" t="inlineStr">
        <is>
          <t>room_transition</t>
        </is>
      </c>
      <c r="F14" s="138" t="inlineStr">
        <is>
          <t>root</t>
        </is>
      </c>
      <c r="G14" s="138" t="str"/>
      <c r="H14" s="138" t="inlineStr">
        <is>
          <t>顶视/屏幕空间</t>
        </is>
      </c>
      <c r="I14" s="138" t="inlineStr">
        <is>
          <t>default</t>
        </is>
      </c>
      <c r="J14" s="138" t="inlineStr">
        <is>
          <t>跨武器/跨场景</t>
        </is>
      </c>
      <c r="K14" s="138" t="inlineStr">
        <is>
          <t>程序占位</t>
        </is>
      </c>
      <c r="L14" s="138" t="inlineStr">
        <is>
          <t>P2</t>
        </is>
      </c>
      <c r="M14" s="138" t="inlineStr">
        <is>
          <t>v001</t>
        </is>
      </c>
      <c r="N14" s="138" t="inlineStr">
        <is>
          <t>粒子或 8–16 帧序列</t>
        </is>
      </c>
      <c r="O14" s="138" t="str"/>
      <c r="P14" s="138" t="inlineStr">
        <is>
          <t>src/fx/RoomTransitionFX.gd</t>
        </is>
      </c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IF(COUNTIF($R$6:$R$21,R14)&gt;1,"重复","唯一")</f>
        <v/>
      </c>
      <c r="T14" s="138" t="str"/>
      <c r="U14" s="138" t="inlineStr">
        <is>
          <t>待分配</t>
        </is>
      </c>
      <c r="V14" s="303" t="n">
        <v>46224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颜色/尺寸作参数变体，禁止复制整套</t>
        </is>
      </c>
    </row>
    <row r="15">
      <c r="A15" s="138" t="inlineStr">
        <is>
          <t>VFX-HEALTH-VIGNETTE</t>
        </is>
      </c>
      <c r="B15" s="138" t="inlineStr">
        <is>
          <t>低血暗角</t>
        </is>
      </c>
      <c r="C15" s="138" t="inlineStr">
        <is>
          <t>特效</t>
        </is>
      </c>
      <c r="D15" s="138" t="inlineStr">
        <is>
          <t>gameplay_vfx</t>
        </is>
      </c>
      <c r="E15" s="138" t="inlineStr">
        <is>
          <t>health_vignette</t>
        </is>
      </c>
      <c r="F15" s="138" t="inlineStr">
        <is>
          <t>root</t>
        </is>
      </c>
      <c r="G15" s="138" t="str"/>
      <c r="H15" s="138" t="inlineStr">
        <is>
          <t>顶视/屏幕空间</t>
        </is>
      </c>
      <c r="I15" s="138" t="inlineStr">
        <is>
          <t>default</t>
        </is>
      </c>
      <c r="J15" s="138" t="inlineStr">
        <is>
          <t>跨武器/跨场景</t>
        </is>
      </c>
      <c r="K15" s="138" t="inlineStr">
        <is>
          <t>原型已接入</t>
        </is>
      </c>
      <c r="L15" s="138" t="inlineStr">
        <is>
          <t>P2</t>
        </is>
      </c>
      <c r="M15" s="138" t="inlineStr">
        <is>
          <t>v001</t>
        </is>
      </c>
      <c r="N15" s="138" t="inlineStr">
        <is>
          <t>粒子或 8–16 帧序列</t>
        </is>
      </c>
      <c r="O15" s="138" t="inlineStr">
        <is>
          <t>scenes/Dungeon3D.tscn</t>
        </is>
      </c>
      <c r="P15" s="138" t="inlineStr">
        <is>
          <t>src/world3d/Dungeon3D.gd</t>
        </is>
      </c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IF(COUNTIF($R$6:$R$21,R15)&gt;1,"重复","唯一")</f>
        <v/>
      </c>
      <c r="T15" s="138" t="inlineStr">
        <is>
          <t>86fa546a86758f57eb7b5c8fae0aeadb30e62b29e08c1b40d7fb685ac36a4b53</t>
        </is>
      </c>
      <c r="U15" s="138" t="inlineStr">
        <is>
          <t>待分配</t>
        </is>
      </c>
      <c r="V15" s="303" t="n">
        <v>46264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复用低血暗角身份；3D HUD低血时提高边缘强度，不复制第二套逻辑ID
2026-08-30 AST-02：补齐单一生产路径SHA；验收：verify_3d_vision_input_flow；SHA 4e61089a3bcd。</t>
        </is>
      </c>
    </row>
    <row r="16">
      <c r="A16" s="138" t="inlineStr">
        <is>
          <t>VFX-VISIBILITY-LIGHT</t>
        </is>
      </c>
      <c r="B16" s="138" t="inlineStr">
        <is>
          <t>视野光锥</t>
        </is>
      </c>
      <c r="C16" s="138" t="inlineStr">
        <is>
          <t>特效</t>
        </is>
      </c>
      <c r="D16" s="138" t="inlineStr">
        <is>
          <t>gameplay_vfx</t>
        </is>
      </c>
      <c r="E16" s="138" t="inlineStr">
        <is>
          <t>visibility_light</t>
        </is>
      </c>
      <c r="F16" s="138" t="inlineStr">
        <is>
          <t>root</t>
        </is>
      </c>
      <c r="G16" s="138" t="str"/>
      <c r="H16" s="138" t="inlineStr">
        <is>
          <t>顶视/屏幕空间</t>
        </is>
      </c>
      <c r="I16" s="138" t="inlineStr">
        <is>
          <t>default</t>
        </is>
      </c>
      <c r="J16" s="138" t="inlineStr">
        <is>
          <t>跨武器/跨场景</t>
        </is>
      </c>
      <c r="K16" s="138" t="inlineStr">
        <is>
          <t>程序占位</t>
        </is>
      </c>
      <c r="L16" s="138" t="inlineStr">
        <is>
          <t>P2</t>
        </is>
      </c>
      <c r="M16" s="138" t="inlineStr">
        <is>
          <t>v001</t>
        </is>
      </c>
      <c r="N16" s="138" t="inlineStr">
        <is>
          <t>粒子或 8–16 帧序列</t>
        </is>
      </c>
      <c r="O16" s="138" t="str"/>
      <c r="P16" s="138" t="inlineStr">
        <is>
          <t>src/fx/VisibilityLight2D.gd</t>
        </is>
      </c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IF(COUNTIF($R$6:$R$21,R16)&gt;1,"重复","唯一")</f>
        <v/>
      </c>
      <c r="T16" s="138" t="str"/>
      <c r="U16" s="138" t="inlineStr">
        <is>
          <t>待分配</t>
        </is>
      </c>
      <c r="V16" s="303" t="n">
        <v>46225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2D视野表现根；3D真实判定与地面网格登记为 VFX-VISIBILITY-FIELD-3D，禁止用灯光替代</t>
        </is>
      </c>
    </row>
    <row r="17">
      <c r="A17" s="138" t="inlineStr">
        <is>
          <t>VFX-EXTRACTION-BEACON</t>
        </is>
      </c>
      <c r="B17" s="138" t="inlineStr">
        <is>
          <t>撤离信标效果</t>
        </is>
      </c>
      <c r="C17" s="138" t="inlineStr">
        <is>
          <t>特效</t>
        </is>
      </c>
      <c r="D17" s="138" t="inlineStr">
        <is>
          <t>gameplay_vfx</t>
        </is>
      </c>
      <c r="E17" s="138" t="inlineStr">
        <is>
          <t>extraction_beacon</t>
        </is>
      </c>
      <c r="F17" s="138" t="inlineStr">
        <is>
          <t>root</t>
        </is>
      </c>
      <c r="G17" s="138" t="str"/>
      <c r="H17" s="138" t="inlineStr">
        <is>
          <t>顶视/屏幕空间</t>
        </is>
      </c>
      <c r="I17" s="138" t="inlineStr">
        <is>
          <t>default</t>
        </is>
      </c>
      <c r="J17" s="138" t="inlineStr">
        <is>
          <t>跨武器/跨场景</t>
        </is>
      </c>
      <c r="K17" s="138" t="inlineStr">
        <is>
          <t>程序占位</t>
        </is>
      </c>
      <c r="L17" s="138" t="inlineStr">
        <is>
          <t>P2</t>
        </is>
      </c>
      <c r="M17" s="138" t="inlineStr">
        <is>
          <t>v001</t>
        </is>
      </c>
      <c r="N17" s="138" t="inlineStr">
        <is>
          <t>粒子或 8–16 帧序列</t>
        </is>
      </c>
      <c r="O17" s="138" t="str"/>
      <c r="P17" s="138" t="inlineStr">
        <is>
          <t>src/map/ExtractionDirector.gd</t>
        </is>
      </c>
      <c r="Q17" s="138" t="str"/>
      <c r="R17" s="138">
        <f>LOWER(TRIM(C17)&amp;"|"&amp;TRIM(D17)&amp;"|"&amp;TRIM(E17)&amp;"|"&amp;TRIM(F17)&amp;"|"&amp;TRIM(H17)&amp;"|"&amp;TRIM(I17))</f>
        <v/>
      </c>
      <c r="S17" s="138">
        <f>IF(COUNTIF($R$6:$R$21,R17)&gt;1,"重复","唯一")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颜色/尺寸作参数变体，禁止复制整套</t>
        </is>
      </c>
    </row>
    <row r="18">
      <c r="A18" s="392" t="inlineStr">
        <is>
          <t>VFX-HAZARD-FIELD-3D</t>
        </is>
      </c>
      <c r="B18" s="392" t="inlineStr">
        <is>
          <t>房间危险场3D特效</t>
        </is>
      </c>
      <c r="C18" s="392" t="inlineStr">
        <is>
          <t>特效</t>
        </is>
      </c>
      <c r="D18" s="392" t="inlineStr">
        <is>
          <t>environment</t>
        </is>
      </c>
      <c r="E18" s="392" t="inlineStr">
        <is>
          <t>hazard_field</t>
        </is>
      </c>
      <c r="F18" s="392" t="inlineStr">
        <is>
          <t>root_3d</t>
        </is>
      </c>
      <c r="G18" s="392" t="inlineStr">
        <is>
          <t>ENV-DUNGEON-RUNTIME-3D</t>
        </is>
      </c>
      <c r="H18" s="392" t="inlineStr">
        <is>
          <t>俯视3D</t>
        </is>
      </c>
      <c r="I18" s="392" t="inlineStr">
        <is>
          <t>active</t>
        </is>
      </c>
      <c r="J18" s="392" t="inlineStr">
        <is>
          <t>陷阱房</t>
        </is>
      </c>
      <c r="K18" s="392" t="inlineStr">
        <is>
          <t>原型已接入</t>
        </is>
      </c>
      <c r="L18" s="392" t="inlineStr">
        <is>
          <t>P0</t>
        </is>
      </c>
      <c r="M18" s="392" t="inlineStr">
        <is>
          <t>v001</t>
        </is>
      </c>
      <c r="N18" s="392" t="inlineStr">
        <is>
          <t>PackedScene/程序环形特效</t>
        </is>
      </c>
      <c r="O18" s="392" t="inlineStr">
        <is>
          <t>assets/art/vfx/environment_3d/vfx_hazard_field_root_top3d.tscn</t>
        </is>
      </c>
      <c r="P18" s="392" t="inlineStr">
        <is>
          <t>src/world3d/HazardField3D.gd</t>
        </is>
      </c>
      <c r="Q18" s="392" t="inlineStr">
        <is>
          <t>危险区;陷阱;范围伤害;3D</t>
        </is>
      </c>
      <c r="R18" s="392">
        <f>LOWER(TRIM(C18)&amp;"|"&amp;TRIM(D18)&amp;"|"&amp;TRIM(E18)&amp;"|"&amp;TRIM(F18)&amp;"|"&amp;TRIM(H18)&amp;"|"&amp;TRIM(I18))</f>
        <v/>
      </c>
      <c r="S18" s="392">
        <f>IF(COUNTIF($R$6:$R$21,R18)&gt;1,"重复","唯一")</f>
        <v/>
      </c>
      <c r="T18" s="392" t="inlineStr">
        <is>
          <t>9457d360dc6529e42502980b94188d13f76da5efb581b261cfb9b8adbd0f5ff6</t>
        </is>
      </c>
      <c r="U18" s="392" t="inlineStr">
        <is>
          <t>Codex</t>
        </is>
      </c>
      <c r="V18" s="348" t="n">
        <v>46224</v>
      </c>
      <c r="W18" s="392" t="inlineStr">
        <is>
          <t>原创程序特效</t>
        </is>
      </c>
      <c r="X18" s="375" t="inlineStr">
        <is>
          <t>—</t>
        </is>
      </c>
      <c r="Y18" s="392" t="inlineStr">
        <is>
          <t>颜色、半径与伤害可按主题配置</t>
        </is>
      </c>
    </row>
    <row r="19">
      <c r="A19" s="392" t="inlineStr">
        <is>
          <t>VFX-COMBAT-KIT-3D</t>
        </is>
      </c>
      <c r="B19" s="392" t="inlineStr">
        <is>
          <t>战斗反馈3D通用特效套件</t>
        </is>
      </c>
      <c r="C19" s="392" t="inlineStr">
        <is>
          <t>特效</t>
        </is>
      </c>
      <c r="D19" s="392" t="inlineStr">
        <is>
          <t>combat</t>
        </is>
      </c>
      <c r="E19" s="392" t="inlineStr">
        <is>
          <t>combat_feedback</t>
        </is>
      </c>
      <c r="F19" s="392" t="inlineStr">
        <is>
          <t>root_3d</t>
        </is>
      </c>
      <c r="G19" s="392" t="n"/>
      <c r="H19" s="392" t="inlineStr">
        <is>
          <t>俯视3D</t>
        </is>
      </c>
      <c r="I19" s="392" t="inlineStr">
        <is>
          <t>muzzle_impact_damage_explosion_slash_melee_impact</t>
        </is>
      </c>
      <c r="J19" s="392" t="inlineStr">
        <is>
          <t>枪械/近战/敌人/关卡</t>
        </is>
      </c>
      <c r="K19" s="392" t="inlineStr">
        <is>
          <t>原型已接入</t>
        </is>
      </c>
      <c r="L19" s="392" t="inlineStr">
        <is>
          <t>P0</t>
        </is>
      </c>
      <c r="M19" s="392" t="inlineStr">
        <is>
          <t>v001</t>
        </is>
      </c>
      <c r="N19" s="392" t="inlineStr">
        <is>
          <t>PackedScene/参数化特效</t>
        </is>
      </c>
      <c r="O19" s="392" t="inlineStr">
        <is>
          <t>assets/art/vfx/combat_3d/vfx_combat_kit_root_top3d.tscn</t>
        </is>
      </c>
      <c r="P19" s="392" t="inlineStr">
        <is>
          <t>src/combat3d/CombatEffect3D.gd; src/combat3d/CombatEffectPool3D.gd; src/player3d/melee/PlayerMeleeCombat3D.gd</t>
        </is>
      </c>
      <c r="Q19" s="392" t="inlineStr">
        <is>
          <t>枪口;命中;伤害;爆炸;挥砍;近战冲击;slash;melee_impact;3D</t>
        </is>
      </c>
      <c r="R19" s="392">
        <f>LOWER(TRIM(C19)&amp;"|"&amp;TRIM(D19)&amp;"|"&amp;TRIM(E19)&amp;"|"&amp;TRIM(F19)&amp;"|"&amp;TRIM(H19)&amp;"|"&amp;TRIM(I19))</f>
        <v/>
      </c>
      <c r="S19" s="392">
        <f>IF(COUNTIF($R$6:$R$21,R19)&gt;1,"重复","唯一")</f>
        <v/>
      </c>
      <c r="T19" s="392" t="inlineStr">
        <is>
          <t>59cd5409b33ff9fae9c541b357699249d8f0574bc21add6fec2d1fdfd89a098e</t>
        </is>
      </c>
      <c r="U19" s="392" t="inlineStr">
        <is>
          <t>Codex</t>
        </is>
      </c>
      <c r="V19" s="348" t="n">
        <v>46224</v>
      </c>
      <c r="W19" s="392" t="inlineStr">
        <is>
          <t>原创程序特效</t>
        </is>
      </c>
      <c r="X19" s="375" t="inlineStr">
        <is>
          <t>—</t>
        </is>
      </c>
      <c r="Y19" s="392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20">
      <c r="A20" s="392" t="inlineStr">
        <is>
          <t>VFX-VISIBILITY-FIELD-3D</t>
        </is>
      </c>
      <c r="B20" s="392" t="inlineStr">
        <is>
          <t>柔边真实单位视野场3D</t>
        </is>
      </c>
      <c r="C20" s="392" t="inlineStr">
        <is>
          <t>特效</t>
        </is>
      </c>
      <c r="D20" s="392" t="inlineStr">
        <is>
          <t>gameplay_vfx</t>
        </is>
      </c>
      <c r="E20" s="392" t="inlineStr">
        <is>
          <t>visibility_field</t>
        </is>
      </c>
      <c r="F20" s="392" t="inlineStr">
        <is>
          <t>field_mesh_3d</t>
        </is>
      </c>
      <c r="G20" s="392" t="inlineStr">
        <is>
          <t>VFX-VISIBILITY-LIGHT</t>
        </is>
      </c>
      <c r="H20" s="392" t="inlineStr">
        <is>
          <t>俯视3D</t>
        </is>
      </c>
      <c r="I20" s="392" t="inlineStr">
        <is>
          <t>default</t>
        </is>
      </c>
      <c r="J20" s="392" t="inlineStr">
        <is>
          <t>3D行动区/靶场/基地</t>
        </is>
      </c>
      <c r="K20" s="392" t="inlineStr">
        <is>
          <t>原型已接入</t>
        </is>
      </c>
      <c r="L20" s="392" t="inlineStr">
        <is>
          <t>P0</t>
        </is>
      </c>
      <c r="M20" s="392" t="inlineStr">
        <is>
          <t>v001</t>
        </is>
      </c>
      <c r="N20" s="392" t="inlineStr">
        <is>
          <t>360°逻辑射线 + ImmediateMesh 49+28表现射线</t>
        </is>
      </c>
      <c r="O20" s="392" t="inlineStr">
        <is>
          <t>src/player3d/PlayerVision3D.gd</t>
        </is>
      </c>
      <c r="P20" s="392" t="inlineStr">
        <is>
          <t>scenes/Player3D.tscn</t>
        </is>
      </c>
      <c r="Q20" s="392" t="inlineStr">
        <is>
          <t>360度逻辑视野;96度目光表现;柔边;墙体遮挡;无描边;非灯光判定</t>
        </is>
      </c>
      <c r="R20" s="392">
        <f>LOWER(TRIM(C20)&amp;"|"&amp;TRIM(D20)&amp;"|"&amp;TRIM(E20)&amp;"|"&amp;TRIM(F20)&amp;"|"&amp;TRIM(H20)&amp;"|"&amp;TRIM(I20))</f>
        <v/>
      </c>
      <c r="S20" s="392">
        <f>IF(COUNTIF($R$6:$R$21,R20)&gt;1,"重复","唯一")</f>
        <v/>
      </c>
      <c r="T20" s="392" t="inlineStr">
        <is>
          <t>128dc5eab4c8b523961178714d4ed65bbefd86297641e6ba2cb0b7cf8b91f7f0</t>
        </is>
      </c>
      <c r="U20" s="392" t="inlineStr">
        <is>
          <t>Codex</t>
        </is>
      </c>
      <c r="V20" s="392" t="n">
        <v>46264</v>
      </c>
      <c r="W20" s="392" t="inlineStr">
        <is>
          <t>原创程序几何</t>
        </is>
      </c>
      <c r="X20" s="375" t="inlineStr">
        <is>
          <t>—</t>
        </is>
      </c>
      <c r="Y20" s="392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1">
      <c r="A21" s="392" t="inlineStr">
        <is>
          <t>VFX-PLAYER-FLASHLIGHT-3D</t>
        </is>
      </c>
      <c r="B21" s="392" t="inlineStr">
        <is>
          <t>玩家真实探照灯组件3D</t>
        </is>
      </c>
      <c r="C21" s="392" t="inlineStr">
        <is>
          <t>特效</t>
        </is>
      </c>
      <c r="D21" s="392" t="inlineStr">
        <is>
          <t>gameplay_vfx</t>
        </is>
      </c>
      <c r="E21" s="392" t="inlineStr">
        <is>
          <t>player_flashlight</t>
        </is>
      </c>
      <c r="F21" s="392" t="inlineStr">
        <is>
          <t>light_rig_3d</t>
        </is>
      </c>
      <c r="G21" s="392" t="inlineStr">
        <is>
          <t>VFX-VISIBILITY-FIELD-3D</t>
        </is>
      </c>
      <c r="H21" s="392" t="inlineStr">
        <is>
          <t>俯视3D</t>
        </is>
      </c>
      <c r="I21" s="392" t="inlineStr">
        <is>
          <t>default</t>
        </is>
      </c>
      <c r="J21" s="392" t="inlineStr">
        <is>
          <t>3D行动区/靶场/基地</t>
        </is>
      </c>
      <c r="K21" s="392" t="inlineStr">
        <is>
          <t>原型已接入</t>
        </is>
      </c>
      <c r="L21" s="392" t="inlineStr">
        <is>
          <t>P0</t>
        </is>
      </c>
      <c r="M21" s="392" t="inlineStr">
        <is>
          <t>v001</t>
        </is>
      </c>
      <c r="N21" s="392" t="inlineStr">
        <is>
          <t>PackedScene/2 SpotLight3D+1 OmniLight3D</t>
        </is>
      </c>
      <c r="O21" s="392" t="inlineStr">
        <is>
          <t>assets/art/vfx/visibility_3d/vfx_player_flashlight_root_top3d.tscn</t>
        </is>
      </c>
      <c r="P21" s="392" t="inlineStr">
        <is>
          <t>src/player3d/PlayerFlashlight3D.gd</t>
        </is>
      </c>
      <c r="Q21" s="392" t="inlineStr">
        <is>
          <t>真实探照灯;玩家灯光;前向聚光;角色补光;可调灯光</t>
        </is>
      </c>
      <c r="R21" s="392">
        <f>LOWER(TRIM(C21)&amp;"|"&amp;TRIM(D21)&amp;"|"&amp;TRIM(E21)&amp;"|"&amp;TRIM(F21)&amp;"|"&amp;TRIM(H21)&amp;"|"&amp;TRIM(I21))</f>
        <v/>
      </c>
      <c r="S21" s="392">
        <f>IF(COUNTIF($R$6:$R$21,R21)&gt;1,"重复","唯一")</f>
        <v/>
      </c>
      <c r="T21" s="392" t="inlineStr">
        <is>
          <t>66d910c4fbcfd63176427c8012d3b6dbb11c4e0999587b34a3a66d6202920017</t>
        </is>
      </c>
      <c r="U21" s="392" t="inlineStr">
        <is>
          <t>Codex</t>
        </is>
      </c>
      <c r="V21" s="348" t="n">
        <v>46225</v>
      </c>
      <c r="W21" s="348" t="inlineStr">
        <is>
          <t>原创程序几何</t>
        </is>
      </c>
      <c r="X21" s="375" t="inlineStr">
        <is>
          <t>—</t>
        </is>
      </c>
      <c r="Y21" s="392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21"/>
  <mergeCells count="2">
    <mergeCell ref="A1:X2"/>
    <mergeCell ref="A3:X3"/>
  </mergeCells>
  <conditionalFormatting sqref="S6:S21">
    <cfRule type="containsText" priority="1" operator="containsText" dxfId="0" text="重复"/>
  </conditionalFormatting>
  <conditionalFormatting sqref="K6:K2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1" showDropDown="0" showInputMessage="0" showErrorMessage="0" allowBlank="1" type="list">
      <formula1>"角色,敌人,武器,道具,场景,场景道具,基地资产包,UI,特效,音频"</formula1>
    </dataValidation>
    <dataValidation sqref="K6:K2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1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76" t="inlineStr">
        <is>
          <t>ShellStorm2 · 特效 3D Prefab</t>
        </is>
      </c>
    </row>
    <row r="2" ht="34" customHeight="1">
      <c r="A2" s="377" t="inlineStr">
        <is>
          <t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t>
        </is>
      </c>
    </row>
    <row r="4" ht="30" customHeight="1">
      <c r="A4" s="378" t="inlineStr">
        <is>
          <t>编号</t>
        </is>
      </c>
      <c r="B4" s="379" t="inlineStr">
        <is>
          <t>AssetID</t>
        </is>
      </c>
      <c r="C4" s="379" t="inlineStr">
        <is>
          <t>中文名</t>
        </is>
      </c>
      <c r="D4" s="379" t="inlineStr">
        <is>
          <t>Prefab路径</t>
        </is>
      </c>
      <c r="E4" s="379" t="inlineStr">
        <is>
          <t>GLB模型路径</t>
        </is>
      </c>
      <c r="F4" s="379" t="inlineStr">
        <is>
          <t>Blender源文件</t>
        </is>
      </c>
      <c r="G4" s="379" t="inlineStr">
        <is>
          <t>功能说明</t>
        </is>
      </c>
      <c r="H4" s="379" t="inlineStr">
        <is>
          <t>功能脚本路径</t>
        </is>
      </c>
      <c r="I4" s="379" t="inlineStr">
        <is>
          <t>碰撞开关</t>
        </is>
      </c>
      <c r="J4" s="379" t="inlineStr">
        <is>
          <t>碰撞归属</t>
        </is>
      </c>
      <c r="K4" s="379" t="inlineStr">
        <is>
          <t>碰撞方式</t>
        </is>
      </c>
      <c r="L4" s="379" t="inlineStr">
        <is>
          <t>标准尺寸</t>
        </is>
      </c>
      <c r="M4" s="379" t="inlineStr">
        <is>
          <t>原点与朝向</t>
        </is>
      </c>
      <c r="N4" s="379" t="inlineStr">
        <is>
          <t>使用位置</t>
        </is>
      </c>
      <c r="O4" s="379" t="inlineStr">
        <is>
          <t>制作状态</t>
        </is>
      </c>
      <c r="P4" s="380" t="inlineStr">
        <is>
          <t>版本</t>
        </is>
      </c>
      <c r="Q4" s="389" t="inlineStr">
        <is>
          <t>备注</t>
        </is>
      </c>
    </row>
    <row r="5" ht="66" customHeight="1">
      <c r="A5" s="381" t="inlineStr">
        <is>
          <t>▼ 00 特效套件（老形态）</t>
        </is>
      </c>
      <c r="B5" s="382" t="n"/>
      <c r="C5" s="382" t="n"/>
      <c r="D5" s="382" t="n"/>
      <c r="E5" s="382" t="n"/>
      <c r="F5" s="382" t="n"/>
      <c r="G5" s="382" t="n"/>
      <c r="H5" s="382" t="n"/>
      <c r="I5" s="382" t="n"/>
      <c r="J5" s="382" t="n"/>
      <c r="K5" s="382" t="n"/>
      <c r="L5" s="382" t="n"/>
      <c r="M5" s="382" t="n"/>
      <c r="N5" s="382" t="n"/>
      <c r="O5" s="382" t="n"/>
      <c r="P5" s="383" t="n"/>
      <c r="Q5" s="388" t="n"/>
    </row>
    <row r="6" ht="66" customHeight="1">
      <c r="A6" s="390" t="inlineStr">
        <is>
          <t>FX00-01</t>
        </is>
      </c>
      <c r="B6" s="192" t="inlineStr">
        <is>
          <t>VFX-COMBAT-KIT-3D</t>
        </is>
      </c>
      <c r="C6" s="192" t="inlineStr">
        <is>
          <t>战斗反馈3D通用特效套件</t>
        </is>
      </c>
      <c r="D6" s="192" t="inlineStr">
        <is>
          <t>assets/art/vfx/combat_3d/vfx_combat_kit_root_top3d.tscn</t>
        </is>
      </c>
      <c r="E6" s="192" t="n"/>
      <c r="F6" s="192" t="n"/>
      <c r="G6" s="192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192" t="inlineStr">
        <is>
          <t>src/combat3d/CombatEffect3D.gd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无</t>
        </is>
      </c>
      <c r="L6" s="192" t="inlineStr">
        <is>
          <t>PackedScene/参数化特效</t>
        </is>
      </c>
      <c r="M6" s="192" t="inlineStr">
        <is>
          <t>未声明</t>
        </is>
      </c>
      <c r="N6" s="192" t="inlineStr">
        <is>
          <t>枪械/近战/敌人/关卡</t>
        </is>
      </c>
      <c r="O6" s="192" t="inlineStr">
        <is>
          <t>老 · 待拆分</t>
        </is>
      </c>
      <c r="P6" s="193" t="inlineStr">
        <is>
          <t>v001</t>
        </is>
      </c>
      <c r="Q6" t="inlineStr">
        <is>
          <t>老形态·保留为过渡；待 14.6 §6 迁移完成后删除</t>
        </is>
      </c>
    </row>
    <row r="7" ht="66" customHeight="1">
      <c r="A7" s="384" t="inlineStr">
        <is>
          <t>▼ 01 战斗反馈</t>
        </is>
      </c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  <c r="L7" s="385" t="n"/>
      <c r="M7" s="385" t="n"/>
      <c r="N7" s="385" t="n"/>
      <c r="O7" s="385" t="n"/>
      <c r="P7" s="386" t="n"/>
      <c r="Q7" s="388" t="n"/>
    </row>
    <row r="8">
      <c r="A8" s="391" t="inlineStr">
        <is>
          <t>FX01-01</t>
        </is>
      </c>
      <c r="B8" t="inlineStr">
        <is>
          <t>VFX-MUZZLE-FLASH-3D</t>
        </is>
      </c>
      <c r="C8" t="inlineStr">
        <is>
          <t>枪口火光特效</t>
        </is>
      </c>
      <c r="D8" t="inlineStr">
        <is>
          <t>assets/art/vfx/combat_3d/vfx_muzzle_flash_root_top3d.tscn</t>
        </is>
      </c>
      <c r="G8" t="inlineStr">
        <is>
          <t>枪械/投射物开火时的瞬时火光；SphereMesh 闪核 + TorusMesh 环；参数 effect_color（火焰色）/ effect_size（火光强度）。</t>
        </is>
      </c>
      <c r="H8" t="inlineStr">
        <is>
          <t>src/vfx/VfxMuzzleFlash3D.gd</t>
        </is>
      </c>
      <c r="I8" t="inlineStr">
        <is>
          <t>无</t>
        </is>
      </c>
      <c r="J8" t="inlineStr">
        <is>
          <t>无</t>
        </is>
      </c>
      <c r="K8" t="inlineStr">
        <is>
          <t>无</t>
        </is>
      </c>
      <c r="L8" t="inlineStr">
        <is>
          <t>约 0.18m 半径；lifetime 0.12s</t>
        </is>
      </c>
      <c r="M8" t="inlineStr">
        <is>
          <t>原点=根节点中心；朝向=local -Z 正面</t>
        </is>
      </c>
      <c r="N8" t="inlineStr">
        <is>
          <t>枪械开火（远程 7 枪）</t>
        </is>
      </c>
      <c r="O8" t="inlineStr">
        <is>
          <t>完成</t>
        </is>
      </c>
      <c r="P8" t="inlineStr">
        <is>
          <t>v001</t>
        </is>
      </c>
      <c r="Q8" t="inlineStr">
        <is>
          <t>已实装；Prefab=assets/art/vfx/combat_3d/vfx_muzzle_flash_root_top3d_v001.tscn + 脚本=src/vfx/VfxMuzzleFlash3D.gd；根节点=VfxMuzzleFlash3D(Node3D)；FX编号 FX01-01；调用方：PlayerMeleeCombat3D/Enemy3D 经 VfxPool3D 路由</t>
        </is>
      </c>
    </row>
    <row r="9">
      <c r="A9" s="391" t="inlineStr">
        <is>
          <t>FX01-02</t>
        </is>
      </c>
      <c r="B9" s="388" t="inlineStr">
        <is>
          <t>VFX-IMPACT-3D</t>
        </is>
      </c>
      <c r="C9" s="388" t="inlineStr">
        <is>
          <t>通用命中特效</t>
        </is>
      </c>
      <c r="D9" s="388" t="inlineStr">
        <is>
          <t>assets/art/vfx/combat_3d/vfx_impact_root_top3d.tscn</t>
        </is>
      </c>
      <c r="E9" s="388" t="n"/>
      <c r="F9" s="388" t="n"/>
      <c r="G9" s="388" t="inlineStr">
        <is>
          <t>子弹/投射物命中目标时的爆点；SphereMesh 核心 + TorusMesh 环；参数 effect_color（命中火花色）/ effect_size（爆点半径）。</t>
        </is>
      </c>
      <c r="H9" s="388" t="inlineStr">
        <is>
          <t>src/vfx/VfxImpact3D.gd</t>
        </is>
      </c>
      <c r="I9" s="388" t="inlineStr">
        <is>
          <t>无</t>
        </is>
      </c>
      <c r="J9" s="388" t="inlineStr">
        <is>
          <t>无</t>
        </is>
      </c>
      <c r="K9" s="388" t="inlineStr">
        <is>
          <t>无</t>
        </is>
      </c>
      <c r="L9" s="388" t="inlineStr">
        <is>
          <t>约 0.16m 核心；lifetime 0.24s</t>
        </is>
      </c>
      <c r="M9" s="388" t="inlineStr">
        <is>
          <t>原点=根节点中心；朝向=local -Z 正面</t>
        </is>
      </c>
      <c r="N9" s="388" t="inlineStr">
        <is>
          <t>子弹/投射物命中通用</t>
        </is>
      </c>
      <c r="O9" s="388" t="inlineStr">
        <is>
          <t>完成</t>
        </is>
      </c>
      <c r="P9" s="388" t="inlineStr">
        <is>
          <t>v001</t>
        </is>
      </c>
      <c r="Q9" t="inlineStr">
        <is>
          <t>已实装；Prefab=assets/art/vfx/combat_3d/vfx_impact_root_top3d_v001.tscn + 脚本=src/vfx/VfxImpact3D.gd；根节点=VfxImpact3D(Node3D)；FX编号 FX01-02；调用方：PlayerMeleeCombat3D/Enemy3D 经 VfxPool3D 路由</t>
        </is>
      </c>
    </row>
    <row r="10">
      <c r="A10" s="391" t="inlineStr">
        <is>
          <t>FX01-03</t>
        </is>
      </c>
      <c r="B10" t="inlineStr">
        <is>
          <t>VFX-EXPLOSION-3D</t>
        </is>
      </c>
      <c r="C10" t="inlineStr">
        <is>
          <t>爆炸特效</t>
        </is>
      </c>
      <c r="D10" t="inlineStr">
        <is>
          <t>assets/art/vfx/combat_3d/vfx_explosion_root_top3d.tscn</t>
        </is>
      </c>
      <c r="G10" t="inlineStr">
        <is>
          <t>范围爆炸；1 SphereMesh 核心 + 2 TorusMesh 冲击波环（径向波 + 二次环）；参数 effect_color / effect_size。</t>
        </is>
      </c>
      <c r="H10" t="inlineStr">
        <is>
          <t>src/vfx/VfxExplosion3D.gd</t>
        </is>
      </c>
      <c r="I10" t="inlineStr">
        <is>
          <t>无</t>
        </is>
      </c>
      <c r="J10" t="inlineStr">
        <is>
          <t>无</t>
        </is>
      </c>
      <c r="K10" t="inlineStr">
        <is>
          <t>无</t>
        </is>
      </c>
      <c r="L10" t="inlineStr">
        <is>
          <t>约 0.42m 核心 → 0.82m 外环；lifetime 0.46s</t>
        </is>
      </c>
      <c r="M10" t="inlineStr">
        <is>
          <t>原点=根节点中心；朝向=local -Z 正面</t>
        </is>
      </c>
      <c r="N10" t="inlineStr">
        <is>
          <t>爆炸弹/范围武器</t>
        </is>
      </c>
      <c r="O10" t="inlineStr">
        <is>
          <t>完成</t>
        </is>
      </c>
      <c r="P10" t="inlineStr">
        <is>
          <t>v001</t>
        </is>
      </c>
      <c r="Q10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>
      <c r="A11" s="391" t="inlineStr">
        <is>
          <t>FX01-04</t>
        </is>
      </c>
      <c r="B11" t="inlineStr">
        <is>
          <t>VFX-MELEE-SLASH-3D</t>
        </is>
      </c>
      <c r="C11" t="inlineStr">
        <is>
          <t>近战挥砍弧特效</t>
        </is>
      </c>
      <c r="D11" t="inlineStr">
        <is>
          <t>assets/art/vfx/combat_3d/vfx_melee_slash_root_top3d.tscn</t>
        </is>
      </c>
      <c r="G11" t="inlineStr">
        <is>
          <t>近战挥砍时的弧光；SurfaceTool 自定义三角扇形 + 顶点 alpha 渐隐；连段 1/2/3 通过 effect_size 和方向区分。</t>
        </is>
      </c>
      <c r="H11" t="inlineStr">
        <is>
          <t>src/vfx/VfxMeleeSlash3D.gd</t>
        </is>
      </c>
      <c r="I11" t="inlineStr">
        <is>
          <t>无</t>
        </is>
      </c>
      <c r="J11" t="inlineStr">
        <is>
          <t>无</t>
        </is>
      </c>
      <c r="K11" t="inlineStr">
        <is>
          <t>无</t>
        </is>
      </c>
      <c r="L11" t="inlineStr">
        <is>
          <t>内径 0.78m / 外径 1.42m；lifetime 0.28s</t>
        </is>
      </c>
      <c r="M11" t="inlineStr">
        <is>
          <t>原点=根节点中心；朝向=local -Z 正面</t>
        </is>
      </c>
      <c r="N11" t="inlineStr">
        <is>
          <t>棒球棍/巨刃/战斧挥砍（近战 3 武器）</t>
        </is>
      </c>
      <c r="O11" t="inlineStr">
        <is>
          <t>完成</t>
        </is>
      </c>
      <c r="P11" t="inlineStr">
        <is>
          <t>v001</t>
        </is>
      </c>
      <c r="Q1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>
      <c r="A12" s="391" t="inlineStr">
        <is>
          <t>FX01-05</t>
        </is>
      </c>
      <c r="B12" t="inlineStr">
        <is>
          <t>VFX-MELEE-IMPACT-3D</t>
        </is>
      </c>
      <c r="C12" t="inlineStr">
        <is>
          <t>近战命中爆点特效</t>
        </is>
      </c>
      <c r="D12" t="inlineStr">
        <is>
          <t>assets/art/vfx/combat_3d/vfx_melee_impact_root_top3d.tscn</t>
        </is>
      </c>
      <c r="G12" t="inlineStr">
        <is>
          <t>近战命中目标时的爆点；1 SphereMesh 核心 + 2 TorusMesh 环 + 6 BoxMesh 飞散碎片；逐目标独立爆点。</t>
        </is>
      </c>
      <c r="H12" t="inlineStr">
        <is>
          <t>src/vfx/VfxMeleeImpact3D.gd</t>
        </is>
      </c>
      <c r="I12" t="inlineStr">
        <is>
          <t>无</t>
        </is>
      </c>
      <c r="J12" t="inlineStr">
        <is>
          <t>无</t>
        </is>
      </c>
      <c r="K12" t="inlineStr">
        <is>
          <t>无</t>
        </is>
      </c>
      <c r="L12" t="inlineStr">
        <is>
          <t>约 0.19m 核心；lifetime 0.32s</t>
        </is>
      </c>
      <c r="M12" t="inlineStr">
        <is>
          <t>原点=根节点中心；朝向=local -Z 正面</t>
        </is>
      </c>
      <c r="N12" t="inlineStr">
        <is>
          <t>近战命中爆点（连段 1/2/3 各 1 次）</t>
        </is>
      </c>
      <c r="O12" t="inlineStr">
        <is>
          <t>完成</t>
        </is>
      </c>
      <c r="P12" t="inlineStr">
        <is>
          <t>v001</t>
        </is>
      </c>
      <c r="Q12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>
      <c r="A13" s="387" t="inlineStr">
        <is>
          <t>▼ 02 受击飘字</t>
        </is>
      </c>
      <c r="B13" s="388" t="n"/>
      <c r="C13" s="388" t="n"/>
      <c r="D13" s="388" t="n"/>
      <c r="E13" s="388" t="n"/>
      <c r="F13" s="388" t="n"/>
      <c r="G13" s="388" t="n"/>
      <c r="H13" s="388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</row>
    <row r="14">
      <c r="A14" s="391" t="inlineStr">
        <is>
          <t>FX02-01</t>
        </is>
      </c>
      <c r="B14" t="inlineStr">
        <is>
          <t>VFX-DAMAGE-NUMBER-3D</t>
        </is>
      </c>
      <c r="C14" t="inlineStr">
        <is>
          <t>伤害数字飘字特效</t>
        </is>
      </c>
      <c r="D14" t="inlineStr">
        <is>
          <t>assets/art/vfx/combat_3d/vfx_damage_number_root_top3d.tscn</t>
        </is>
      </c>
      <c r="G14" t="inlineStr">
        <is>
          <t>受击伤害数字上升飘字；Label3D + 黑边 + 颜色编码（红/橙/暴击金）；参数 effect_color + context.text_value。</t>
        </is>
      </c>
      <c r="H14" t="inlineStr">
        <is>
          <t>src/vfx/VfxDamageNumber3D.gd</t>
        </is>
      </c>
      <c r="I14" t="inlineStr">
        <is>
          <t>无</t>
        </is>
      </c>
      <c r="J14" t="inlineStr">
        <is>
          <t>无</t>
        </is>
      </c>
      <c r="K14" t="inlineStr">
        <is>
          <t>无</t>
        </is>
      </c>
      <c r="L14" t="inlineStr">
        <is>
          <t>Label3D pixel_size=0.010；lifetime 0.72s</t>
        </is>
      </c>
      <c r="M14" t="inlineStr">
        <is>
          <t>原点=根节点中心；朝向=local -Z 正面</t>
        </is>
      </c>
      <c r="N14" t="inlineStr">
        <is>
          <t>玩家/敌人受击伤害显示</t>
        </is>
      </c>
      <c r="O14" t="inlineStr">
        <is>
          <t>完成</t>
        </is>
      </c>
      <c r="P14" t="inlineStr">
        <is>
          <t>v001</t>
        </is>
      </c>
      <c r="Q14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5">
      <c r="A15" s="391" t="inlineStr">
        <is>
          <t>FX02-02</t>
        </is>
      </c>
      <c r="B15" t="inlineStr">
        <is>
          <t>VFX-HEAL-NUMBER-3D</t>
        </is>
      </c>
      <c r="C15" t="inlineStr">
        <is>
          <t>治疗数字飘字特效</t>
        </is>
      </c>
      <c r="D15" t="inlineStr">
        <is>
          <t>assets/art/vfx/combat_3d/vfx_heal_number_root_top3d.tscn</t>
        </is>
      </c>
      <c r="G15" t="inlineStr">
        <is>
          <t>治疗/恢复数字上升飘字；Label3D + 绿色调（+ 白色描边）；参数 context.text_value。</t>
        </is>
      </c>
      <c r="H15" t="inlineStr">
        <is>
          <t>src/vfx/VfxHealNumber3D.gd</t>
        </is>
      </c>
      <c r="I15" t="inlineStr">
        <is>
          <t>无</t>
        </is>
      </c>
      <c r="J15" t="inlineStr">
        <is>
          <t>无</t>
        </is>
      </c>
      <c r="K15" t="inlineStr">
        <is>
          <t>无</t>
        </is>
      </c>
      <c r="L15" t="inlineStr">
        <is>
          <t>Label3D pixel_size=0.010；lifetime 0.72s</t>
        </is>
      </c>
      <c r="M15" t="inlineStr">
        <is>
          <t>原点=根节点中心；朝向=local -Z 正面</t>
        </is>
      </c>
      <c r="N15" t="inlineStr">
        <is>
          <t>玩家/队友治疗显示</t>
        </is>
      </c>
      <c r="O15" t="inlineStr">
        <is>
          <t>完成</t>
        </is>
      </c>
      <c r="P15" t="inlineStr">
        <is>
          <t>v001</t>
        </is>
      </c>
      <c r="Q15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6">
      <c r="A16" s="387" t="inlineStr">
        <is>
          <t>▼ 03 环境场</t>
        </is>
      </c>
      <c r="B16" s="388" t="n"/>
      <c r="C16" s="388" t="n"/>
      <c r="D16" s="388" t="n"/>
      <c r="E16" s="388" t="n"/>
      <c r="F16" s="388" t="n"/>
      <c r="G16" s="388" t="n"/>
      <c r="H16" s="388" t="n"/>
      <c r="I16" s="388" t="n"/>
      <c r="J16" s="388" t="n"/>
      <c r="K16" s="388" t="n"/>
      <c r="L16" s="388" t="n"/>
      <c r="M16" s="388" t="n"/>
      <c r="N16" s="388" t="n"/>
      <c r="O16" s="388" t="n"/>
      <c r="P16" s="388" t="n"/>
      <c r="Q16" s="388" t="n"/>
    </row>
    <row r="17">
      <c r="A17" s="391" t="inlineStr">
        <is>
          <t>FX03-01</t>
        </is>
      </c>
      <c r="B17" t="inlineStr">
        <is>
          <t>VFX-HAZARD-FIELD-3D</t>
        </is>
      </c>
      <c r="C17" t="inlineStr">
        <is>
          <t>房间危险场3D特效</t>
        </is>
      </c>
      <c r="D17" t="inlineStr">
        <is>
          <t>assets/art/vfx/environment_3d/vfx_hazard_field_root_top3d.tscn</t>
        </is>
      </c>
      <c r="G17" t="inlineStr">
        <is>
          <t>房间危险场 Area3D 特效；脚本生成的环形危险区域；触发时产生伤害 + 视觉脉冲。</t>
        </is>
      </c>
      <c r="H17" t="inlineStr">
        <is>
          <t>src/world3d/HazardField3D.gd</t>
        </is>
      </c>
      <c r="I17" t="inlineStr">
        <is>
          <t>开</t>
        </is>
      </c>
      <c r="J17" t="inlineStr">
        <is>
          <t>Prefab自身</t>
        </is>
      </c>
      <c r="K17" t="inlineStr">
        <is>
          <t>脚本生成</t>
        </is>
      </c>
      <c r="L17" t="inlineStr">
        <is>
          <t>PackedScene/程序环形特效</t>
        </is>
      </c>
      <c r="M17" t="inlineStr">
        <is>
          <t>未声明</t>
        </is>
      </c>
      <c r="N17" t="inlineStr">
        <is>
          <t>陷阱房</t>
        </is>
      </c>
      <c r="O17" t="inlineStr">
        <is>
          <t>完成</t>
        </is>
      </c>
      <c r="P17" t="inlineStr">
        <is>
          <t>v001</t>
        </is>
      </c>
      <c r="Q17" t="inlineStr">
        <is>
          <t>已实装；命名待 14.6 §6 迁移时对齐（改名 VfxHazardField3D + 移至 src/vfx/）</t>
        </is>
      </c>
    </row>
    <row r="18">
      <c r="A18" s="387" t="inlineStr">
        <is>
          <t>▼ 04 可见性</t>
        </is>
      </c>
      <c r="B18" s="388" t="n"/>
      <c r="C18" s="388" t="n"/>
      <c r="D18" s="388" t="n"/>
      <c r="E18" s="388" t="n"/>
      <c r="F18" s="388" t="n"/>
      <c r="G18" s="388" t="n"/>
      <c r="H18" s="388" t="n"/>
      <c r="I18" s="388" t="n"/>
      <c r="J18" s="388" t="n"/>
      <c r="K18" s="388" t="n"/>
      <c r="L18" s="388" t="n"/>
      <c r="M18" s="388" t="n"/>
      <c r="N18" s="388" t="n"/>
      <c r="O18" s="388" t="n"/>
      <c r="P18" s="388" t="n"/>
      <c r="Q18" s="388" t="n"/>
    </row>
    <row r="19">
      <c r="A19" s="391" t="inlineStr">
        <is>
          <t>FX04-01</t>
        </is>
      </c>
      <c r="B19" t="inlineStr">
        <is>
          <t>VFX-PLAYER-FLASHLIGHT-3D</t>
        </is>
      </c>
      <c r="C19" t="inlineStr">
        <is>
          <t>玩家真实探照灯组件3D</t>
        </is>
      </c>
      <c r="D19" t="inlineStr">
        <is>
          <t>assets/art/vfx/visibility_3d/vfx_player_flashlight_root_top3d.tscn</t>
        </is>
      </c>
      <c r="G19" t="inlineStr">
        <is>
          <t>玩家真实探照灯 Node3D 组件；2 SpotLight3D + 1 OmniLight3D 组合；3D 行动区/靶场/基地覆盖。</t>
        </is>
      </c>
      <c r="H19" t="inlineStr">
        <is>
          <t>src/player3d/PlayerFlashlight3D.gd</t>
        </is>
      </c>
      <c r="I19" t="inlineStr">
        <is>
          <t>无</t>
        </is>
      </c>
      <c r="J19" t="inlineStr">
        <is>
          <t>无</t>
        </is>
      </c>
      <c r="K19" t="inlineStr">
        <is>
          <t>无</t>
        </is>
      </c>
      <c r="L19" t="inlineStr">
        <is>
          <t>PackedScene/2 SpotLight3D+1 OmniLight3D</t>
        </is>
      </c>
      <c r="M19" t="inlineStr">
        <is>
          <t>未声明</t>
        </is>
      </c>
      <c r="N19" t="inlineStr">
        <is>
          <t>3D行动区/靶场/基地</t>
        </is>
      </c>
      <c r="O19" t="inlineStr">
        <is>
          <t>完成</t>
        </is>
      </c>
      <c r="P19" t="inlineStr">
        <is>
          <t>v001</t>
        </is>
      </c>
      <c r="Q19" t="inlineStr">
        <is>
          <t>已实装；命名待 14.6 §6 迁移时对齐（改名 VfxPlayerFlashlight3D + 移至 src/vfx/）</t>
        </is>
      </c>
    </row>
  </sheetData>
  <mergeCells count="2">
    <mergeCell ref="A2:Q2"/>
    <mergeCell ref="A1:Q1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特效账本变更日志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特效</t>
        </is>
      </c>
      <c r="E6" s="301" t="inlineStr">
        <is>
          <t>由单体账本《ShellStorm2_美术资产台账_v001.xlsx》按大类拆分而来；本账本接管大类=特效，条目内容逐格不变，仅登记位置变化。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2026-09-18T02:30:04Z</dcterms:created>
  <dcterms:modified xsi:type="dcterms:W3CDTF">2026-09-18T02:30:04Z</dcterms:modified>
</cp:coreProperties>
</file>