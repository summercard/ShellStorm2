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'资产主表'!$A$5:$Y$824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COUNTA(资产主表!$A$6:$A$824)</f>
        <v/>
      </c>
      <c r="B6" s="72" t="inlineStr"/>
      <c r="C6" s="74">
        <f>COUNTIF(资产主表!$K$6:$K$824,"已完成")+COUNTIF(资产主表!$K$6:$K$824,"原型已接入")+COUNTIF(资产主表!$K$6:$K$824,"正式美术已接入")+COUNTIF(资产主表!$K$6:$K$824,"已优化并正式接入")+COUNTIF(资产主表!$K$6:$K$824,"Blender源已完成")+COUNTIF(资产主表!$K$6:$K$824,"已导入；优化完成")+COUNTIF(资产主表!$K$6:$K$824,"白模源已完成；QA PASS")</f>
        <v/>
      </c>
      <c r="D6" s="72" t="inlineStr"/>
      <c r="E6" s="74">
        <f>COUNTIF(资产主表!$K$6:$K$824,"待制作")+COUNTIF(资产主表!$K$6:$K$824,"程序占位")</f>
        <v/>
      </c>
      <c r="F6" s="72" t="inlineStr"/>
      <c r="G6" s="74">
        <f>COUNTIF(资产主表!$S$6:$S$824,"重复")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COUNTIF(资产主表!$C$6:$C$824,A10)</f>
        <v/>
      </c>
      <c r="C10" s="79">
        <f>SUMPRODUCT((资产主表!$C$6:$C$824=A10)*((资产主表!$K$6:$K$824="已完成")+(资产主表!$K$6:$K$824="原型已接入")+(资产主表!$K$6:$K$824="正式美术已接入")+(资产主表!$K$6:$K$824="已优化并正式接入")+(资产主表!$K$6:$K$824="Blender源已完成")+(资产主表!$K$6:$K$824="已导入；优化完成")+(资产主表!$K$6:$K$824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COUNTIF(资产主表!$C$6:$C$824,A11)</f>
        <v/>
      </c>
      <c r="C11" s="79">
        <f>SUMPRODUCT((资产主表!$C$6:$C$824=A11)*((资产主表!$K$6:$K$824="已完成")+(资产主表!$K$6:$K$824="原型已接入")+(资产主表!$K$6:$K$824="正式美术已接入")+(资产主表!$K$6:$K$824="已优化并正式接入")+(资产主表!$K$6:$K$824="Blender源已完成")+(资产主表!$K$6:$K$824="已导入；优化完成")+(资产主表!$K$6:$K$824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COUNTIF(资产主表!$C$6:$C$824,A12)</f>
        <v/>
      </c>
      <c r="C12" s="79">
        <f>SUMPRODUCT((资产主表!$C$6:$C$824=A12)*((资产主表!$K$6:$K$824="已完成")+(资产主表!$K$6:$K$824="原型已接入")+(资产主表!$K$6:$K$824="正式美术已接入")+(资产主表!$K$6:$K$824="已优化并正式接入")+(资产主表!$K$6:$K$824="Blender源已完成")+(资产主表!$K$6:$K$824="已导入；优化完成")+(资产主表!$K$6:$K$824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IF(COUNTIF($R$6:$R$824,R6)&gt;1,"重复","唯一")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IF(COUNTIF($R$6:$R$824,R7)&gt;1,"重复","唯一")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IF(COUNTIF($R$6:$R$824,R8)&gt;1,"重复","唯一")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IF(COUNTIF($R$6:$R$824,R9)&gt;1,"重复","唯一")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IF(COUNTIF($R$6:$R$824,R10)&gt;1,"重复","唯一")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IF(COUNTIF($R$6:$R$824,R11)&gt;1,"重复","唯一")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IF(COUNTIF($R$6:$R$824,R12)&gt;1,"重复","唯一")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IF(COUNTIF($R$6:$R$824,R13)&gt;1,"重复","唯一")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IF(COUNTIF($R$6:$R$824,R14)&gt;1,"重复","唯一")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IF(COUNTIF($R$6:$R$824,R15)&gt;1,"重复","唯一")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IF(COUNTIF($R$6:$R$824,R16)&gt;1,"重复","唯一")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IF(COUNTIF($R$6:$R$824,R17)&gt;1,"重复","唯一")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IF(COUNTIF($R$6:$R$824,R18)&gt;1,"重复","唯一")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IF(COUNTIF($R$6:$R$824,R19)&gt;1,"重复","唯一")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IF(COUNTIF($R$6:$R$824,R20)&gt;1,"重复","唯一")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IF(COUNTIF($R$6:$R$824,R21)&gt;1,"重复","唯一")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IF(COUNTIF($R$6:$R$824,R22)&gt;1,"重复","唯一")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IF(COUNTIF($R$6:$R$824,R23)&gt;1,"重复","唯一")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IF(COUNTIF($R$6:$R$824,R24)&gt;1,"重复","唯一")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IF(COUNTIF($R$6:$R$824,R25)&gt;1,"重复","唯一")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IF(COUNTIF($R$6:$R$824,R26)&gt;1,"重复","唯一")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IF(COUNTIF($R$6:$R$824,R27)&gt;1,"重复","唯一")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IF(COUNTIF($R$6:$R$824,R28)&gt;1,"重复","唯一")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IF(COUNTIF($R$6:$R$824,R29)&gt;1,"重复","唯一")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IF(COUNTIF($R$6:$R$824,R30)&gt;1,"重复","唯一")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IF(COUNTIF($R$6:$R$824,R31)&gt;1,"重复","唯一")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IF(COUNTIF($R$6:$R$824,R32)&gt;1,"重复","唯一")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IF(COUNTIF($R$6:$R$824,R33)&gt;1,"重复","唯一")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IF(COUNTIF($R$6:$R$824,R34)&gt;1,"重复","唯一")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IF(COUNTIF($R$6:$R$824,R35)&gt;1,"重复","唯一")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IF(COUNTIF($R$6:$R$824,R36)&gt;1,"重复","唯一")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IF(COUNTIF($R$6:$R$824,R37)&gt;1,"重复","唯一")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IF(COUNTIF($R$6:$R$824,R38)&gt;1,"重复","唯一")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IF(COUNTIF($R$6:$R$824,R39)&gt;1,"重复","唯一")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IF(COUNTIF($R$6:$R$824,R40)&gt;1,"重复","唯一")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IF(COUNTIF($R$6:$R$824,R41)&gt;1,"重复","唯一")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IF(COUNTIF($R$6:$R$824,R42)&gt;1,"重复","唯一")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IF(COUNTIF($R$6:$R$824,R43)&gt;1,"重复","唯一")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IF(COUNTIF($R$6:$R$824,R44)&gt;1,"重复","唯一")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IF(COUNTIF($R$6:$R$824,R45)&gt;1,"重复","唯一")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IF(COUNTIF($R$6:$R$824,R46)&gt;1,"重复","唯一")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IF(COUNTIF($R$6:$R$824,R47)&gt;1,"重复","唯一")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IF(COUNTIF($R$6:$R$824,R48)&gt;1,"重复","唯一")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IF(COUNTIF($R$6:$R$824,R49)&gt;1,"重复","唯一")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IF(COUNTIF($R$6:$R$824,R50)&gt;1,"重复","唯一")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IF(COUNTIF($R$6:$R$824,R51)&gt;1,"重复","唯一")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IF(COUNTIF($R$6:$R$824,R52)&gt;1,"重复","唯一")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IF(COUNTIF($R$6:$R$824,R53)&gt;1,"重复","唯一")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IF(COUNTIF($R$6:$R$824,R54)&gt;1,"重复","唯一")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IF(COUNTIF($R$6:$R$824,R55)&gt;1,"重复","唯一")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IF(COUNTIF($R$6:$R$824,R56)&gt;1,"重复","唯一")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IF(COUNTIF($R$6:$R$824,R57)&gt;1,"重复","唯一")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IF(COUNTIF($R$6:$R$824,R58)&gt;1,"重复","唯一")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IF(COUNTIF($R$6:$R$824,R59)&gt;1,"重复","唯一")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IF(COUNTIF($R$6:$R$824,R60)&gt;1,"重复","唯一")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IF(COUNTIF($R$6:$R$824,R61)&gt;1,"重复","唯一")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IF(COUNTIF($R$6:$R$824,R62)&gt;1,"重复","唯一")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IF(COUNTIF($R$6:$R$824,R63)&gt;1,"重复","唯一")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IF(COUNTIF($R$6:$R$824,R64)&gt;1,"重复","唯一")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IF(COUNTIF($R$6:$R$824,R65)&gt;1,"重复","唯一")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IF(COUNTIF($R$6:$R$824,R66)&gt;1,"重复","唯一")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IF(COUNTIF($R$6:$R$824,R67)&gt;1,"重复","唯一")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IF(COUNTIF($R$6:$R$824,R68)&gt;1,"重复","唯一")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IF(COUNTIF($R$6:$R$824,R69)&gt;1,"重复","唯一")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IF(COUNTIF($R$6:$R$824,R70)&gt;1,"重复","唯一")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IF(COUNTIF($R$6:$R$824,R71)&gt;1,"重复","唯一")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IF(COUNTIF($R$6:$R$824,R72)&gt;1,"重复","唯一")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IF(COUNTIF($R$6:$R$824,R73)&gt;1,"重复","唯一")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IF(COUNTIF($R$6:$R$824,R74)&gt;1,"重复","唯一")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IF(COUNTIF($R$6:$R$824,R75)&gt;1,"重复","唯一")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IF(COUNTIF($R$6:$R$824,R76)&gt;1,"重复","唯一")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IF(COUNTIF($R$6:$R$824,R77)&gt;1,"重复","唯一")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IF(COUNTIF($R$6:$R$824,R78)&gt;1,"重复","唯一")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IF(COUNTIF($R$6:$R$824,R79)&gt;1,"重复","唯一")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IF(COUNTIF($R$6:$R$824,R80)&gt;1,"重复","唯一")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IF(COUNTIF($R$6:$R$824,R81)&gt;1,"重复","唯一")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IF(COUNTIF($R$6:$R$824,R82)&gt;1,"重复","唯一")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IF(COUNTIF($R$6:$R$824,R83)&gt;1,"重复","唯一")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IF(COUNTIF($R$6:$R$824,R84)&gt;1,"重复","唯一")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IF(COUNTIF($R$6:$R$824,R85)&gt;1,"重复","唯一")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IF(COUNTIF($R$6:$R$824,R86)&gt;1,"重复","唯一")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IF(COUNTIF($R$6:$R$824,R87)&gt;1,"重复","唯一")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IF(COUNTIF($R$6:$R$824,R88)&gt;1,"重复","唯一")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IF(COUNTIF($R$6:$R$824,R89)&gt;1,"重复","唯一")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IF(COUNTIF($R$6:$R$824,R90)&gt;1,"重复","唯一")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IF(COUNTIF($R$6:$R$824,R91)&gt;1,"重复","唯一")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IF(COUNTIF($R$6:$R$824,R92)&gt;1,"重复","唯一")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IF(COUNTIF($R$6:$R$824,R93)&gt;1,"重复","唯一")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IF(COUNTIF($R$6:$R$824,R94)&gt;1,"重复","唯一")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IF(COUNTIF($R$6:$R$824,R95)&gt;1,"重复","唯一")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IF(COUNTIF($R$6:$R$824,R96)&gt;1,"重复","唯一")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IF(COUNTIF($R$6:$R$824,R97)&gt;1,"重复","唯一")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IF(COUNTIF($R$6:$R$824,R98)&gt;1,"重复","唯一")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IF(COUNTIF($R$6:$R$824,R99)&gt;1,"重复","唯一")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IF(COUNTIF($R$6:$R$824,R100)&gt;1,"重复","唯一")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IF(COUNTIF($R$6:$R$824,R101)&gt;1,"重复","唯一")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IF(COUNTIF($R$6:$R$824,R102)&gt;1,"重复","唯一")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IF(COUNTIF($R$6:$R$824,R103)&gt;1,"重复","唯一")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IF(COUNTIF($R$6:$R$824,R104)&gt;1,"重复","唯一")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IF(COUNTIF($R$6:$R$824,R105)&gt;1,"重复","唯一")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IF(COUNTIF($R$6:$R$824,R106)&gt;1,"重复","唯一")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IF(COUNTIF($R$6:$R$824,R107)&gt;1,"重复","唯一")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IF(COUNTIF($R$6:$R$824,R108)&gt;1,"重复","唯一")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IF(COUNTIF($R$6:$R$824,R109)&gt;1,"重复","唯一")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IF(COUNTIF($R$6:$R$824,R110)&gt;1,"重复","唯一")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IF(COUNTIF($R$6:$R$824,R111)&gt;1,"重复","唯一")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IF(COUNTIF($R$6:$R$824,R112)&gt;1,"重复","唯一")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IF(COUNTIF($R$6:$R$824,R113)&gt;1,"重复","唯一")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IF(COUNTIF($R$6:$R$824,R114)&gt;1,"重复","唯一")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IF(COUNTIF($R$6:$R$824,R115)&gt;1,"重复","唯一")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IF(COUNTIF($R$6:$R$824,R116)&gt;1,"重复","唯一")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IF(COUNTIF($R$6:$R$824,R117)&gt;1,"重复","唯一")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IF(COUNTIF($R$6:$R$824,R118)&gt;1,"重复","唯一")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IF(COUNTIF($R$6:$R$824,R119)&gt;1,"重复","唯一")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IF(COUNTIF($R$6:$R$824,R120)&gt;1,"重复","唯一")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IF(COUNTIF($R$6:$R$824,R121)&gt;1,"重复","唯一")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IF(COUNTIF($R$6:$R$824,R122)&gt;1,"重复","唯一")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IF(COUNTIF($R$6:$R$824,R123)&gt;1,"重复","唯一")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IF(COUNTIF($R$6:$R$824,R124)&gt;1,"重复","唯一")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IF(COUNTIF($R$6:$R$824,R125)&gt;1,"重复","唯一")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IF(COUNTIF($R$6:$R$824,R126)&gt;1,"重复","唯一")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IF(COUNTIF($R$6:$R$824,R127)&gt;1,"重复","唯一")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IF(COUNTIF($R$6:$R$824,R128)&gt;1,"重复","唯一")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IF(COUNTIF($R$6:$R$824,R129)&gt;1,"重复","唯一")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IF(COUNTIF($R$6:$R$824,R130)&gt;1,"重复","唯一")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IF(COUNTIF($R$6:$R$824,R131)&gt;1,"重复","唯一")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IF(COUNTIF($R$6:$R$824,R132)&gt;1,"重复","唯一")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IF(COUNTIF($R$6:$R$824,R133)&gt;1,"重复","唯一")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IF(COUNTIF($R$6:$R$824,R134)&gt;1,"重复","唯一")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IF(COUNTIF($R$6:$R$824,R135)&gt;1,"重复","唯一")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IF(COUNTIF($R$6:$R$824,R136)&gt;1,"重复","唯一")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IF(COUNTIF($R$6:$R$824,R137)&gt;1,"重复","唯一")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IF(COUNTIF($R$6:$R$824,R138)&gt;1,"重复","唯一")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IF(COUNTIF($R$6:$R$824,R139)&gt;1,"重复","唯一")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IF(COUNTIF($R$6:$R$824,R140)&gt;1,"重复","唯一")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IF(COUNTIF($R$6:$R$824,R141)&gt;1,"重复","唯一")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IF(COUNTIF($R$6:$R$824,R142)&gt;1,"重复","唯一")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IF(COUNTIF($R$6:$R$824,R143)&gt;1,"重复","唯一")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IF(COUNTIF($R$6:$R$824,R144)&gt;1,"重复","唯一")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IF(COUNTIF($R$6:$R$824,R145)&gt;1,"重复","唯一")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IF(COUNTIF($R$6:$R$824,R146)&gt;1,"重复","唯一")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IF(COUNTIF($R$6:$R$824,R147)&gt;1,"重复","唯一")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IF(COUNTIF($R$6:$R$824,R148)&gt;1,"重复","唯一")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IF(COUNTIF($R$6:$R$824,R149)&gt;1,"重复","唯一")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IF(COUNTIF($R$6:$R$824,R150)&gt;1,"重复","唯一")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IF(COUNTIF($R$6:$R$824,R151)&gt;1,"重复","唯一")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IF(COUNTIF($R$6:$R$824,R152)&gt;1,"重复","唯一")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IF(COUNTIF($R$6:$R$824,R153)&gt;1,"重复","唯一")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IF(COUNTIF($R$6:$R$824,R154)&gt;1,"重复","唯一")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IF(COUNTIF($R$6:$R$824,R155)&gt;1,"重复","唯一")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IF(COUNTIF($R$6:$R$824,R156)&gt;1,"重复","唯一")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IF(COUNTIF($R$6:$R$824,R157)&gt;1,"重复","唯一")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IF(COUNTIF($R$6:$R$824,R158)&gt;1,"重复","唯一")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IF(COUNTIF($R$6:$R$824,R159)&gt;1,"重复","唯一")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IF(COUNTIF($R$6:$R$824,R160)&gt;1,"重复","唯一")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IF(COUNTIF($R$6:$R$824,R161)&gt;1,"重复","唯一")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IF(COUNTIF($R$6:$R$824,R162)&gt;1,"重复","唯一")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IF(COUNTIF($R$6:$R$824,R163)&gt;1,"重复","唯一")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IF(COUNTIF($R$6:$R$824,R164)&gt;1,"重复","唯一")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IF(COUNTIF($R$6:$R$824,R165)&gt;1,"重复","唯一")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IF(COUNTIF($R$6:$R$824,R166)&gt;1,"重复","唯一")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IF(COUNTIF($R$6:$R$824,R167)&gt;1,"重复","唯一")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IF(COUNTIF($R$6:$R$824,R168)&gt;1,"重复","唯一")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IF(COUNTIF($R$6:$R$824,R169)&gt;1,"重复","唯一")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IF(COUNTIF($R$6:$R$824,R170)&gt;1,"重复","唯一")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IF(COUNTIF($R$6:$R$824,R171)&gt;1,"重复","唯一")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IF(COUNTIF($R$6:$R$824,R172)&gt;1,"重复","唯一")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IF(COUNTIF($R$6:$R$824,R173)&gt;1,"重复","唯一")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IF(COUNTIF($R$6:$R$824,R174)&gt;1,"重复","唯一")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IF(COUNTIF($R$6:$R$824,R175)&gt;1,"重复","唯一")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IF(COUNTIF($R$6:$R$824,R176)&gt;1,"重复","唯一")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IF(COUNTIF($R$6:$R$824,R177)&gt;1,"重复","唯一")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IF(COUNTIF($R$6:$R$824,R178)&gt;1,"重复","唯一")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IF(COUNTIF($R$6:$R$824,R179)&gt;1,"重复","唯一")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IF(COUNTIF($R$6:$R$824,R180)&gt;1,"重复","唯一")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IF(COUNTIF($R$6:$R$824,R181)&gt;1,"重复","唯一")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IF(COUNTIF($R$6:$R$824,R182)&gt;1,"重复","唯一")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IF(COUNTIF($R$6:$R$824,R183)&gt;1,"重复","唯一")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IF(COUNTIF($R$6:$R$824,R184)&gt;1,"重复","唯一")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IF(COUNTIF($R$6:$R$824,R185)&gt;1,"重复","唯一")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IF(COUNTIF($R$6:$R$824,R186)&gt;1,"重复","唯一")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IF(COUNTIF($R$6:$R$824,R187)&gt;1,"重复","唯一")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IF(COUNTIF($R$6:$R$824,R188)&gt;1,"重复","唯一")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IF(COUNTIF($R$6:$R$824,R189)&gt;1,"重复","唯一")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IF(COUNTIF($R$6:$R$824,R190)&gt;1,"重复","唯一")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IF(COUNTIF($R$6:$R$824,R191)&gt;1,"重复","唯一")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IF(COUNTIF($R$6:$R$824,R192)&gt;1,"重复","唯一")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IF(COUNTIF($R$6:$R$824,R193)&gt;1,"重复","唯一")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IF(COUNTIF($R$6:$R$824,R194)&gt;1,"重复","唯一")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IF(COUNTIF($R$6:$R$824,R195)&gt;1,"重复","唯一")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IF(COUNTIF($R$6:$R$824,R196)&gt;1,"重复","唯一")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IF(COUNTIF($R$6:$R$824,R197)&gt;1,"重复","唯一")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IF(COUNTIF($R$6:$R$824,R198)&gt;1,"重复","唯一")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IF(COUNTIF($R$6:$R$824,R199)&gt;1,"重复","唯一")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IF(COUNTIF($R$6:$R$824,R200)&gt;1,"重复","唯一")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IF(COUNTIF($R$6:$R$824,R201)&gt;1,"重复","唯一")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IF(COUNTIF($R$6:$R$824,R202)&gt;1,"重复","唯一")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IF(COUNTIF($R$6:$R$824,R203)&gt;1,"重复","唯一")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IF(COUNTIF($R$6:$R$824,R204)&gt;1,"重复","唯一")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IF(COUNTIF($R$6:$R$824,R205)&gt;1,"重复","唯一")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IF(COUNTIF($R$6:$R$824,R206)&gt;1,"重复","唯一")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IF(COUNTIF($R$6:$R$824,R207)&gt;1,"重复","唯一")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IF(COUNTIF($R$6:$R$824,R208)&gt;1,"重复","唯一")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IF(COUNTIF($R$6:$R$824,R209)&gt;1,"重复","唯一")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IF(COUNTIF($R$6:$R$824,R210)&gt;1,"重复","唯一")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IF(COUNTIF($R$6:$R$824,R211)&gt;1,"重复","唯一")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IF(COUNTIF($R$6:$R$824,R212)&gt;1,"重复","唯一")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IF(COUNTIF($R$6:$R$824,R213)&gt;1,"重复","唯一")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IF(COUNTIF($R$6:$R$824,R214)&gt;1,"重复","唯一")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IF(COUNTIF($R$6:$R$824,R215)&gt;1,"重复","唯一")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IF(COUNTIF($R$6:$R$824,R216)&gt;1,"重复","唯一")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IF(COUNTIF($R$6:$R$824,R217)&gt;1,"重复","唯一")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IF(COUNTIF($R$6:$R$824,R218)&gt;1,"重复","唯一")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IF(COUNTIF($R$6:$R$824,R219)&gt;1,"重复","唯一")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IF(COUNTIF($R$6:$R$824,R220)&gt;1,"重复","唯一")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IF(COUNTIF($R$6:$R$824,R221)&gt;1,"重复","唯一")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IF(COUNTIF($R$6:$R$824,R222)&gt;1,"重复","唯一")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IF(COUNTIF($R$6:$R$824,R223)&gt;1,"重复","唯一")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IF(COUNTIF($R$6:$R$824,R224)&gt;1,"重复","唯一")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IF(COUNTIF($R$6:$R$824,R225)&gt;1,"重复","唯一")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IF(COUNTIF($R$6:$R$824,R226)&gt;1,"重复","唯一")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IF(COUNTIF($R$6:$R$824,R227)&gt;1,"重复","唯一")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IF(COUNTIF($R$6:$R$824,R228)&gt;1,"重复","唯一")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IF(COUNTIF($R$6:$R$824,R229)&gt;1,"重复","唯一")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IF(COUNTIF($R$6:$R$824,R230)&gt;1,"重复","唯一")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IF(COUNTIF($R$6:$R$824,R231)&gt;1,"重复","唯一")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IF(COUNTIF($R$6:$R$824,R232)&gt;1,"重复","唯一")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IF(COUNTIF($R$6:$R$824,R233)&gt;1,"重复","唯一")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IF(COUNTIF($R$6:$R$824,R234)&gt;1,"重复","唯一")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IF(COUNTIF($R$6:$R$824,R235)&gt;1,"重复","唯一")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IF(COUNTIF($R$6:$R$824,R236)&gt;1,"重复","唯一")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IF(COUNTIF($R$6:$R$824,R237)&gt;1,"重复","唯一")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IF(COUNTIF($R$6:$R$824,R238)&gt;1,"重复","唯一")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IF(COUNTIF($R$6:$R$824,R239)&gt;1,"重复","唯一")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IF(COUNTIF($R$6:$R$824,R240)&gt;1,"重复","唯一")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IF(COUNTIF($R$6:$R$824,R241)&gt;1,"重复","唯一")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IF(COUNTIF($R$6:$R$824,R242)&gt;1,"重复","唯一")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IF(COUNTIF($R$6:$R$824,R243)&gt;1,"重复","唯一")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IF(COUNTIF($R$6:$R$824,R244)&gt;1,"重复","唯一")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IF(COUNTIF($R$6:$R$824,R245)&gt;1,"重复","唯一")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IF(COUNTIF($R$6:$R$824,R246)&gt;1,"重复","唯一")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IF(COUNTIF($R$6:$R$824,R247)&gt;1,"重复","唯一")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IF(COUNTIF($R$6:$R$824,R248)&gt;1,"重复","唯一")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IF(COUNTIF($R$6:$R$824,R249)&gt;1,"重复","唯一")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IF(COUNTIF($R$6:$R$824,R250)&gt;1,"重复","唯一")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IF(COUNTIF($R$6:$R$824,R251)&gt;1,"重复","唯一")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IF(COUNTIF($R$6:$R$824,R252)&gt;1,"重复","唯一")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IF(COUNTIF($R$6:$R$824,R253)&gt;1,"重复","唯一")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IF(COUNTIF($R$6:$R$824,R254)&gt;1,"重复","唯一")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IF(COUNTIF($R$6:$R$824,R255)&gt;1,"重复","唯一")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IF(COUNTIF($R$6:$R$824,R256)&gt;1,"重复","唯一")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IF(COUNTIF($R$6:$R$824,R257)&gt;1,"重复","唯一")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IF(COUNTIF($R$6:$R$824,R258)&gt;1,"重复","唯一")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IF(COUNTIF($R$6:$R$824,R259)&gt;1,"重复","唯一")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IF(COUNTIF($R$6:$R$824,R260)&gt;1,"重复","唯一")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IF(COUNTIF($R$6:$R$824,R261)&gt;1,"重复","唯一")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IF(COUNTIF($R$6:$R$824,R262)&gt;1,"重复","唯一")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IF(COUNTIF($R$6:$R$824,R263)&gt;1,"重复","唯一")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IF(COUNTIF($R$6:$R$824,R264)&gt;1,"重复","唯一")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IF(COUNTIF($R$6:$R$824,R265)&gt;1,"重复","唯一")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IF(COUNTIF($R$6:$R$824,R266)&gt;1,"重复","唯一")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IF(COUNTIF($R$6:$R$824,R267)&gt;1,"重复","唯一")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IF(COUNTIF($R$6:$R$824,R268)&gt;1,"重复","唯一")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IF(COUNTIF($R$6:$R$824,R269)&gt;1,"重复","唯一")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IF(COUNTIF($R$6:$R$824,R270)&gt;1,"重复","唯一")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IF(COUNTIF($R$6:$R$824,R271)&gt;1,"重复","唯一")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IF(COUNTIF($R$6:$R$824,R272)&gt;1,"重复","唯一")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IF(COUNTIF($R$6:$R$824,R273)&gt;1,"重复","唯一")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IF(COUNTIF($R$6:$R$824,R274)&gt;1,"重复","唯一")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IF(COUNTIF($R$6:$R$824,R275)&gt;1,"重复","唯一")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IF(COUNTIF($R$6:$R$824,R276)&gt;1,"重复","唯一")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IF(COUNTIF($R$6:$R$824,R277)&gt;1,"重复","唯一")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IF(COUNTIF($R$6:$R$824,R278)&gt;1,"重复","唯一")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IF(COUNTIF($R$6:$R$824,R279)&gt;1,"重复","唯一")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IF(COUNTIF($R$6:$R$824,R280)&gt;1,"重复","唯一")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IF(COUNTIF($R$6:$R$824,R281)&gt;1,"重复","唯一")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IF(COUNTIF($R$6:$R$824,R282)&gt;1,"重复","唯一")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IF(COUNTIF($R$6:$R$824,R283)&gt;1,"重复","唯一")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IF(COUNTIF($R$6:$R$824,R284)&gt;1,"重复","唯一")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IF(COUNTIF($R$6:$R$824,R285)&gt;1,"重复","唯一")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IF(COUNTIF($R$6:$R$824,R286)&gt;1,"重复","唯一")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IF(COUNTIF($R$6:$R$824,R287)&gt;1,"重复","唯一")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IF(COUNTIF($R$6:$R$824,R288)&gt;1,"重复","唯一")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IF(COUNTIF($R$6:$R$824,R289)&gt;1,"重复","唯一")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IF(COUNTIF($R$6:$R$824,R290)&gt;1,"重复","唯一")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IF(COUNTIF($R$6:$R$824,R291)&gt;1,"重复","唯一")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IF(COUNTIF($R$6:$R$824,R292)&gt;1,"重复","唯一")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IF(COUNTIF($R$6:$R$824,R293)&gt;1,"重复","唯一")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IF(COUNTIF($R$6:$R$824,R294)&gt;1,"重复","唯一")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IF(COUNTIF($R$6:$R$824,R295)&gt;1,"重复","唯一")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IF(COUNTIF($R$6:$R$824,R296)&gt;1,"重复","唯一")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IF(COUNTIF($R$6:$R$824,R297)&gt;1,"重复","唯一")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IF(COUNTIF($R$6:$R$824,R298)&gt;1,"重复","唯一")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IF(COUNTIF($R$6:$R$824,R299)&gt;1,"重复","唯一")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IF(COUNTIF($R$6:$R$824,R300)&gt;1,"重复","唯一")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IF(COUNTIF($R$6:$R$824,R301)&gt;1,"重复","唯一")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IF(COUNTIF($R$6:$R$824,R302)&gt;1,"重复","唯一")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IF(COUNTIF($R$6:$R$824,R303)&gt;1,"重复","唯一")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IF(COUNTIF($R$6:$R$824,R304)&gt;1,"重复","唯一")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IF(COUNTIF($R$6:$R$824,R305)&gt;1,"重复","唯一")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IF(COUNTIF($R$6:$R$824,R306)&gt;1,"重复","唯一")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IF(COUNTIF($R$6:$R$824,R307)&gt;1,"重复","唯一")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IF(COUNTIF($R$6:$R$824,R308)&gt;1,"重复","唯一")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IF(COUNTIF($R$6:$R$824,R309)&gt;1,"重复","唯一")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IF(COUNTIF($R$6:$R$824,R310)&gt;1,"重复","唯一")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IF(COUNTIF($R$6:$R$824,R311)&gt;1,"重复","唯一")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IF(COUNTIF($R$6:$R$824,R312)&gt;1,"重复","唯一")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IF(COUNTIF($R$6:$R$824,R313)&gt;1,"重复","唯一")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IF(COUNTIF($R$6:$R$824,R314)&gt;1,"重复","唯一")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IF(COUNTIF($R$6:$R$824,R315)&gt;1,"重复","唯一")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IF(COUNTIF($R$6:$R$824,R316)&gt;1,"重复","唯一")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IF(COUNTIF($R$6:$R$824,R317)&gt;1,"重复","唯一")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IF(COUNTIF($R$6:$R$824,R318)&gt;1,"重复","唯一")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IF(COUNTIF($R$6:$R$824,R319)&gt;1,"重复","唯一")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IF(COUNTIF($R$6:$R$824,R320)&gt;1,"重复","唯一")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IF(COUNTIF($R$6:$R$824,R321)&gt;1,"重复","唯一")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IF(COUNTIF($R$6:$R$824,R322)&gt;1,"重复","唯一")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IF(COUNTIF($R$6:$R$824,R323)&gt;1,"重复","唯一")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IF(COUNTIF($R$6:$R$824,R324)&gt;1,"重复","唯一")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IF(COUNTIF($R$6:$R$824,R325)&gt;1,"重复","唯一")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IF(COUNTIF($R$6:$R$824,R326)&gt;1,"重复","唯一")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IF(COUNTIF($R$6:$R$824,R327)&gt;1,"重复","唯一")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IF(COUNTIF($R$6:$R$824,R328)&gt;1,"重复","唯一")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IF(COUNTIF($R$6:$R$824,R329)&gt;1,"重复","唯一")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IF(COUNTIF($R$6:$R$824,R330)&gt;1,"重复","唯一")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IF(COUNTIF($R$6:$R$824,R331)&gt;1,"重复","唯一")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IF(COUNTIF($R$6:$R$824,R332)&gt;1,"重复","唯一")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IF(COUNTIF($R$6:$R$824,R333)&gt;1,"重复","唯一")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IF(COUNTIF($R$6:$R$824,R334)&gt;1,"重复","唯一")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IF(COUNTIF($R$6:$R$824,R335)&gt;1,"重复","唯一")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IF(COUNTIF($R$6:$R$824,R336)&gt;1,"重复","唯一")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IF(COUNTIF($R$6:$R$824,R337)&gt;1,"重复","唯一")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IF(COUNTIF($R$6:$R$824,R338)&gt;1,"重复","唯一")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IF(COUNTIF($R$6:$R$824,R339)&gt;1,"重复","唯一")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IF(COUNTIF($R$6:$R$824,R340)&gt;1,"重复","唯一")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IF(COUNTIF($R$6:$R$824,R341)&gt;1,"重复","唯一")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IF(COUNTIF($R$6:$R$824,R342)&gt;1,"重复","唯一")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IF(COUNTIF($R$6:$R$824,R343)&gt;1,"重复","唯一")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IF(COUNTIF($R$6:$R$824,R344)&gt;1,"重复","唯一")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IF(COUNTIF($R$6:$R$824,R345)&gt;1,"重复","唯一")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IF(COUNTIF($R$6:$R$824,R346)&gt;1,"重复","唯一")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IF(COUNTIF($R$6:$R$824,R347)&gt;1,"重复","唯一")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IF(COUNTIF($R$6:$R$824,R348)&gt;1,"重复","唯一")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IF(COUNTIF($R$6:$R$824,R349)&gt;1,"重复","唯一")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IF(COUNTIF($R$6:$R$824,R350)&gt;1,"重复","唯一")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IF(COUNTIF($R$6:$R$824,R351)&gt;1,"重复","唯一")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IF(COUNTIF($R$6:$R$824,R352)&gt;1,"重复","唯一")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IF(COUNTIF($R$6:$R$824,R353)&gt;1,"重复","唯一")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IF(COUNTIF($R$6:$R$824,R354)&gt;1,"重复","唯一")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IF(COUNTIF($R$6:$R$824,R355)&gt;1,"重复","唯一")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IF(COUNTIF($R$6:$R$824,R356)&gt;1,"重复","唯一")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IF(COUNTIF($R$6:$R$824,R357)&gt;1,"重复","唯一")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IF(COUNTIF($R$6:$R$824,R358)&gt;1,"重复","唯一")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IF(COUNTIF($R$6:$R$824,R359)&gt;1,"重复","唯一")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IF(COUNTIF($R$6:$R$824,R360)&gt;1,"重复","唯一")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IF(COUNTIF($R$6:$R$824,R361)&gt;1,"重复","唯一")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IF(COUNTIF($R$6:$R$824,R362)&gt;1,"重复","唯一")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IF(COUNTIF($R$6:$R$824,R363)&gt;1,"重复","唯一")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IF(COUNTIF($R$6:$R$824,R364)&gt;1,"重复","唯一")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IF(COUNTIF($R$6:$R$824,R365)&gt;1,"重复","唯一")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IF(COUNTIF($R$6:$R$824,R366)&gt;1,"重复","唯一")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IF(COUNTIF($R$6:$R$824,R367)&gt;1,"重复","唯一")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IF(COUNTIF($R$6:$R$824,R368)&gt;1,"重复","唯一")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IF(COUNTIF($R$6:$R$824,R369)&gt;1,"重复","唯一")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IF(COUNTIF($R$6:$R$824,R370)&gt;1,"重复","唯一")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IF(COUNTIF($R$6:$R$824,R371)&gt;1,"重复","唯一")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IF(COUNTIF($R$6:$R$824,R372)&gt;1,"重复","唯一")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IF(COUNTIF($R$6:$R$824,R373)&gt;1,"重复","唯一")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IF(COUNTIF($R$6:$R$824,R374)&gt;1,"重复","唯一")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IF(COUNTIF($R$6:$R$824,R375)&gt;1,"重复","唯一")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IF(COUNTIF($R$6:$R$824,R376)&gt;1,"重复","唯一")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IF(COUNTIF($R$6:$R$824,R377)&gt;1,"重复","唯一")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IF(COUNTIF($R$6:$R$824,R378)&gt;1,"重复","唯一")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IF(COUNTIF($R$6:$R$824,R379)&gt;1,"重复","唯一")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IF(COUNTIF($R$6:$R$824,R380)&gt;1,"重复","唯一")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IF(COUNTIF($R$6:$R$824,R381)&gt;1,"重复","唯一")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IF(COUNTIF($R$6:$R$824,R382)&gt;1,"重复","唯一")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IF(COUNTIF($R$6:$R$824,R383)&gt;1,"重复","唯一")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IF(COUNTIF($R$6:$R$824,R384)&gt;1,"重复","唯一")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IF(COUNTIF($R$6:$R$824,R385)&gt;1,"重复","唯一")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IF(COUNTIF($R$6:$R$824,R386)&gt;1,"重复","唯一")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IF(COUNTIF($R$6:$R$824,R387)&gt;1,"重复","唯一")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IF(COUNTIF($R$6:$R$824,R388)&gt;1,"重复","唯一")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IF(COUNTIF($R$6:$R$824,R389)&gt;1,"重复","唯一")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IF(COUNTIF($R$6:$R$824,R390)&gt;1,"重复","唯一")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IF(COUNTIF($R$6:$R$824,R391)&gt;1,"重复","唯一")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IF(COUNTIF($R$6:$R$824,R392)&gt;1,"重复","唯一")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IF(COUNTIF($R$6:$R$824,R393)&gt;1,"重复","唯一")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IF(COUNTIF($R$6:$R$824,R394)&gt;1,"重复","唯一")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IF(COUNTIF($R$6:$R$824,R395)&gt;1,"重复","唯一")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IF(COUNTIF($R$6:$R$824,R396)&gt;1,"重复","唯一")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IF(COUNTIF($R$6:$R$824,R397)&gt;1,"重复","唯一")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IF(COUNTIF($R$6:$R$824,R398)&gt;1,"重复","唯一")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IF(COUNTIF($R$6:$R$824,R399)&gt;1,"重复","唯一")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IF(COUNTIF($R$6:$R$824,R400)&gt;1,"重复","唯一")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IF(COUNTIF($R$6:$R$824,R401)&gt;1,"重复","唯一")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IF(COUNTIF($R$6:$R$824,R402)&gt;1,"重复","唯一")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IF(COUNTIF($R$6:$R$824,R403)&gt;1,"重复","唯一")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IF(COUNTIF($R$6:$R$824,R404)&gt;1,"重复","唯一")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IF(COUNTIF($R$6:$R$824,R405)&gt;1,"重复","唯一")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IF(COUNTIF($R$6:$R$824,R406)&gt;1,"重复","唯一")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IF(COUNTIF($R$6:$R$824,R407)&gt;1,"重复","唯一")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IF(COUNTIF($R$6:$R$824,R408)&gt;1,"重复","唯一")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IF(COUNTIF($R$6:$R$824,R409)&gt;1,"重复","唯一")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IF(COUNTIF($R$6:$R$824,R410)&gt;1,"重复","唯一")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IF(COUNTIF($R$6:$R$824,R411)&gt;1,"重复","唯一")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IF(COUNTIF($R$6:$R$824,R412)&gt;1,"重复","唯一")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IF(COUNTIF($R$6:$R$824,R413)&gt;1,"重复","唯一")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IF(COUNTIF($R$6:$R$824,R414)&gt;1,"重复","唯一")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IF(COUNTIF($R$6:$R$824,R415)&gt;1,"重复","唯一")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IF(COUNTIF($R$6:$R$824,R416)&gt;1,"重复","唯一")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IF(COUNTIF($R$6:$R$824,R417)&gt;1,"重复","唯一")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IF(COUNTIF($R$6:$R$824,R418)&gt;1,"重复","唯一")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IF(COUNTIF($R$6:$R$824,R419)&gt;1,"重复","唯一")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IF(COUNTIF($R$6:$R$824,R420)&gt;1,"重复","唯一")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IF(COUNTIF($R$6:$R$824,R421)&gt;1,"重复","唯一")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IF(COUNTIF($R$6:$R$824,R422)&gt;1,"重复","唯一")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IF(COUNTIF($R$6:$R$824,R423)&gt;1,"重复","唯一")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IF(COUNTIF($R$6:$R$824,R424)&gt;1,"重复","唯一")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IF(COUNTIF($R$6:$R$824,R425)&gt;1,"重复","唯一")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IF(COUNTIF($R$6:$R$824,R426)&gt;1,"重复","唯一")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IF(COUNTIF($R$6:$R$824,R427)&gt;1,"重复","唯一")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IF(COUNTIF($R$6:$R$824,R428)&gt;1,"重复","唯一")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IF(COUNTIF($R$6:$R$824,R429)&gt;1,"重复","唯一")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IF(COUNTIF($R$6:$R$824,R430)&gt;1,"重复","唯一")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IF(COUNTIF($R$6:$R$824,R431)&gt;1,"重复","唯一")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IF(COUNTIF($R$6:$R$824,R432)&gt;1,"重复","唯一")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IF(COUNTIF($R$6:$R$824,R433)&gt;1,"重复","唯一")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IF(COUNTIF($R$6:$R$824,R434)&gt;1,"重复","唯一")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IF(COUNTIF($R$6:$R$824,R435)&gt;1,"重复","唯一")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IF(COUNTIF($R$6:$R$824,R436)&gt;1,"重复","唯一")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IF(COUNTIF($R$6:$R$824,R437)&gt;1,"重复","唯一")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IF(COUNTIF($R$6:$R$824,R438)&gt;1,"重复","唯一")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IF(COUNTIF($R$6:$R$824,R439)&gt;1,"重复","唯一")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IF(COUNTIF($R$6:$R$824,R440)&gt;1,"重复","唯一")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IF(COUNTIF($R$6:$R$824,R441)&gt;1,"重复","唯一")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IF(COUNTIF($R$6:$R$824,R442)&gt;1,"重复","唯一")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IF(COUNTIF($R$6:$R$824,R443)&gt;1,"重复","唯一")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IF(COUNTIF($R$6:$R$824,R444)&gt;1,"重复","唯一")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IF(COUNTIF($R$6:$R$824,R445)&gt;1,"重复","唯一")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IF(COUNTIF($R$6:$R$824,R446)&gt;1,"重复","唯一")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IF(COUNTIF($R$6:$R$824,R447)&gt;1,"重复","唯一")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IF(COUNTIF($R$6:$R$824,R448)&gt;1,"重复","唯一")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IF(COUNTIF($R$6:$R$824,R449)&gt;1,"重复","唯一")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IF(COUNTIF($R$6:$R$824,R450)&gt;1,"重复","唯一")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IF(COUNTIF($R$6:$R$824,R451)&gt;1,"重复","唯一")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IF(COUNTIF($R$6:$R$824,R452)&gt;1,"重复","唯一")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IF(COUNTIF($R$6:$R$824,R453)&gt;1,"重复","唯一")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IF(COUNTIF($R$6:$R$824,R454)&gt;1,"重复","唯一")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IF(COUNTIF($R$6:$R$824,R455)&gt;1,"重复","唯一")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IF(COUNTIF($R$6:$R$824,R456)&gt;1,"重复","唯一")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IF(COUNTIF($R$6:$R$824,R457)&gt;1,"重复","唯一")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IF(COUNTIF($R$6:$R$824,R458)&gt;1,"重复","唯一")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IF(COUNTIF($R$6:$R$824,R459)&gt;1,"重复","唯一")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IF(COUNTIF($R$6:$R$824,R460)&gt;1,"重复","唯一")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IF(COUNTIF($R$6:$R$824,R461)&gt;1,"重复","唯一")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IF(COUNTIF($R$6:$R$824,R462)&gt;1,"重复","唯一")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IF(COUNTIF($R$6:$R$824,R463)&gt;1,"重复","唯一")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IF(COUNTIF($R$6:$R$824,R464)&gt;1,"重复","唯一")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IF(COUNTIF($R$6:$R$824,R465)&gt;1,"重复","唯一")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IF(COUNTIF($R$6:$R$824,R466)&gt;1,"重复","唯一")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IF(COUNTIF($R$6:$R$824,R467)&gt;1,"重复","唯一")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IF(COUNTIF($R$6:$R$824,R468)&gt;1,"重复","唯一")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IF(COUNTIF($R$6:$R$824,R469)&gt;1,"重复","唯一")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IF(COUNTIF($R$6:$R$824,R470)&gt;1,"重复","唯一")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IF(COUNTIF($R$6:$R$824,R471)&gt;1,"重复","唯一")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IF(COUNTIF($R$6:$R$824,R472)&gt;1,"重复","唯一")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IF(COUNTIF($R$6:$R$824,R473)&gt;1,"重复","唯一")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IF(COUNTIF($R$6:$R$824,R474)&gt;1,"重复","唯一")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IF(COUNTIF($R$6:$R$824,R475)&gt;1,"重复","唯一")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IF(COUNTIF($R$6:$R$824,R476)&gt;1,"重复","唯一")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IF(COUNTIF($R$6:$R$824,R477)&gt;1,"重复","唯一")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IF(COUNTIF($R$6:$R$824,R478)&gt;1,"重复","唯一")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IF(COUNTIF($R$6:$R$824,R479)&gt;1,"重复","唯一")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IF(COUNTIF($R$6:$R$824,R480)&gt;1,"重复","唯一")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IF(COUNTIF($R$6:$R$824,R481)&gt;1,"重复","唯一")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IF(COUNTIF($R$6:$R$824,R482)&gt;1,"重复","唯一")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IF(COUNTIF($R$6:$R$824,R483)&gt;1,"重复","唯一")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IF(COUNTIF($R$6:$R$824,R484)&gt;1,"重复","唯一")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IF(COUNTIF($R$6:$R$824,R485)&gt;1,"重复","唯一")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IF(COUNTIF($R$6:$R$824,R486)&gt;1,"重复","唯一")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IF(COUNTIF($R$6:$R$824,R487)&gt;1,"重复","唯一")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IF(COUNTIF($R$6:$R$824,R488)&gt;1,"重复","唯一")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IF(COUNTIF($R$6:$R$824,R489)&gt;1,"重复","唯一")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IF(COUNTIF($R$6:$R$824,R490)&gt;1,"重复","唯一")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IF(COUNTIF($R$6:$R$824,R491)&gt;1,"重复","唯一")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IF(COUNTIF($R$6:$R$824,R492)&gt;1,"重复","唯一")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IF(COUNTIF($R$6:$R$824,R493)&gt;1,"重复","唯一")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IF(COUNTIF($R$6:$R$824,R494)&gt;1,"重复","唯一")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IF(COUNTIF($R$6:$R$824,R495)&gt;1,"重复","唯一")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IF(COUNTIF($R$6:$R$824,R496)&gt;1,"重复","唯一")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IF(COUNTIF($R$6:$R$824,R497)&gt;1,"重复","唯一")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IF(COUNTIF($R$6:$R$824,R498)&gt;1,"重复","唯一")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IF(COUNTIF($R$6:$R$824,R499)&gt;1,"重复","唯一")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IF(COUNTIF($R$6:$R$824,R500)&gt;1,"重复","唯一")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IF(COUNTIF($R$6:$R$824,R501)&gt;1,"重复","唯一")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IF(COUNTIF($R$6:$R$824,R502)&gt;1,"重复","唯一")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IF(COUNTIF($R$6:$R$824,R503)&gt;1,"重复","唯一")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IF(COUNTIF($R$6:$R$824,R504)&gt;1,"重复","唯一")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IF(COUNTIF($R$6:$R$824,R505)&gt;1,"重复","唯一")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IF(COUNTIF($R$6:$R$824,R506)&gt;1,"重复","唯一")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IF(COUNTIF($R$6:$R$824,R507)&gt;1,"重复","唯一")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IF(COUNTIF($R$6:$R$824,R508)&gt;1,"重复","唯一")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IF(COUNTIF($R$6:$R$824,R509)&gt;1,"重复","唯一")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IF(COUNTIF($R$6:$R$824,R510)&gt;1,"重复","唯一")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IF(COUNTIF($R$6:$R$824,R511)&gt;1,"重复","唯一")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IF(COUNTIF($R$6:$R$824,R512)&gt;1,"重复","唯一")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IF(COUNTIF($R$6:$R$824,R513)&gt;1,"重复","唯一")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IF(COUNTIF($R$6:$R$824,R514)&gt;1,"重复","唯一")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IF(COUNTIF($R$6:$R$824,R515)&gt;1,"重复","唯一")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IF(COUNTIF($R$6:$R$824,R516)&gt;1,"重复","唯一")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IF(COUNTIF($R$6:$R$824,R517)&gt;1,"重复","唯一")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IF(COUNTIF($R$6:$R$824,R518)&gt;1,"重复","唯一")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IF(COUNTIF($R$6:$R$824,R519)&gt;1,"重复","唯一")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IF(COUNTIF($R$6:$R$824,R520)&gt;1,"重复","唯一")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IF(COUNTIF($R$6:$R$824,R521)&gt;1,"重复","唯一")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IF(COUNTIF($R$6:$R$824,R522)&gt;1,"重复","唯一")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IF(COUNTIF($R$6:$R$824,R523)&gt;1,"重复","唯一")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IF(COUNTIF($R$6:$R$824,R524)&gt;1,"重复","唯一")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IF(COUNTIF($R$6:$R$824,R525)&gt;1,"重复","唯一")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IF(COUNTIF($R$6:$R$824,R526)&gt;1,"重复","唯一")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IF(COUNTIF($R$6:$R$824,R527)&gt;1,"重复","唯一")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IF(COUNTIF($R$6:$R$824,R528)&gt;1,"重复","唯一")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IF(COUNTIF($R$6:$R$824,R529)&gt;1,"重复","唯一")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IF(COUNTIF($R$6:$R$824,R530)&gt;1,"重复","唯一")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IF(COUNTIF($R$6:$R$824,R531)&gt;1,"重复","唯一")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IF(COUNTIF($R$6:$R$824,R532)&gt;1,"重复","唯一")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IF(COUNTIF($R$6:$R$824,R533)&gt;1,"重复","唯一")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IF(COUNTIF($R$6:$R$824,R534)&gt;1,"重复","唯一")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IF(COUNTIF($R$6:$R$824,R535)&gt;1,"重复","唯一")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IF(COUNTIF($R$6:$R$824,R536)&gt;1,"重复","唯一")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IF(COUNTIF($R$6:$R$824,R537)&gt;1,"重复","唯一")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IF(COUNTIF($R$6:$R$824,R538)&gt;1,"重复","唯一")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IF(COUNTIF($R$6:$R$824,R539)&gt;1,"重复","唯一")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IF(COUNTIF($R$6:$R$824,R540)&gt;1,"重复","唯一")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IF(COUNTIF($R$6:$R$824,R541)&gt;1,"重复","唯一")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IF(COUNTIF($R$6:$R$824,R542)&gt;1,"重复","唯一")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IF(COUNTIF($R$6:$R$824,R543)&gt;1,"重复","唯一")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IF(COUNTIF($R$6:$R$824,R544)&gt;1,"重复","唯一")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IF(COUNTIF($R$6:$R$824,R545)&gt;1,"重复","唯一")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IF(COUNTIF($R$6:$R$824,R546)&gt;1,"重复","唯一")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IF(COUNTIF($R$6:$R$824,R547)&gt;1,"重复","唯一")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IF(COUNTIF($R$6:$R$824,R548)&gt;1,"重复","唯一")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IF(COUNTIF($R$6:$R$824,R549)&gt;1,"重复","唯一")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IF(COUNTIF($R$6:$R$824,R550)&gt;1,"重复","唯一")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IF(COUNTIF($R$6:$R$824,R551)&gt;1,"重复","唯一")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IF(COUNTIF($R$6:$R$824,R552)&gt;1,"重复","唯一")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IF(COUNTIF($R$6:$R$824,R553)&gt;1,"重复","唯一")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IF(COUNTIF($R$6:$R$824,R554)&gt;1,"重复","唯一")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IF(COUNTIF($R$6:$R$824,R555)&gt;1,"重复","唯一")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IF(COUNTIF($R$6:$R$824,R556)&gt;1,"重复","唯一")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IF(COUNTIF($R$6:$R$824,R557)&gt;1,"重复","唯一")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IF(COUNTIF($R$6:$R$824,R558)&gt;1,"重复","唯一")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IF(COUNTIF($R$6:$R$824,R559)&gt;1,"重复","唯一")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IF(COUNTIF($R$6:$R$824,R560)&gt;1,"重复","唯一")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IF(COUNTIF($R$6:$R$824,R561)&gt;1,"重复","唯一")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IF(COUNTIF($R$6:$R$824,R562)&gt;1,"重复","唯一")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IF(COUNTIF($R$6:$R$824,R563)&gt;1,"重复","唯一")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IF(COUNTIF($R$6:$R$824,R564)&gt;1,"重复","唯一")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IF(COUNTIF($R$6:$R$824,R565)&gt;1,"重复","唯一")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IF(COUNTIF($R$6:$R$824,R566)&gt;1,"重复","唯一")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IF(COUNTIF($R$6:$R$824,R567)&gt;1,"重复","唯一")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IF(COUNTIF($R$6:$R$824,R568)&gt;1,"重复","唯一")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IF(COUNTIF($R$6:$R$824,R569)&gt;1,"重复","唯一")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IF(COUNTIF($R$6:$R$824,R570)&gt;1,"重复","唯一")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IF(COUNTIF($R$6:$R$824,R571)&gt;1,"重复","唯一")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IF(COUNTIF($R$6:$R$824,R572)&gt;1,"重复","唯一")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IF(COUNTIF($R$6:$R$824,R573)&gt;1,"重复","唯一")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IF(COUNTIF($R$6:$R$824,R574)&gt;1,"重复","唯一")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IF(COUNTIF($R$6:$R$824,R575)&gt;1,"重复","唯一")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IF(COUNTIF($R$6:$R$824,R576)&gt;1,"重复","唯一")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IF(COUNTIF($R$6:$R$824,R577)&gt;1,"重复","唯一")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IF(COUNTIF($R$6:$R$824,R578)&gt;1,"重复","唯一")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IF(COUNTIF($R$6:$R$824,R579)&gt;1,"重复","唯一")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IF(COUNTIF($R$6:$R$824,R580)&gt;1,"重复","唯一")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IF(COUNTIF($R$6:$R$824,R581)&gt;1,"重复","唯一")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IF(COUNTIF($R$6:$R$824,R582)&gt;1,"重复","唯一")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IF(COUNTIF($R$6:$R$824,R583)&gt;1,"重复","唯一")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IF(COUNTIF($R$6:$R$824,R584)&gt;1,"重复","唯一")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IF(COUNTIF($R$6:$R$824,R585)&gt;1,"重复","唯一")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IF(COUNTIF($R$6:$R$824,R586)&gt;1,"重复","唯一")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IF(COUNTIF($R$6:$R$824,R587)&gt;1,"重复","唯一")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IF(COUNTIF($R$6:$R$824,R588)&gt;1,"重复","唯一")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IF(COUNTIF($R$6:$R$824,R589)&gt;1,"重复","唯一")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IF(COUNTIF($R$6:$R$824,R590)&gt;1,"重复","唯一")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IF(COUNTIF($R$6:$R$824,R591)&gt;1,"重复","唯一")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IF(COUNTIF($R$6:$R$824,R592)&gt;1,"重复","唯一")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IF(COUNTIF($R$6:$R$824,R593)&gt;1,"重复","唯一")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IF(COUNTIF($R$6:$R$824,R594)&gt;1,"重复","唯一")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IF(COUNTIF($R$6:$R$824,R595)&gt;1,"重复","唯一")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IF(COUNTIF($R$6:$R$824,R596)&gt;1,"重复","唯一")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IF(COUNTIF($R$6:$R$824,R597)&gt;1,"重复","唯一")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IF(COUNTIF($R$6:$R$824,R598)&gt;1,"重复","唯一")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IF(COUNTIF($R$6:$R$824,R599)&gt;1,"重复","唯一")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IF(COUNTIF($R$6:$R$824,R600)&gt;1,"重复","唯一")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IF(COUNTIF($R$6:$R$824,R601)&gt;1,"重复","唯一")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IF(COUNTIF($R$6:$R$824,R602)&gt;1,"重复","唯一")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IF(COUNTIF($R$6:$R$824,R603)&gt;1,"重复","唯一")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IF(COUNTIF($R$6:$R$824,R604)&gt;1,"重复","唯一")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IF(COUNTIF($R$6:$R$824,R605)&gt;1,"重复","唯一")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IF(COUNTIF($R$6:$R$824,R606)&gt;1,"重复","唯一")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IF(COUNTIF($R$6:$R$824,R607)&gt;1,"重复","唯一")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IF(COUNTIF($R$6:$R$824,R608)&gt;1,"重复","唯一")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IF(COUNTIF($R$6:$R$824,R609)&gt;1,"重复","唯一")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IF(COUNTIF($R$6:$R$824,R610)&gt;1,"重复","唯一")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IF(COUNTIF($R$6:$R$824,R611)&gt;1,"重复","唯一")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IF(COUNTIF($R$6:$R$824,R612)&gt;1,"重复","唯一")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IF(COUNTIF($R$6:$R$824,R613)&gt;1,"重复","唯一")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IF(COUNTIF($R$6:$R$824,R614)&gt;1,"重复","唯一")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IF(COUNTIF($R$6:$R$824,R615)&gt;1,"重复","唯一")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IF(COUNTIF($R$6:$R$824,R616)&gt;1,"重复","唯一")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IF(COUNTIF($R$6:$R$824,R617)&gt;1,"重复","唯一")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IF(COUNTIF($R$6:$R$824,R618)&gt;1,"重复","唯一")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IF(COUNTIF($R$6:$R$824,R619)&gt;1,"重复","唯一")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IF(COUNTIF($R$6:$R$824,R620)&gt;1,"重复","唯一")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IF(COUNTIF($R$6:$R$824,R621)&gt;1,"重复","唯一")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IF(COUNTIF($R$6:$R$824,R622)&gt;1,"重复","唯一")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IF(COUNTIF($R$6:$R$824,R623)&gt;1,"重复","唯一")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IF(COUNTIF($R$6:$R$824,R624)&gt;1,"重复","唯一")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IF(COUNTIF($R$6:$R$824,R625)&gt;1,"重复","唯一")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IF(COUNTIF($R$6:$R$824,R626)&gt;1,"重复","唯一")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IF(COUNTIF($R$6:$R$824,R627)&gt;1,"重复","唯一")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IF(COUNTIF($R$6:$R$824,R628)&gt;1,"重复","唯一")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IF(COUNTIF($R$6:$R$824,R629)&gt;1,"重复","唯一")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IF(COUNTIF($R$6:$R$824,R630)&gt;1,"重复","唯一")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IF(COUNTIF($R$6:$R$824,R631)&gt;1,"重复","唯一")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IF(COUNTIF($R$6:$R$824,R632)&gt;1,"重复","唯一")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IF(COUNTIF($R$6:$R$824,R633)&gt;1,"重复","唯一")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IF(COUNTIF($R$6:$R$824,R634)&gt;1,"重复","唯一")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IF(COUNTIF($R$6:$R$824,R635)&gt;1,"重复","唯一")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IF(COUNTIF($R$6:$R$824,R636)&gt;1,"重复","唯一")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IF(COUNTIF($R$6:$R$824,R637)&gt;1,"重复","唯一")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IF(COUNTIF($R$6:$R$824,R638)&gt;1,"重复","唯一")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IF(COUNTIF($R$6:$R$824,R639)&gt;1,"重复","唯一")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IF(COUNTIF($R$6:$R$824,R640)&gt;1,"重复","唯一")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IF(COUNTIF($R$6:$R$824,R641)&gt;1,"重复","唯一")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IF(COUNTIF($R$6:$R$824,R642)&gt;1,"重复","唯一")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IF(COUNTIF($R$6:$R$824,R643)&gt;1,"重复","唯一")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IF(COUNTIF($R$6:$R$824,R644)&gt;1,"重复","唯一")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IF(COUNTIF($R$6:$R$824,R645)&gt;1,"重复","唯一")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IF(COUNTIF($R$6:$R$824,R646)&gt;1,"重复","唯一")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IF(COUNTIF($R$6:$R$824,R647)&gt;1,"重复","唯一")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IF(COUNTIF($R$6:$R$824,R648)&gt;1,"重复","唯一")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IF(COUNTIF($R$6:$R$824,R649)&gt;1,"重复","唯一")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IF(COUNTIF($R$6:$R$824,R650)&gt;1,"重复","唯一")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IF(COUNTIF($R$6:$R$824,R651)&gt;1,"重复","唯一")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IF(COUNTIF($R$6:$R$824,R652)&gt;1,"重复","唯一")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IF(COUNTIF($R$6:$R$824,R653)&gt;1,"重复","唯一")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IF(COUNTIF($R$6:$R$824,R654)&gt;1,"重复","唯一")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IF(COUNTIF($R$6:$R$824,R655)&gt;1,"重复","唯一")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IF(COUNTIF($R$6:$R$824,R656)&gt;1,"重复","唯一")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IF(COUNTIF($R$6:$R$824,R657)&gt;1,"重复","唯一")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IF(COUNTIF($R$6:$R$824,R658)&gt;1,"重复","唯一")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IF(COUNTIF($R$6:$R$824,R659)&gt;1,"重复","唯一")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IF(COUNTIF($R$6:$R$824,R660)&gt;1,"重复","唯一")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IF(COUNTIF($R$6:$R$824,R661)&gt;1,"重复","唯一")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IF(COUNTIF($R$6:$R$824,R662)&gt;1,"重复","唯一")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IF(COUNTIF($R$6:$R$824,R663)&gt;1,"重复","唯一")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IF(COUNTIF($R$6:$R$824,R664)&gt;1,"重复","唯一")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IF(COUNTIF($R$6:$R$824,R665)&gt;1,"重复","唯一")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IF(COUNTIF($R$6:$R$824,R666)&gt;1,"重复","唯一")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IF(COUNTIF($R$6:$R$824,R667)&gt;1,"重复","唯一")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IF(COUNTIF($R$6:$R$824,R668)&gt;1,"重复","唯一")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IF(COUNTIF($R$6:$R$824,R669)&gt;1,"重复","唯一")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IF(COUNTIF($R$6:$R$824,R670)&gt;1,"重复","唯一")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IF(COUNTIF($R$6:$R$824,R671)&gt;1,"重复","唯一")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IF(COUNTIF($R$6:$R$824,R672)&gt;1,"重复","唯一")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IF(COUNTIF($R$6:$R$824,R673)&gt;1,"重复","唯一")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IF(COUNTIF($R$6:$R$824,R674)&gt;1,"重复","唯一")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IF(COUNTIF($R$6:$R$824,R675)&gt;1,"重复","唯一")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IF(COUNTIF($R$6:$R$824,R676)&gt;1,"重复","唯一")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IF(COUNTIF($R$6:$R$824,R677)&gt;1,"重复","唯一")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IF(COUNTIF($R$6:$R$824,R678)&gt;1,"重复","唯一")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IF(COUNTIF($R$6:$R$824,R679)&gt;1,"重复","唯一")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IF(COUNTIF($R$6:$R$824,R680)&gt;1,"重复","唯一")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IF(COUNTIF($R$6:$R$824,R681)&gt;1,"重复","唯一")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IF(COUNTIF($R$6:$R$824,R682)&gt;1,"重复","唯一")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IF(COUNTIF($R$6:$R$824,R683)&gt;1,"重复","唯一")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IF(COUNTIF($R$6:$R$824,R684)&gt;1,"重复","唯一")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IF(COUNTIF($R$6:$R$824,R685)&gt;1,"重复","唯一")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IF(COUNTIF($R$6:$R$824,R686)&gt;1,"重复","唯一")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IF(COUNTIF($R$6:$R$824,R687)&gt;1,"重复","唯一")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IF(COUNTIF($R$6:$R$824,R688)&gt;1,"重复","唯一")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IF(COUNTIF($R$6:$R$824,R689)&gt;1,"重复","唯一")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IF(COUNTIF($R$6:$R$824,R690)&gt;1,"重复","唯一")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IF(COUNTIF($R$6:$R$824,R691)&gt;1,"重复","唯一")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IF(COUNTIF($R$6:$R$824,R692)&gt;1,"重复","唯一")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IF(COUNTIF($R$6:$R$824,R693)&gt;1,"重复","唯一")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IF(COUNTIF($R$6:$R$824,R694)&gt;1,"重复","唯一")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IF(COUNTIF($R$6:$R$824,R695)&gt;1,"重复","唯一")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IF(COUNTIF($R$6:$R$824,R696)&gt;1,"重复","唯一")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IF(COUNTIF($R$6:$R$824,R697)&gt;1,"重复","唯一")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IF(COUNTIF($R$6:$R$824,R698)&gt;1,"重复","唯一")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IF(COUNTIF($R$6:$R$824,R699)&gt;1,"重复","唯一")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IF(COUNTIF($R$6:$R$824,R700)&gt;1,"重复","唯一")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IF(COUNTIF($R$6:$R$824,R701)&gt;1,"重复","唯一")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IF(COUNTIF($R$6:$R$824,R702)&gt;1,"重复","唯一")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IF(COUNTIF($R$6:$R$824,R703)&gt;1,"重复","唯一")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IF(COUNTIF($R$6:$R$824,R704)&gt;1,"重复","唯一")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IF(COUNTIF($R$6:$R$824,R705)&gt;1,"重复","唯一")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IF(COUNTIF($R$6:$R$824,R706)&gt;1,"重复","唯一")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IF(COUNTIF($R$6:$R$824,R707)&gt;1,"重复","唯一")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IF(COUNTIF($R$6:$R$824,R708)&gt;1,"重复","唯一")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IF(COUNTIF($R$6:$R$824,R709)&gt;1,"重复","唯一")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IF(COUNTIF($R$6:$R$824,R710)&gt;1,"重复","唯一")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IF(COUNTIF($R$6:$R$824,R711)&gt;1,"重复","唯一")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IF(COUNTIF($R$6:$R$824,R712)&gt;1,"重复","唯一")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IF(COUNTIF($R$6:$R$824,R713)&gt;1,"重复","唯一")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IF(COUNTIF($R$6:$R$824,R714)&gt;1,"重复","唯一")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IF(COUNTIF($R$6:$R$824,R715)&gt;1,"重复","唯一")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IF(COUNTIF($R$6:$R$824,R716)&gt;1,"重复","唯一")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IF(COUNTIF($R$6:$R$824,R717)&gt;1,"重复","唯一")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IF(COUNTIF($R$6:$R$824,R718)&gt;1,"重复","唯一")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IF(COUNTIF($R$6:$R$824,R719)&gt;1,"重复","唯一")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IF(COUNTIF($R$6:$R$824,R720)&gt;1,"重复","唯一")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IF(COUNTIF($R$6:$R$824,R721)&gt;1,"重复","唯一")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IF(COUNTIF($R$6:$R$824,R722)&gt;1,"重复","唯一")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IF(COUNTIF($R$6:$R$824,R723)&gt;1,"重复","唯一")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IF(COUNTIF($R$6:$R$824,R724)&gt;1,"重复","唯一")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IF(COUNTIF($R$6:$R$824,R725)&gt;1,"重复","唯一")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IF(COUNTIF($R$6:$R$824,R726)&gt;1,"重复","唯一")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IF(COUNTIF($R$6:$R$824,R727)&gt;1,"重复","唯一")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IF(COUNTIF($R$6:$R$824,R728)&gt;1,"重复","唯一")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IF(COUNTIF($R$6:$R$824,R729)&gt;1,"重复","唯一")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IF(COUNTIF($R$6:$R$824,R730)&gt;1,"重复","唯一")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IF(COUNTIF($R$6:$R$824,R731)&gt;1,"重复","唯一")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IF(COUNTIF($R$6:$R$824,R732)&gt;1,"重复","唯一")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IF(COUNTIF($R$6:$R$824,R733)&gt;1,"重复","唯一")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IF(COUNTIF($R$6:$R$824,R734)&gt;1,"重复","唯一")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IF(COUNTIF($R$6:$R$824,R735)&gt;1,"重复","唯一")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IF(COUNTIF($R$6:$R$824,R736)&gt;1,"重复","唯一")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IF(COUNTIF($R$6:$R$824,R737)&gt;1,"重复","唯一")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IF(COUNTIF($R$6:$R$824,R738)&gt;1,"重复","唯一")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IF(COUNTIF($R$6:$R$824,R739)&gt;1,"重复","唯一")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IF(COUNTIF($R$6:$R$824,R740)&gt;1,"重复","唯一")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IF(COUNTIF($R$6:$R$824,R741)&gt;1,"重复","唯一")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IF(COUNTIF($R$6:$R$824,R742)&gt;1,"重复","唯一")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IF(COUNTIF($R$6:$R$824,R743)&gt;1,"重复","唯一")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IF(COUNTIF($R$6:$R$824,R744)&gt;1,"重复","唯一")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IF(COUNTIF($R$6:$R$824,R745)&gt;1,"重复","唯一")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IF(COUNTIF($R$6:$R$824,R746)&gt;1,"重复","唯一")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IF(COUNTIF($R$6:$R$824,R747)&gt;1,"重复","唯一")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IF(COUNTIF($R$6:$R$824,R748)&gt;1,"重复","唯一")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IF(COUNTIF($R$6:$R$824,R749)&gt;1,"重复","唯一")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IF(COUNTIF($R$6:$R$824,R750)&gt;1,"重复","唯一")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IF(COUNTIF($R$6:$R$824,R751)&gt;1,"重复","唯一")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IF(COUNTIF($R$6:$R$824,R752)&gt;1,"重复","唯一")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IF(COUNTIF($R$6:$R$824,R753)&gt;1,"重复","唯一")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IF(COUNTIF($R$6:$R$824,R754)&gt;1,"重复","唯一")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IF(COUNTIF($R$6:$R$824,R755)&gt;1,"重复","唯一")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IF(COUNTIF($R$6:$R$824,R756)&gt;1,"重复","唯一")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IF(COUNTIF($R$6:$R$824,R757)&gt;1,"重复","唯一")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IF(COUNTIF($R$6:$R$824,R758)&gt;1,"重复","唯一")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IF(COUNTIF($R$6:$R$824,R759)&gt;1,"重复","唯一")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IF(COUNTIF($R$6:$R$824,R760)&gt;1,"重复","唯一")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IF(COUNTIF($R$6:$R$824,R761)&gt;1,"重复","唯一")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IF(COUNTIF($R$6:$R$824,R762)&gt;1,"重复","唯一")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IF(COUNTIF($R$6:$R$824,R763)&gt;1,"重复","唯一")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IF(COUNTIF($R$6:$R$824,R764)&gt;1,"重复","唯一")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IF(COUNTIF($R$6:$R$824,R765)&gt;1,"重复","唯一")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IF(COUNTIF($R$6:$R$824,R766)&gt;1,"重复","唯一")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IF(COUNTIF($R$6:$R$824,R767)&gt;1,"重复","唯一")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IF(COUNTIF($R$6:$R$824,R768)&gt;1,"重复","唯一")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IF(COUNTIF($R$6:$R$824,R769)&gt;1,"重复","唯一")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IF(COUNTIF($R$6:$R$824,R770)&gt;1,"重复","唯一")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IF(COUNTIF($R$6:$R$824,R771)&gt;1,"重复","唯一")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IF(COUNTIF($R$6:$R$824,R772)&gt;1,"重复","唯一")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IF(COUNTIF($R$6:$R$824,R773)&gt;1,"重复","唯一")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IF(COUNTIF($R$6:$R$824,R774)&gt;1,"重复","唯一")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IF(COUNTIF($R$6:$R$824,R775)&gt;1,"重复","唯一")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IF(COUNTIF($R$6:$R$824,R776)&gt;1,"重复","唯一")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IF(COUNTIF($R$6:$R$824,R777)&gt;1,"重复","唯一")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IF(COUNTIF($R$6:$R$824,R778)&gt;1,"重复","唯一")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IF(COUNTIF($R$6:$R$824,R779)&gt;1,"重复","唯一")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IF(COUNTIF($R$6:$R$824,R780)&gt;1,"重复","唯一")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IF(COUNTIF($R$6:$R$824,R781)&gt;1,"重复","唯一")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IF(COUNTIF($R$6:$R$824,R782)&gt;1,"重复","唯一")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IF(COUNTIF($R$6:$R$824,R783)&gt;1,"重复","唯一")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IF(COUNTIF($R$6:$R$824,R784)&gt;1,"重复","唯一")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IF(COUNTIF($R$6:$R$824,R785)&gt;1,"重复","唯一")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IF(COUNTIF($R$6:$R$824,R786)&gt;1,"重复","唯一")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IF(COUNTIF($R$6:$R$824,R787)&gt;1,"重复","唯一")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IF(COUNTIF($R$6:$R$824,R788)&gt;1,"重复","唯一")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IF(COUNTIF($R$6:$R$824,R789)&gt;1,"重复","唯一")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IF(COUNTIF($R$6:$R$824,R790)&gt;1,"重复","唯一")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IF(COUNTIF($R$6:$R$824,R791)&gt;1,"重复","唯一")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IF(COUNTIF($R$6:$R$824,R792)&gt;1,"重复","唯一")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IF(COUNTIF($R$6:$R$824,R793)&gt;1,"重复","唯一")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IF(COUNTIF($R$6:$R$824,R794)&gt;1,"重复","唯一")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IF(COUNTIF($R$6:$R$824,R795)&gt;1,"重复","唯一")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IF(COUNTIF($R$6:$R$824,R796)&gt;1,"重复","唯一")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IF(COUNTIF($R$6:$R$824,R797)&gt;1,"重复","唯一")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IF(COUNTIF($R$6:$R$824,R798)&gt;1,"重复","唯一")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IF(COUNTIF($R$6:$R$824,R799)&gt;1,"重复","唯一")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IF(COUNTIF($R$6:$R$824,R800)&gt;1,"重复","唯一")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IF(COUNTIF($R$6:$R$824,R801)&gt;1,"重复","唯一")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IF(COUNTIF($R$6:$R$824,R802)&gt;1,"重复","唯一")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IF(COUNTIF($R$6:$R$824,R803)&gt;1,"重复","唯一")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IF(COUNTIF($R$6:$R$824,R804)&gt;1,"重复","唯一")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IF(COUNTIF($R$6:$R$824,R805)&gt;1,"重复","唯一")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IF(COUNTIF($R$6:$R$824,R806)&gt;1,"重复","唯一")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IF(COUNTIF($R$6:$R$824,R807)&gt;1,"重复","唯一")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IF(COUNTIF($R$6:$R$824,R808)&gt;1,"重复","唯一")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IF(COUNTIF($R$6:$R$824,R809)&gt;1,"重复","唯一")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IF(COUNTIF($R$6:$R$824,R810)&gt;1,"重复","唯一")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IF(COUNTIF($R$6:$R$824,R811)&gt;1,"重复","唯一")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IF(COUNTIF($R$6:$R$824,R812)&gt;1,"重复","唯一")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IF(COUNTIF($R$6:$R$824,R813)&gt;1,"重复","唯一")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IF(COUNTIF($R$6:$R$824,R814)&gt;1,"重复","唯一")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IF(COUNTIF($R$6:$R$824,R815)&gt;1,"重复","唯一")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IF(COUNTIF($R$6:$R$824,R816)&gt;1,"重复","唯一")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IF(COUNTIF($R$6:$R$824,R817)&gt;1,"重复","唯一")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IF(COUNTIF($R$6:$R$824,R818)&gt;1,"重复","唯一")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IF(COUNTIF($R$6:$R$824,R819)&gt;1,"重复","唯一")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IF(COUNTIF($R$6:$R$824,R820)&gt;1,"重复","唯一")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IF(COUNTIF($R$6:$R$824,R821)&gt;1,"重复","唯一")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IF(COUNTIF($R$6:$R$824,R822)&gt;1,"重复","唯一")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IF(COUNTIF($R$6:$R$824,R823)&gt;1,"重复","唯一")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v004</t>
        </is>
      </c>
      <c r="N824" s="99" t="inlineStr">
        <is>
          <t>主体28×20×18m；334独立包；4角色公共色盘；6张Cycles实图；车辆为独立静态展示组件</t>
        </is>
      </c>
      <c r="O824" s="99" t="inlineStr">
        <is>
          <t>assets/art/environments/open_world/source/logistics_07/v004/env_logistics_07_source_v004.blend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IF(COUNTIF($R$6:$R$824,R824)&gt;1,"重复","唯一")</f>
        <v/>
      </c>
      <c r="T824" s="99" t="inlineStr">
        <is>
          <t>5e658272c8043ae533c7c73b3f366620f7704c4522e770cfb5bafa201a526200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仅Blender源完成；未导出GLB/接入Godot，未制作碰撞/LOD。独立外观美术尺度，不作为主塔12m战斗层或可进入物流关卡契约。</t>
        </is>
      </c>
    </row>
  </sheetData>
  <autoFilter ref="A5:Y824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24" showDropDown="0" showInputMessage="0" showErrorMessage="0" allowBlank="1" type="list">
      <formula1>"角色,敌人,武器,道具,场景,场景道具,基地资产包,UI,特效,音频"</formula1>
    </dataValidation>
    <dataValidation sqref="K6:K82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24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t="inlineStr">
        <is>
          <t>v0.1.43</t>
        </is>
      </c>
      <c r="B49" t="inlineStr">
        <is>
          <t>2026-10-03</t>
        </is>
      </c>
      <c r="C49" t="inlineStr">
        <is>
          <t>新增Blender建筑源</t>
        </is>
      </c>
      <c r="D49" t="inlineStr">
        <is>
          <t>关卡场景 / 开放世界</t>
        </is>
      </c>
      <c r="E49" t="inlineStr">
        <is>
          <t>ENV-OPENWORLD-LOGISTICS07：07号物流建筑，334独立包，6张Cycles预览，源v004。</t>
        </is>
      </c>
      <c r="F49" t="inlineStr">
        <is>
          <t>源完成；未导入运行时。</t>
        </is>
      </c>
      <c r="G49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2026-10-02T17:23:05Z</dcterms:modified>
</cp:coreProperties>
</file>