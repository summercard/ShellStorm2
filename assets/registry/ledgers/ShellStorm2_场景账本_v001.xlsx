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'资产主表'!$A$5:$Y$961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COUNTA(资产主表!$A$6:$A$961)</f>
        <v/>
      </c>
      <c r="B6" s="72" t="inlineStr"/>
      <c r="C6" s="74">
        <f>COUNTIF(资产主表!$K$6:$K$961,"已完成")+COUNTIF(资产主表!$K$6:$K$961,"原型已接入")+COUNTIF(资产主表!$K$6:$K$961,"正式美术已接入")+COUNTIF(资产主表!$K$6:$K$961,"已优化并正式接入")+COUNTIF(资产主表!$K$6:$K$961,"Blender源已完成")+COUNTIF(资产主表!$K$6:$K$961,"已导入；优化完成")+COUNTIF(资产主表!$K$6:$K$961,"白模源已完成；QA PASS")</f>
        <v/>
      </c>
      <c r="D6" s="72" t="inlineStr"/>
      <c r="E6" s="74">
        <f>COUNTIF(资产主表!$K$6:$K$961,"待制作")+COUNTIF(资产主表!$K$6:$K$961,"程序占位")</f>
        <v/>
      </c>
      <c r="F6" s="72" t="inlineStr"/>
      <c r="G6" s="74">
        <f>COUNTIF(资产主表!$S$6:$S$961,"重复")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COUNTIF(资产主表!$C$6:$C$961,A10)</f>
        <v/>
      </c>
      <c r="C10" s="79">
        <f>SUMPRODUCT((资产主表!$C$6:$C$961=A10)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COUNTIF(资产主表!$C$6:$C$961,A11)</f>
        <v/>
      </c>
      <c r="C11" s="79">
        <f>SUMPRODUCT((资产主表!$C$6:$C$961=A11)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COUNTIF(资产主表!$C$6:$C$961,A12)</f>
        <v/>
      </c>
      <c r="C12" s="79">
        <f>SUMPRODUCT((资产主表!$C$6:$C$961=A12)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COUNTIF(资产主表!$C$6:$C$961,A13)</f>
        <v/>
      </c>
      <c r="C13" s="75">
        <f>SUMPRODUCT((资产主表!$C$6:$C$961=A13)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IF(COUNTIF($R$6:$R$961,R6)&gt;1,"重复","唯一")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IF(COUNTIF($R$6:$R$961,R7)&gt;1,"重复","唯一")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IF(COUNTIF($R$6:$R$961,R8)&gt;1,"重复","唯一")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IF(COUNTIF($R$6:$R$961,R9)&gt;1,"重复","唯一")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IF(COUNTIF($R$6:$R$961,R10)&gt;1,"重复","唯一")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IF(COUNTIF($R$6:$R$961,R11)&gt;1,"重复","唯一")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IF(COUNTIF($R$6:$R$961,R12)&gt;1,"重复","唯一")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IF(COUNTIF($R$6:$R$961,R13)&gt;1,"重复","唯一")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IF(COUNTIF($R$6:$R$961,R14)&gt;1,"重复","唯一")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IF(COUNTIF($R$6:$R$961,R15)&gt;1,"重复","唯一")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IF(COUNTIF($R$6:$R$961,R16)&gt;1,"重复","唯一")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IF(COUNTIF($R$6:$R$961,R17)&gt;1,"重复","唯一")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IF(COUNTIF($R$6:$R$961,R18)&gt;1,"重复","唯一")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IF(COUNTIF($R$6:$R$961,R19)&gt;1,"重复","唯一")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IF(COUNTIF($R$6:$R$961,R20)&gt;1,"重复","唯一")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IF(COUNTIF($R$6:$R$961,R21)&gt;1,"重复","唯一")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IF(COUNTIF($R$6:$R$961,R22)&gt;1,"重复","唯一")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IF(COUNTIF($R$6:$R$961,R23)&gt;1,"重复","唯一")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IF(COUNTIF($R$6:$R$961,R24)&gt;1,"重复","唯一")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IF(COUNTIF($R$6:$R$961,R25)&gt;1,"重复","唯一")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IF(COUNTIF($R$6:$R$961,R26)&gt;1,"重复","唯一")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IF(COUNTIF($R$6:$R$961,R27)&gt;1,"重复","唯一")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IF(COUNTIF($R$6:$R$961,R28)&gt;1,"重复","唯一")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IF(COUNTIF($R$6:$R$961,R29)&gt;1,"重复","唯一")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IF(COUNTIF($R$6:$R$961,R30)&gt;1,"重复","唯一")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IF(COUNTIF($R$6:$R$961,R31)&gt;1,"重复","唯一")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IF(COUNTIF($R$6:$R$961,R32)&gt;1,"重复","唯一")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IF(COUNTIF($R$6:$R$961,R33)&gt;1,"重复","唯一")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IF(COUNTIF($R$6:$R$961,R34)&gt;1,"重复","唯一")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IF(COUNTIF($R$6:$R$961,R35)&gt;1,"重复","唯一")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IF(COUNTIF($R$6:$R$961,R36)&gt;1,"重复","唯一")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IF(COUNTIF($R$6:$R$961,R37)&gt;1,"重复","唯一")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IF(COUNTIF($R$6:$R$961,R38)&gt;1,"重复","唯一")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IF(COUNTIF($R$6:$R$961,R39)&gt;1,"重复","唯一")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IF(COUNTIF($R$6:$R$961,R40)&gt;1,"重复","唯一")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IF(COUNTIF($R$6:$R$961,R41)&gt;1,"重复","唯一")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IF(COUNTIF($R$6:$R$961,R42)&gt;1,"重复","唯一")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IF(COUNTIF($R$6:$R$961,R43)&gt;1,"重复","唯一")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IF(COUNTIF($R$6:$R$961,R44)&gt;1,"重复","唯一")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IF(COUNTIF($R$6:$R$961,R45)&gt;1,"重复","唯一")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IF(COUNTIF($R$6:$R$961,R46)&gt;1,"重复","唯一")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IF(COUNTIF($R$6:$R$961,R47)&gt;1,"重复","唯一")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IF(COUNTIF($R$6:$R$961,R48)&gt;1,"重复","唯一")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IF(COUNTIF($R$6:$R$961,R49)&gt;1,"重复","唯一")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IF(COUNTIF($R$6:$R$961,R50)&gt;1,"重复","唯一")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IF(COUNTIF($R$6:$R$961,R51)&gt;1,"重复","唯一")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IF(COUNTIF($R$6:$R$961,R52)&gt;1,"重复","唯一")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IF(COUNTIF($R$6:$R$961,R53)&gt;1,"重复","唯一")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IF(COUNTIF($R$6:$R$961,R54)&gt;1,"重复","唯一")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IF(COUNTIF($R$6:$R$961,R55)&gt;1,"重复","唯一")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IF(COUNTIF($R$6:$R$961,R56)&gt;1,"重复","唯一")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IF(COUNTIF($R$6:$R$961,R57)&gt;1,"重复","唯一")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IF(COUNTIF($R$6:$R$961,R58)&gt;1,"重复","唯一")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IF(COUNTIF($R$6:$R$961,R59)&gt;1,"重复","唯一")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IF(COUNTIF($R$6:$R$961,R60)&gt;1,"重复","唯一")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IF(COUNTIF($R$6:$R$961,R61)&gt;1,"重复","唯一")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IF(COUNTIF($R$6:$R$961,R62)&gt;1,"重复","唯一")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IF(COUNTIF($R$6:$R$961,R63)&gt;1,"重复","唯一")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IF(COUNTIF($R$6:$R$961,R64)&gt;1,"重复","唯一")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IF(COUNTIF($R$6:$R$961,R65)&gt;1,"重复","唯一")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IF(COUNTIF($R$6:$R$961,R66)&gt;1,"重复","唯一")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IF(COUNTIF($R$6:$R$961,R67)&gt;1,"重复","唯一")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IF(COUNTIF($R$6:$R$961,R68)&gt;1,"重复","唯一")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IF(COUNTIF($R$6:$R$961,R69)&gt;1,"重复","唯一")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IF(COUNTIF($R$6:$R$961,R70)&gt;1,"重复","唯一")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IF(COUNTIF($R$6:$R$961,R71)&gt;1,"重复","唯一")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IF(COUNTIF($R$6:$R$961,R72)&gt;1,"重复","唯一")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IF(COUNTIF($R$6:$R$961,R73)&gt;1,"重复","唯一")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IF(COUNTIF($R$6:$R$961,R74)&gt;1,"重复","唯一")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IF(COUNTIF($R$6:$R$961,R75)&gt;1,"重复","唯一")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IF(COUNTIF($R$6:$R$961,R76)&gt;1,"重复","唯一")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IF(COUNTIF($R$6:$R$961,R77)&gt;1,"重复","唯一")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IF(COUNTIF($R$6:$R$961,R78)&gt;1,"重复","唯一")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IF(COUNTIF($R$6:$R$961,R79)&gt;1,"重复","唯一")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IF(COUNTIF($R$6:$R$961,R80)&gt;1,"重复","唯一")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IF(COUNTIF($R$6:$R$961,R81)&gt;1,"重复","唯一")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IF(COUNTIF($R$6:$R$961,R82)&gt;1,"重复","唯一")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IF(COUNTIF($R$6:$R$961,R83)&gt;1,"重复","唯一")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IF(COUNTIF($R$6:$R$961,R84)&gt;1,"重复","唯一")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IF(COUNTIF($R$6:$R$961,R85)&gt;1,"重复","唯一")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IF(COUNTIF($R$6:$R$961,R86)&gt;1,"重复","唯一")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IF(COUNTIF($R$6:$R$961,R87)&gt;1,"重复","唯一")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IF(COUNTIF($R$6:$R$961,R88)&gt;1,"重复","唯一")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IF(COUNTIF($R$6:$R$961,R89)&gt;1,"重复","唯一")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IF(COUNTIF($R$6:$R$961,R90)&gt;1,"重复","唯一")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IF(COUNTIF($R$6:$R$961,R91)&gt;1,"重复","唯一")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IF(COUNTIF($R$6:$R$961,R92)&gt;1,"重复","唯一")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IF(COUNTIF($R$6:$R$961,R93)&gt;1,"重复","唯一")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IF(COUNTIF($R$6:$R$961,R94)&gt;1,"重复","唯一")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IF(COUNTIF($R$6:$R$961,R95)&gt;1,"重复","唯一")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IF(COUNTIF($R$6:$R$961,R96)&gt;1,"重复","唯一")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IF(COUNTIF($R$6:$R$961,R97)&gt;1,"重复","唯一")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IF(COUNTIF($R$6:$R$961,R98)&gt;1,"重复","唯一")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IF(COUNTIF($R$6:$R$961,R99)&gt;1,"重复","唯一")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IF(COUNTIF($R$6:$R$961,R100)&gt;1,"重复","唯一")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IF(COUNTIF($R$6:$R$961,R101)&gt;1,"重复","唯一")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IF(COUNTIF($R$6:$R$961,R102)&gt;1,"重复","唯一")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IF(COUNTIF($R$6:$R$961,R103)&gt;1,"重复","唯一")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IF(COUNTIF($R$6:$R$961,R104)&gt;1,"重复","唯一")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IF(COUNTIF($R$6:$R$961,R105)&gt;1,"重复","唯一")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IF(COUNTIF($R$6:$R$961,R106)&gt;1,"重复","唯一")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IF(COUNTIF($R$6:$R$961,R107)&gt;1,"重复","唯一")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IF(COUNTIF($R$6:$R$961,R108)&gt;1,"重复","唯一")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IF(COUNTIF($R$6:$R$961,R109)&gt;1,"重复","唯一")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IF(COUNTIF($R$6:$R$961,R110)&gt;1,"重复","唯一")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IF(COUNTIF($R$6:$R$961,R111)&gt;1,"重复","唯一")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IF(COUNTIF($R$6:$R$961,R112)&gt;1,"重复","唯一")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IF(COUNTIF($R$6:$R$961,R113)&gt;1,"重复","唯一")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IF(COUNTIF($R$6:$R$961,R114)&gt;1,"重复","唯一")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IF(COUNTIF($R$6:$R$961,R115)&gt;1,"重复","唯一")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IF(COUNTIF($R$6:$R$961,R116)&gt;1,"重复","唯一")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IF(COUNTIF($R$6:$R$961,R117)&gt;1,"重复","唯一")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IF(COUNTIF($R$6:$R$961,R118)&gt;1,"重复","唯一")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IF(COUNTIF($R$6:$R$961,R119)&gt;1,"重复","唯一")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IF(COUNTIF($R$6:$R$961,R120)&gt;1,"重复","唯一")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IF(COUNTIF($R$6:$R$961,R121)&gt;1,"重复","唯一")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IF(COUNTIF($R$6:$R$961,R122)&gt;1,"重复","唯一")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IF(COUNTIF($R$6:$R$961,R123)&gt;1,"重复","唯一")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IF(COUNTIF($R$6:$R$961,R124)&gt;1,"重复","唯一")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IF(COUNTIF($R$6:$R$961,R125)&gt;1,"重复","唯一")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IF(COUNTIF($R$6:$R$961,R126)&gt;1,"重复","唯一")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IF(COUNTIF($R$6:$R$961,R127)&gt;1,"重复","唯一")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IF(COUNTIF($R$6:$R$961,R128)&gt;1,"重复","唯一")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IF(COUNTIF($R$6:$R$961,R129)&gt;1,"重复","唯一")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IF(COUNTIF($R$6:$R$961,R130)&gt;1,"重复","唯一")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IF(COUNTIF($R$6:$R$961,R131)&gt;1,"重复","唯一")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IF(COUNTIF($R$6:$R$961,R132)&gt;1,"重复","唯一")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IF(COUNTIF($R$6:$R$961,R133)&gt;1,"重复","唯一")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IF(COUNTIF($R$6:$R$961,R134)&gt;1,"重复","唯一")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IF(COUNTIF($R$6:$R$961,R135)&gt;1,"重复","唯一")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IF(COUNTIF($R$6:$R$961,R136)&gt;1,"重复","唯一")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IF(COUNTIF($R$6:$R$961,R137)&gt;1,"重复","唯一")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IF(COUNTIF($R$6:$R$961,R138)&gt;1,"重复","唯一")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IF(COUNTIF($R$6:$R$961,R139)&gt;1,"重复","唯一")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IF(COUNTIF($R$6:$R$961,R140)&gt;1,"重复","唯一")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IF(COUNTIF($R$6:$R$961,R141)&gt;1,"重复","唯一")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IF(COUNTIF($R$6:$R$961,R142)&gt;1,"重复","唯一")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IF(COUNTIF($R$6:$R$961,R143)&gt;1,"重复","唯一")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IF(COUNTIF($R$6:$R$961,R144)&gt;1,"重复","唯一")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IF(COUNTIF($R$6:$R$961,R145)&gt;1,"重复","唯一")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IF(COUNTIF($R$6:$R$961,R146)&gt;1,"重复","唯一")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IF(COUNTIF($R$6:$R$961,R147)&gt;1,"重复","唯一")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IF(COUNTIF($R$6:$R$961,R148)&gt;1,"重复","唯一")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IF(COUNTIF($R$6:$R$961,R149)&gt;1,"重复","唯一")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IF(COUNTIF($R$6:$R$961,R150)&gt;1,"重复","唯一")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IF(COUNTIF($R$6:$R$961,R151)&gt;1,"重复","唯一")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IF(COUNTIF($R$6:$R$961,R152)&gt;1,"重复","唯一")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IF(COUNTIF($R$6:$R$961,R153)&gt;1,"重复","唯一")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IF(COUNTIF($R$6:$R$961,R154)&gt;1,"重复","唯一")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IF(COUNTIF($R$6:$R$961,R155)&gt;1,"重复","唯一")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IF(COUNTIF($R$6:$R$961,R156)&gt;1,"重复","唯一")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IF(COUNTIF($R$6:$R$961,R157)&gt;1,"重复","唯一")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IF(COUNTIF($R$6:$R$961,R158)&gt;1,"重复","唯一")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IF(COUNTIF($R$6:$R$961,R159)&gt;1,"重复","唯一")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IF(COUNTIF($R$6:$R$961,R160)&gt;1,"重复","唯一")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IF(COUNTIF($R$6:$R$961,R161)&gt;1,"重复","唯一")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IF(COUNTIF($R$6:$R$961,R162)&gt;1,"重复","唯一")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IF(COUNTIF($R$6:$R$961,R163)&gt;1,"重复","唯一")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IF(COUNTIF($R$6:$R$961,R164)&gt;1,"重复","唯一")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IF(COUNTIF($R$6:$R$961,R165)&gt;1,"重复","唯一")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IF(COUNTIF($R$6:$R$961,R166)&gt;1,"重复","唯一")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IF(COUNTIF($R$6:$R$961,R167)&gt;1,"重复","唯一")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IF(COUNTIF($R$6:$R$961,R168)&gt;1,"重复","唯一")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IF(COUNTIF($R$6:$R$961,R169)&gt;1,"重复","唯一")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IF(COUNTIF($R$6:$R$961,R170)&gt;1,"重复","唯一")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IF(COUNTIF($R$6:$R$961,R171)&gt;1,"重复","唯一")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IF(COUNTIF($R$6:$R$961,R172)&gt;1,"重复","唯一")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IF(COUNTIF($R$6:$R$961,R173)&gt;1,"重复","唯一")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IF(COUNTIF($R$6:$R$961,R174)&gt;1,"重复","唯一")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IF(COUNTIF($R$6:$R$961,R175)&gt;1,"重复","唯一")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IF(COUNTIF($R$6:$R$961,R176)&gt;1,"重复","唯一")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IF(COUNTIF($R$6:$R$961,R177)&gt;1,"重复","唯一")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IF(COUNTIF($R$6:$R$961,R178)&gt;1,"重复","唯一")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IF(COUNTIF($R$6:$R$961,R179)&gt;1,"重复","唯一")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IF(COUNTIF($R$6:$R$961,R180)&gt;1,"重复","唯一")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IF(COUNTIF($R$6:$R$961,R181)&gt;1,"重复","唯一")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IF(COUNTIF($R$6:$R$961,R182)&gt;1,"重复","唯一")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IF(COUNTIF($R$6:$R$961,R183)&gt;1,"重复","唯一")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IF(COUNTIF($R$6:$R$961,R184)&gt;1,"重复","唯一")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IF(COUNTIF($R$6:$R$961,R185)&gt;1,"重复","唯一")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IF(COUNTIF($R$6:$R$961,R186)&gt;1,"重复","唯一")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IF(COUNTIF($R$6:$R$961,R187)&gt;1,"重复","唯一")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IF(COUNTIF($R$6:$R$961,R188)&gt;1,"重复","唯一")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IF(COUNTIF($R$6:$R$961,R189)&gt;1,"重复","唯一")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IF(COUNTIF($R$6:$R$961,R190)&gt;1,"重复","唯一")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IF(COUNTIF($R$6:$R$961,R191)&gt;1,"重复","唯一")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IF(COUNTIF($R$6:$R$961,R192)&gt;1,"重复","唯一")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IF(COUNTIF($R$6:$R$961,R193)&gt;1,"重复","唯一")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IF(COUNTIF($R$6:$R$961,R194)&gt;1,"重复","唯一")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IF(COUNTIF($R$6:$R$961,R195)&gt;1,"重复","唯一")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IF(COUNTIF($R$6:$R$961,R196)&gt;1,"重复","唯一")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IF(COUNTIF($R$6:$R$961,R197)&gt;1,"重复","唯一")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IF(COUNTIF($R$6:$R$961,R198)&gt;1,"重复","唯一")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IF(COUNTIF($R$6:$R$961,R199)&gt;1,"重复","唯一")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IF(COUNTIF($R$6:$R$961,R200)&gt;1,"重复","唯一")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IF(COUNTIF($R$6:$R$961,R201)&gt;1,"重复","唯一")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IF(COUNTIF($R$6:$R$961,R202)&gt;1,"重复","唯一")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IF(COUNTIF($R$6:$R$961,R203)&gt;1,"重复","唯一")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IF(COUNTIF($R$6:$R$961,R204)&gt;1,"重复","唯一")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IF(COUNTIF($R$6:$R$961,R205)&gt;1,"重复","唯一")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IF(COUNTIF($R$6:$R$961,R206)&gt;1,"重复","唯一")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IF(COUNTIF($R$6:$R$961,R207)&gt;1,"重复","唯一")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IF(COUNTIF($R$6:$R$961,R208)&gt;1,"重复","唯一")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IF(COUNTIF($R$6:$R$961,R209)&gt;1,"重复","唯一")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IF(COUNTIF($R$6:$R$961,R210)&gt;1,"重复","唯一")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IF(COUNTIF($R$6:$R$961,R211)&gt;1,"重复","唯一")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IF(COUNTIF($R$6:$R$961,R212)&gt;1,"重复","唯一")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IF(COUNTIF($R$6:$R$961,R213)&gt;1,"重复","唯一")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IF(COUNTIF($R$6:$R$961,R214)&gt;1,"重复","唯一")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IF(COUNTIF($R$6:$R$961,R215)&gt;1,"重复","唯一")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IF(COUNTIF($R$6:$R$961,R216)&gt;1,"重复","唯一")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IF(COUNTIF($R$6:$R$961,R217)&gt;1,"重复","唯一")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IF(COUNTIF($R$6:$R$961,R218)&gt;1,"重复","唯一")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IF(COUNTIF($R$6:$R$961,R219)&gt;1,"重复","唯一")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IF(COUNTIF($R$6:$R$961,R220)&gt;1,"重复","唯一")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IF(COUNTIF($R$6:$R$961,R221)&gt;1,"重复","唯一")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IF(COUNTIF($R$6:$R$961,R222)&gt;1,"重复","唯一")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IF(COUNTIF($R$6:$R$961,R223)&gt;1,"重复","唯一")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IF(COUNTIF($R$6:$R$961,R224)&gt;1,"重复","唯一")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IF(COUNTIF($R$6:$R$961,R225)&gt;1,"重复","唯一")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IF(COUNTIF($R$6:$R$961,R226)&gt;1,"重复","唯一")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IF(COUNTIF($R$6:$R$961,R227)&gt;1,"重复","唯一")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IF(COUNTIF($R$6:$R$961,R228)&gt;1,"重复","唯一")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IF(COUNTIF($R$6:$R$961,R229)&gt;1,"重复","唯一")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IF(COUNTIF($R$6:$R$961,R230)&gt;1,"重复","唯一")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IF(COUNTIF($R$6:$R$961,R231)&gt;1,"重复","唯一")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IF(COUNTIF($R$6:$R$961,R232)&gt;1,"重复","唯一")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IF(COUNTIF($R$6:$R$961,R233)&gt;1,"重复","唯一")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IF(COUNTIF($R$6:$R$961,R234)&gt;1,"重复","唯一")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IF(COUNTIF($R$6:$R$961,R235)&gt;1,"重复","唯一")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IF(COUNTIF($R$6:$R$961,R236)&gt;1,"重复","唯一")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IF(COUNTIF($R$6:$R$961,R237)&gt;1,"重复","唯一")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IF(COUNTIF($R$6:$R$961,R238)&gt;1,"重复","唯一")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IF(COUNTIF($R$6:$R$961,R239)&gt;1,"重复","唯一")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IF(COUNTIF($R$6:$R$961,R240)&gt;1,"重复","唯一")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IF(COUNTIF($R$6:$R$961,R241)&gt;1,"重复","唯一")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IF(COUNTIF($R$6:$R$961,R242)&gt;1,"重复","唯一")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IF(COUNTIF($R$6:$R$961,R243)&gt;1,"重复","唯一")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IF(COUNTIF($R$6:$R$961,R244)&gt;1,"重复","唯一")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IF(COUNTIF($R$6:$R$961,R245)&gt;1,"重复","唯一")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IF(COUNTIF($R$6:$R$961,R246)&gt;1,"重复","唯一")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IF(COUNTIF($R$6:$R$961,R247)&gt;1,"重复","唯一")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IF(COUNTIF($R$6:$R$961,R248)&gt;1,"重复","唯一")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IF(COUNTIF($R$6:$R$961,R249)&gt;1,"重复","唯一")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IF(COUNTIF($R$6:$R$961,R250)&gt;1,"重复","唯一")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IF(COUNTIF($R$6:$R$961,R251)&gt;1,"重复","唯一")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IF(COUNTIF($R$6:$R$961,R252)&gt;1,"重复","唯一")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IF(COUNTIF($R$6:$R$961,R253)&gt;1,"重复","唯一")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IF(COUNTIF($R$6:$R$961,R254)&gt;1,"重复","唯一")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IF(COUNTIF($R$6:$R$961,R255)&gt;1,"重复","唯一")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IF(COUNTIF($R$6:$R$961,R256)&gt;1,"重复","唯一")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IF(COUNTIF($R$6:$R$961,R257)&gt;1,"重复","唯一")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IF(COUNTIF($R$6:$R$961,R258)&gt;1,"重复","唯一")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IF(COUNTIF($R$6:$R$961,R259)&gt;1,"重复","唯一")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IF(COUNTIF($R$6:$R$961,R260)&gt;1,"重复","唯一")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IF(COUNTIF($R$6:$R$961,R261)&gt;1,"重复","唯一")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IF(COUNTIF($R$6:$R$961,R262)&gt;1,"重复","唯一")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IF(COUNTIF($R$6:$R$961,R263)&gt;1,"重复","唯一")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IF(COUNTIF($R$6:$R$961,R264)&gt;1,"重复","唯一")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IF(COUNTIF($R$6:$R$961,R265)&gt;1,"重复","唯一")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IF(COUNTIF($R$6:$R$961,R266)&gt;1,"重复","唯一")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IF(COUNTIF($R$6:$R$961,R267)&gt;1,"重复","唯一")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IF(COUNTIF($R$6:$R$961,R268)&gt;1,"重复","唯一")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IF(COUNTIF($R$6:$R$961,R269)&gt;1,"重复","唯一")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IF(COUNTIF($R$6:$R$961,R270)&gt;1,"重复","唯一")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IF(COUNTIF($R$6:$R$961,R271)&gt;1,"重复","唯一")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IF(COUNTIF($R$6:$R$961,R272)&gt;1,"重复","唯一")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IF(COUNTIF($R$6:$R$961,R273)&gt;1,"重复","唯一")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IF(COUNTIF($R$6:$R$961,R274)&gt;1,"重复","唯一")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IF(COUNTIF($R$6:$R$961,R275)&gt;1,"重复","唯一")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IF(COUNTIF($R$6:$R$961,R276)&gt;1,"重复","唯一")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IF(COUNTIF($R$6:$R$961,R277)&gt;1,"重复","唯一")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IF(COUNTIF($R$6:$R$961,R278)&gt;1,"重复","唯一")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IF(COUNTIF($R$6:$R$961,R279)&gt;1,"重复","唯一")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IF(COUNTIF($R$6:$R$961,R280)&gt;1,"重复","唯一")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IF(COUNTIF($R$6:$R$961,R281)&gt;1,"重复","唯一")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IF(COUNTIF($R$6:$R$961,R282)&gt;1,"重复","唯一")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IF(COUNTIF($R$6:$R$961,R283)&gt;1,"重复","唯一")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IF(COUNTIF($R$6:$R$961,R284)&gt;1,"重复","唯一")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IF(COUNTIF($R$6:$R$961,R285)&gt;1,"重复","唯一")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IF(COUNTIF($R$6:$R$961,R286)&gt;1,"重复","唯一")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IF(COUNTIF($R$6:$R$961,R287)&gt;1,"重复","唯一")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IF(COUNTIF($R$6:$R$961,R288)&gt;1,"重复","唯一")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IF(COUNTIF($R$6:$R$961,R289)&gt;1,"重复","唯一")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IF(COUNTIF($R$6:$R$961,R290)&gt;1,"重复","唯一")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IF(COUNTIF($R$6:$R$961,R291)&gt;1,"重复","唯一")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IF(COUNTIF($R$6:$R$961,R292)&gt;1,"重复","唯一")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IF(COUNTIF($R$6:$R$961,R293)&gt;1,"重复","唯一")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IF(COUNTIF($R$6:$R$961,R294)&gt;1,"重复","唯一")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IF(COUNTIF($R$6:$R$961,R295)&gt;1,"重复","唯一")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IF(COUNTIF($R$6:$R$961,R296)&gt;1,"重复","唯一")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IF(COUNTIF($R$6:$R$961,R297)&gt;1,"重复","唯一")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IF(COUNTIF($R$6:$R$961,R298)&gt;1,"重复","唯一")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IF(COUNTIF($R$6:$R$961,R299)&gt;1,"重复","唯一")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IF(COUNTIF($R$6:$R$961,R300)&gt;1,"重复","唯一")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IF(COUNTIF($R$6:$R$961,R301)&gt;1,"重复","唯一")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IF(COUNTIF($R$6:$R$961,R302)&gt;1,"重复","唯一")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IF(COUNTIF($R$6:$R$961,R303)&gt;1,"重复","唯一")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IF(COUNTIF($R$6:$R$961,R304)&gt;1,"重复","唯一")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IF(COUNTIF($R$6:$R$961,R305)&gt;1,"重复","唯一")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IF(COUNTIF($R$6:$R$961,R306)&gt;1,"重复","唯一")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IF(COUNTIF($R$6:$R$961,R307)&gt;1,"重复","唯一")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IF(COUNTIF($R$6:$R$961,R308)&gt;1,"重复","唯一")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IF(COUNTIF($R$6:$R$961,R309)&gt;1,"重复","唯一")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IF(COUNTIF($R$6:$R$961,R310)&gt;1,"重复","唯一")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IF(COUNTIF($R$6:$R$961,R311)&gt;1,"重复","唯一")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IF(COUNTIF($R$6:$R$961,R312)&gt;1,"重复","唯一")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IF(COUNTIF($R$6:$R$961,R313)&gt;1,"重复","唯一")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IF(COUNTIF($R$6:$R$961,R314)&gt;1,"重复","唯一")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IF(COUNTIF($R$6:$R$961,R315)&gt;1,"重复","唯一")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IF(COUNTIF($R$6:$R$961,R316)&gt;1,"重复","唯一")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IF(COUNTIF($R$6:$R$961,R317)&gt;1,"重复","唯一")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IF(COUNTIF($R$6:$R$961,R318)&gt;1,"重复","唯一")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IF(COUNTIF($R$6:$R$961,R319)&gt;1,"重复","唯一")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IF(COUNTIF($R$6:$R$961,R320)&gt;1,"重复","唯一")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IF(COUNTIF($R$6:$R$961,R321)&gt;1,"重复","唯一")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IF(COUNTIF($R$6:$R$961,R322)&gt;1,"重复","唯一")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IF(COUNTIF($R$6:$R$961,R323)&gt;1,"重复","唯一")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IF(COUNTIF($R$6:$R$961,R324)&gt;1,"重复","唯一")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IF(COUNTIF($R$6:$R$961,R325)&gt;1,"重复","唯一")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IF(COUNTIF($R$6:$R$961,R326)&gt;1,"重复","唯一")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IF(COUNTIF($R$6:$R$961,R327)&gt;1,"重复","唯一")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IF(COUNTIF($R$6:$R$961,R328)&gt;1,"重复","唯一")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IF(COUNTIF($R$6:$R$961,R329)&gt;1,"重复","唯一")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IF(COUNTIF($R$6:$R$961,R330)&gt;1,"重复","唯一")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IF(COUNTIF($R$6:$R$961,R331)&gt;1,"重复","唯一")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IF(COUNTIF($R$6:$R$961,R332)&gt;1,"重复","唯一")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IF(COUNTIF($R$6:$R$961,R333)&gt;1,"重复","唯一")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IF(COUNTIF($R$6:$R$961,R334)&gt;1,"重复","唯一")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IF(COUNTIF($R$6:$R$961,R335)&gt;1,"重复","唯一")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IF(COUNTIF($R$6:$R$961,R336)&gt;1,"重复","唯一")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IF(COUNTIF($R$6:$R$961,R337)&gt;1,"重复","唯一")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IF(COUNTIF($R$6:$R$961,R338)&gt;1,"重复","唯一")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IF(COUNTIF($R$6:$R$961,R339)&gt;1,"重复","唯一")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IF(COUNTIF($R$6:$R$961,R340)&gt;1,"重复","唯一")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IF(COUNTIF($R$6:$R$961,R341)&gt;1,"重复","唯一")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IF(COUNTIF($R$6:$R$961,R342)&gt;1,"重复","唯一")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IF(COUNTIF($R$6:$R$961,R343)&gt;1,"重复","唯一")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IF(COUNTIF($R$6:$R$961,R344)&gt;1,"重复","唯一")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IF(COUNTIF($R$6:$R$961,R345)&gt;1,"重复","唯一")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IF(COUNTIF($R$6:$R$961,R346)&gt;1,"重复","唯一")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IF(COUNTIF($R$6:$R$961,R347)&gt;1,"重复","唯一")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IF(COUNTIF($R$6:$R$961,R348)&gt;1,"重复","唯一")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IF(COUNTIF($R$6:$R$961,R349)&gt;1,"重复","唯一")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IF(COUNTIF($R$6:$R$961,R350)&gt;1,"重复","唯一")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IF(COUNTIF($R$6:$R$961,R351)&gt;1,"重复","唯一")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IF(COUNTIF($R$6:$R$961,R352)&gt;1,"重复","唯一")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IF(COUNTIF($R$6:$R$961,R353)&gt;1,"重复","唯一")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IF(COUNTIF($R$6:$R$961,R354)&gt;1,"重复","唯一")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IF(COUNTIF($R$6:$R$961,R355)&gt;1,"重复","唯一")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IF(COUNTIF($R$6:$R$961,R356)&gt;1,"重复","唯一")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IF(COUNTIF($R$6:$R$961,R357)&gt;1,"重复","唯一")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IF(COUNTIF($R$6:$R$961,R358)&gt;1,"重复","唯一")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IF(COUNTIF($R$6:$R$961,R359)&gt;1,"重复","唯一")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IF(COUNTIF($R$6:$R$961,R360)&gt;1,"重复","唯一")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IF(COUNTIF($R$6:$R$961,R361)&gt;1,"重复","唯一")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IF(COUNTIF($R$6:$R$961,R362)&gt;1,"重复","唯一")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IF(COUNTIF($R$6:$R$961,R363)&gt;1,"重复","唯一")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IF(COUNTIF($R$6:$R$961,R364)&gt;1,"重复","唯一")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IF(COUNTIF($R$6:$R$961,R365)&gt;1,"重复","唯一")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IF(COUNTIF($R$6:$R$961,R366)&gt;1,"重复","唯一")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IF(COUNTIF($R$6:$R$961,R367)&gt;1,"重复","唯一")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IF(COUNTIF($R$6:$R$961,R368)&gt;1,"重复","唯一")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IF(COUNTIF($R$6:$R$961,R369)&gt;1,"重复","唯一")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IF(COUNTIF($R$6:$R$961,R370)&gt;1,"重复","唯一")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IF(COUNTIF($R$6:$R$961,R371)&gt;1,"重复","唯一")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IF(COUNTIF($R$6:$R$961,R372)&gt;1,"重复","唯一")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IF(COUNTIF($R$6:$R$961,R373)&gt;1,"重复","唯一")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IF(COUNTIF($R$6:$R$961,R374)&gt;1,"重复","唯一")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IF(COUNTIF($R$6:$R$961,R375)&gt;1,"重复","唯一")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IF(COUNTIF($R$6:$R$961,R376)&gt;1,"重复","唯一")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IF(COUNTIF($R$6:$R$961,R377)&gt;1,"重复","唯一")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IF(COUNTIF($R$6:$R$961,R378)&gt;1,"重复","唯一")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IF(COUNTIF($R$6:$R$961,R379)&gt;1,"重复","唯一")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IF(COUNTIF($R$6:$R$961,R380)&gt;1,"重复","唯一")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IF(COUNTIF($R$6:$R$961,R381)&gt;1,"重复","唯一")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IF(COUNTIF($R$6:$R$961,R382)&gt;1,"重复","唯一")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IF(COUNTIF($R$6:$R$961,R383)&gt;1,"重复","唯一")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IF(COUNTIF($R$6:$R$961,R384)&gt;1,"重复","唯一")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IF(COUNTIF($R$6:$R$961,R385)&gt;1,"重复","唯一")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IF(COUNTIF($R$6:$R$961,R386)&gt;1,"重复","唯一")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IF(COUNTIF($R$6:$R$961,R387)&gt;1,"重复","唯一")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IF(COUNTIF($R$6:$R$961,R388)&gt;1,"重复","唯一")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IF(COUNTIF($R$6:$R$961,R389)&gt;1,"重复","唯一")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IF(COUNTIF($R$6:$R$961,R390)&gt;1,"重复","唯一")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IF(COUNTIF($R$6:$R$961,R391)&gt;1,"重复","唯一")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IF(COUNTIF($R$6:$R$961,R392)&gt;1,"重复","唯一")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IF(COUNTIF($R$6:$R$961,R393)&gt;1,"重复","唯一")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IF(COUNTIF($R$6:$R$961,R394)&gt;1,"重复","唯一")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IF(COUNTIF($R$6:$R$961,R395)&gt;1,"重复","唯一")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IF(COUNTIF($R$6:$R$961,R396)&gt;1,"重复","唯一")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IF(COUNTIF($R$6:$R$961,R397)&gt;1,"重复","唯一")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IF(COUNTIF($R$6:$R$961,R398)&gt;1,"重复","唯一")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IF(COUNTIF($R$6:$R$961,R399)&gt;1,"重复","唯一")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IF(COUNTIF($R$6:$R$961,R400)&gt;1,"重复","唯一")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IF(COUNTIF($R$6:$R$961,R401)&gt;1,"重复","唯一")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IF(COUNTIF($R$6:$R$961,R402)&gt;1,"重复","唯一")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IF(COUNTIF($R$6:$R$961,R403)&gt;1,"重复","唯一")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IF(COUNTIF($R$6:$R$961,R404)&gt;1,"重复","唯一")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IF(COUNTIF($R$6:$R$961,R405)&gt;1,"重复","唯一")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IF(COUNTIF($R$6:$R$961,R406)&gt;1,"重复","唯一")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IF(COUNTIF($R$6:$R$961,R407)&gt;1,"重复","唯一")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IF(COUNTIF($R$6:$R$961,R408)&gt;1,"重复","唯一")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IF(COUNTIF($R$6:$R$961,R409)&gt;1,"重复","唯一")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IF(COUNTIF($R$6:$R$961,R410)&gt;1,"重复","唯一")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IF(COUNTIF($R$6:$R$961,R411)&gt;1,"重复","唯一")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IF(COUNTIF($R$6:$R$961,R412)&gt;1,"重复","唯一")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IF(COUNTIF($R$6:$R$961,R413)&gt;1,"重复","唯一")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IF(COUNTIF($R$6:$R$961,R414)&gt;1,"重复","唯一")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IF(COUNTIF($R$6:$R$961,R415)&gt;1,"重复","唯一")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IF(COUNTIF($R$6:$R$961,R416)&gt;1,"重复","唯一")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IF(COUNTIF($R$6:$R$961,R417)&gt;1,"重复","唯一")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IF(COUNTIF($R$6:$R$961,R418)&gt;1,"重复","唯一")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IF(COUNTIF($R$6:$R$961,R419)&gt;1,"重复","唯一")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IF(COUNTIF($R$6:$R$961,R420)&gt;1,"重复","唯一")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IF(COUNTIF($R$6:$R$961,R421)&gt;1,"重复","唯一")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IF(COUNTIF($R$6:$R$961,R422)&gt;1,"重复","唯一")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IF(COUNTIF($R$6:$R$961,R423)&gt;1,"重复","唯一")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IF(COUNTIF($R$6:$R$961,R424)&gt;1,"重复","唯一")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IF(COUNTIF($R$6:$R$961,R425)&gt;1,"重复","唯一")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IF(COUNTIF($R$6:$R$961,R426)&gt;1,"重复","唯一")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IF(COUNTIF($R$6:$R$961,R427)&gt;1,"重复","唯一")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IF(COUNTIF($R$6:$R$961,R428)&gt;1,"重复","唯一")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IF(COUNTIF($R$6:$R$961,R429)&gt;1,"重复","唯一")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IF(COUNTIF($R$6:$R$961,R430)&gt;1,"重复","唯一")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IF(COUNTIF($R$6:$R$961,R431)&gt;1,"重复","唯一")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IF(COUNTIF($R$6:$R$961,R432)&gt;1,"重复","唯一")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IF(COUNTIF($R$6:$R$961,R433)&gt;1,"重复","唯一")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IF(COUNTIF($R$6:$R$961,R434)&gt;1,"重复","唯一")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IF(COUNTIF($R$6:$R$961,R435)&gt;1,"重复","唯一")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IF(COUNTIF($R$6:$R$961,R436)&gt;1,"重复","唯一")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IF(COUNTIF($R$6:$R$961,R437)&gt;1,"重复","唯一")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IF(COUNTIF($R$6:$R$961,R438)&gt;1,"重复","唯一")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IF(COUNTIF($R$6:$R$961,R439)&gt;1,"重复","唯一")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IF(COUNTIF($R$6:$R$961,R440)&gt;1,"重复","唯一")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IF(COUNTIF($R$6:$R$961,R441)&gt;1,"重复","唯一")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IF(COUNTIF($R$6:$R$961,R442)&gt;1,"重复","唯一")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IF(COUNTIF($R$6:$R$961,R443)&gt;1,"重复","唯一")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IF(COUNTIF($R$6:$R$961,R444)&gt;1,"重复","唯一")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IF(COUNTIF($R$6:$R$961,R445)&gt;1,"重复","唯一")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IF(COUNTIF($R$6:$R$961,R446)&gt;1,"重复","唯一")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IF(COUNTIF($R$6:$R$961,R447)&gt;1,"重复","唯一")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IF(COUNTIF($R$6:$R$961,R448)&gt;1,"重复","唯一")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IF(COUNTIF($R$6:$R$961,R449)&gt;1,"重复","唯一")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IF(COUNTIF($R$6:$R$961,R450)&gt;1,"重复","唯一")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IF(COUNTIF($R$6:$R$961,R451)&gt;1,"重复","唯一")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IF(COUNTIF($R$6:$R$961,R452)&gt;1,"重复","唯一")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IF(COUNTIF($R$6:$R$961,R453)&gt;1,"重复","唯一")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IF(COUNTIF($R$6:$R$961,R454)&gt;1,"重复","唯一")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IF(COUNTIF($R$6:$R$961,R455)&gt;1,"重复","唯一")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IF(COUNTIF($R$6:$R$961,R456)&gt;1,"重复","唯一")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IF(COUNTIF($R$6:$R$961,R457)&gt;1,"重复","唯一")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IF(COUNTIF($R$6:$R$961,R458)&gt;1,"重复","唯一")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IF(COUNTIF($R$6:$R$961,R459)&gt;1,"重复","唯一")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IF(COUNTIF($R$6:$R$961,R460)&gt;1,"重复","唯一")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IF(COUNTIF($R$6:$R$961,R461)&gt;1,"重复","唯一")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IF(COUNTIF($R$6:$R$961,R462)&gt;1,"重复","唯一")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IF(COUNTIF($R$6:$R$961,R463)&gt;1,"重复","唯一")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IF(COUNTIF($R$6:$R$961,R464)&gt;1,"重复","唯一")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IF(COUNTIF($R$6:$R$961,R465)&gt;1,"重复","唯一")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IF(COUNTIF($R$6:$R$961,R466)&gt;1,"重复","唯一")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IF(COUNTIF($R$6:$R$961,R467)&gt;1,"重复","唯一")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IF(COUNTIF($R$6:$R$961,R468)&gt;1,"重复","唯一")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IF(COUNTIF($R$6:$R$961,R469)&gt;1,"重复","唯一")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IF(COUNTIF($R$6:$R$961,R470)&gt;1,"重复","唯一")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IF(COUNTIF($R$6:$R$961,R471)&gt;1,"重复","唯一")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IF(COUNTIF($R$6:$R$961,R472)&gt;1,"重复","唯一")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IF(COUNTIF($R$6:$R$961,R473)&gt;1,"重复","唯一")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IF(COUNTIF($R$6:$R$961,R474)&gt;1,"重复","唯一")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IF(COUNTIF($R$6:$R$961,R475)&gt;1,"重复","唯一")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IF(COUNTIF($R$6:$R$961,R476)&gt;1,"重复","唯一")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IF(COUNTIF($R$6:$R$961,R477)&gt;1,"重复","唯一")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IF(COUNTIF($R$6:$R$961,R478)&gt;1,"重复","唯一")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IF(COUNTIF($R$6:$R$961,R479)&gt;1,"重复","唯一")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IF(COUNTIF($R$6:$R$961,R480)&gt;1,"重复","唯一")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IF(COUNTIF($R$6:$R$961,R481)&gt;1,"重复","唯一")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IF(COUNTIF($R$6:$R$961,R482)&gt;1,"重复","唯一")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IF(COUNTIF($R$6:$R$961,R483)&gt;1,"重复","唯一")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IF(COUNTIF($R$6:$R$961,R484)&gt;1,"重复","唯一")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IF(COUNTIF($R$6:$R$961,R485)&gt;1,"重复","唯一")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IF(COUNTIF($R$6:$R$961,R486)&gt;1,"重复","唯一")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IF(COUNTIF($R$6:$R$961,R487)&gt;1,"重复","唯一")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IF(COUNTIF($R$6:$R$961,R488)&gt;1,"重复","唯一")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IF(COUNTIF($R$6:$R$961,R489)&gt;1,"重复","唯一")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IF(COUNTIF($R$6:$R$961,R490)&gt;1,"重复","唯一")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IF(COUNTIF($R$6:$R$961,R491)&gt;1,"重复","唯一")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IF(COUNTIF($R$6:$R$961,R492)&gt;1,"重复","唯一")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IF(COUNTIF($R$6:$R$961,R493)&gt;1,"重复","唯一")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IF(COUNTIF($R$6:$R$961,R494)&gt;1,"重复","唯一")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IF(COUNTIF($R$6:$R$961,R495)&gt;1,"重复","唯一")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IF(COUNTIF($R$6:$R$961,R496)&gt;1,"重复","唯一")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IF(COUNTIF($R$6:$R$961,R497)&gt;1,"重复","唯一")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IF(COUNTIF($R$6:$R$961,R498)&gt;1,"重复","唯一")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IF(COUNTIF($R$6:$R$961,R499)&gt;1,"重复","唯一")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IF(COUNTIF($R$6:$R$961,R500)&gt;1,"重复","唯一")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IF(COUNTIF($R$6:$R$961,R501)&gt;1,"重复","唯一")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IF(COUNTIF($R$6:$R$961,R502)&gt;1,"重复","唯一")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IF(COUNTIF($R$6:$R$961,R503)&gt;1,"重复","唯一")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IF(COUNTIF($R$6:$R$961,R504)&gt;1,"重复","唯一")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IF(COUNTIF($R$6:$R$961,R505)&gt;1,"重复","唯一")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IF(COUNTIF($R$6:$R$961,R506)&gt;1,"重复","唯一")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IF(COUNTIF($R$6:$R$961,R507)&gt;1,"重复","唯一")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IF(COUNTIF($R$6:$R$961,R508)&gt;1,"重复","唯一")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IF(COUNTIF($R$6:$R$961,R509)&gt;1,"重复","唯一")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IF(COUNTIF($R$6:$R$961,R510)&gt;1,"重复","唯一")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IF(COUNTIF($R$6:$R$961,R511)&gt;1,"重复","唯一")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IF(COUNTIF($R$6:$R$961,R512)&gt;1,"重复","唯一")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IF(COUNTIF($R$6:$R$961,R513)&gt;1,"重复","唯一")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IF(COUNTIF($R$6:$R$961,R514)&gt;1,"重复","唯一")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IF(COUNTIF($R$6:$R$961,R515)&gt;1,"重复","唯一")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IF(COUNTIF($R$6:$R$961,R516)&gt;1,"重复","唯一")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IF(COUNTIF($R$6:$R$961,R517)&gt;1,"重复","唯一")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IF(COUNTIF($R$6:$R$961,R518)&gt;1,"重复","唯一")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IF(COUNTIF($R$6:$R$961,R519)&gt;1,"重复","唯一")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IF(COUNTIF($R$6:$R$961,R520)&gt;1,"重复","唯一")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IF(COUNTIF($R$6:$R$961,R521)&gt;1,"重复","唯一")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IF(COUNTIF($R$6:$R$961,R522)&gt;1,"重复","唯一")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IF(COUNTIF($R$6:$R$961,R523)&gt;1,"重复","唯一")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IF(COUNTIF($R$6:$R$961,R524)&gt;1,"重复","唯一")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IF(COUNTIF($R$6:$R$961,R525)&gt;1,"重复","唯一")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IF(COUNTIF($R$6:$R$961,R526)&gt;1,"重复","唯一")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IF(COUNTIF($R$6:$R$961,R527)&gt;1,"重复","唯一")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IF(COUNTIF($R$6:$R$961,R528)&gt;1,"重复","唯一")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IF(COUNTIF($R$6:$R$961,R529)&gt;1,"重复","唯一")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IF(COUNTIF($R$6:$R$961,R530)&gt;1,"重复","唯一")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IF(COUNTIF($R$6:$R$961,R531)&gt;1,"重复","唯一")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IF(COUNTIF($R$6:$R$961,R532)&gt;1,"重复","唯一")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IF(COUNTIF($R$6:$R$961,R533)&gt;1,"重复","唯一")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IF(COUNTIF($R$6:$R$961,R534)&gt;1,"重复","唯一")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IF(COUNTIF($R$6:$R$961,R535)&gt;1,"重复","唯一")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IF(COUNTIF($R$6:$R$961,R536)&gt;1,"重复","唯一")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IF(COUNTIF($R$6:$R$961,R537)&gt;1,"重复","唯一")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IF(COUNTIF($R$6:$R$961,R538)&gt;1,"重复","唯一")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IF(COUNTIF($R$6:$R$961,R539)&gt;1,"重复","唯一")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IF(COUNTIF($R$6:$R$961,R540)&gt;1,"重复","唯一")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IF(COUNTIF($R$6:$R$961,R541)&gt;1,"重复","唯一")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IF(COUNTIF($R$6:$R$961,R542)&gt;1,"重复","唯一")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IF(COUNTIF($R$6:$R$961,R543)&gt;1,"重复","唯一")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IF(COUNTIF($R$6:$R$961,R544)&gt;1,"重复","唯一")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IF(COUNTIF($R$6:$R$961,R545)&gt;1,"重复","唯一")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IF(COUNTIF($R$6:$R$961,R546)&gt;1,"重复","唯一")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IF(COUNTIF($R$6:$R$961,R547)&gt;1,"重复","唯一")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IF(COUNTIF($R$6:$R$961,R548)&gt;1,"重复","唯一")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IF(COUNTIF($R$6:$R$961,R549)&gt;1,"重复","唯一")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IF(COUNTIF($R$6:$R$961,R550)&gt;1,"重复","唯一")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IF(COUNTIF($R$6:$R$961,R551)&gt;1,"重复","唯一")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IF(COUNTIF($R$6:$R$961,R552)&gt;1,"重复","唯一")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IF(COUNTIF($R$6:$R$961,R553)&gt;1,"重复","唯一")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IF(COUNTIF($R$6:$R$961,R554)&gt;1,"重复","唯一")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IF(COUNTIF($R$6:$R$961,R555)&gt;1,"重复","唯一")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IF(COUNTIF($R$6:$R$961,R556)&gt;1,"重复","唯一")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IF(COUNTIF($R$6:$R$961,R557)&gt;1,"重复","唯一")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IF(COUNTIF($R$6:$R$961,R558)&gt;1,"重复","唯一")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IF(COUNTIF($R$6:$R$961,R559)&gt;1,"重复","唯一")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IF(COUNTIF($R$6:$R$961,R560)&gt;1,"重复","唯一")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IF(COUNTIF($R$6:$R$961,R561)&gt;1,"重复","唯一")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IF(COUNTIF($R$6:$R$961,R562)&gt;1,"重复","唯一")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IF(COUNTIF($R$6:$R$961,R563)&gt;1,"重复","唯一")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IF(COUNTIF($R$6:$R$961,R564)&gt;1,"重复","唯一")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IF(COUNTIF($R$6:$R$961,R565)&gt;1,"重复","唯一")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IF(COUNTIF($R$6:$R$961,R566)&gt;1,"重复","唯一")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IF(COUNTIF($R$6:$R$961,R567)&gt;1,"重复","唯一")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IF(COUNTIF($R$6:$R$961,R568)&gt;1,"重复","唯一")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IF(COUNTIF($R$6:$R$961,R569)&gt;1,"重复","唯一")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IF(COUNTIF($R$6:$R$961,R570)&gt;1,"重复","唯一")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IF(COUNTIF($R$6:$R$961,R571)&gt;1,"重复","唯一")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IF(COUNTIF($R$6:$R$961,R572)&gt;1,"重复","唯一")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IF(COUNTIF($R$6:$R$961,R573)&gt;1,"重复","唯一")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IF(COUNTIF($R$6:$R$961,R574)&gt;1,"重复","唯一")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IF(COUNTIF($R$6:$R$961,R575)&gt;1,"重复","唯一")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IF(COUNTIF($R$6:$R$961,R576)&gt;1,"重复","唯一")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IF(COUNTIF($R$6:$R$961,R577)&gt;1,"重复","唯一")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IF(COUNTIF($R$6:$R$961,R578)&gt;1,"重复","唯一")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IF(COUNTIF($R$6:$R$961,R579)&gt;1,"重复","唯一")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IF(COUNTIF($R$6:$R$961,R580)&gt;1,"重复","唯一")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IF(COUNTIF($R$6:$R$961,R581)&gt;1,"重复","唯一")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IF(COUNTIF($R$6:$R$961,R582)&gt;1,"重复","唯一")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IF(COUNTIF($R$6:$R$961,R583)&gt;1,"重复","唯一")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IF(COUNTIF($R$6:$R$961,R584)&gt;1,"重复","唯一")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IF(COUNTIF($R$6:$R$961,R585)&gt;1,"重复","唯一")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IF(COUNTIF($R$6:$R$961,R586)&gt;1,"重复","唯一")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IF(COUNTIF($R$6:$R$961,R587)&gt;1,"重复","唯一")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IF(COUNTIF($R$6:$R$961,R588)&gt;1,"重复","唯一")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IF(COUNTIF($R$6:$R$961,R589)&gt;1,"重复","唯一")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IF(COUNTIF($R$6:$R$961,R590)&gt;1,"重复","唯一")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IF(COUNTIF($R$6:$R$961,R591)&gt;1,"重复","唯一")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IF(COUNTIF($R$6:$R$961,R592)&gt;1,"重复","唯一")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IF(COUNTIF($R$6:$R$961,R593)&gt;1,"重复","唯一")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IF(COUNTIF($R$6:$R$961,R594)&gt;1,"重复","唯一")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IF(COUNTIF($R$6:$R$961,R595)&gt;1,"重复","唯一")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IF(COUNTIF($R$6:$R$961,R596)&gt;1,"重复","唯一")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IF(COUNTIF($R$6:$R$961,R597)&gt;1,"重复","唯一")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IF(COUNTIF($R$6:$R$961,R598)&gt;1,"重复","唯一")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IF(COUNTIF($R$6:$R$961,R599)&gt;1,"重复","唯一")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IF(COUNTIF($R$6:$R$961,R600)&gt;1,"重复","唯一")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IF(COUNTIF($R$6:$R$961,R601)&gt;1,"重复","唯一")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IF(COUNTIF($R$6:$R$961,R602)&gt;1,"重复","唯一")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IF(COUNTIF($R$6:$R$961,R603)&gt;1,"重复","唯一")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IF(COUNTIF($R$6:$R$961,R604)&gt;1,"重复","唯一")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IF(COUNTIF($R$6:$R$961,R605)&gt;1,"重复","唯一")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IF(COUNTIF($R$6:$R$961,R606)&gt;1,"重复","唯一")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IF(COUNTIF($R$6:$R$961,R607)&gt;1,"重复","唯一")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IF(COUNTIF($R$6:$R$961,R608)&gt;1,"重复","唯一")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IF(COUNTIF($R$6:$R$961,R609)&gt;1,"重复","唯一")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IF(COUNTIF($R$6:$R$961,R610)&gt;1,"重复","唯一")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IF(COUNTIF($R$6:$R$961,R611)&gt;1,"重复","唯一")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IF(COUNTIF($R$6:$R$961,R612)&gt;1,"重复","唯一")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IF(COUNTIF($R$6:$R$961,R613)&gt;1,"重复","唯一")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IF(COUNTIF($R$6:$R$961,R614)&gt;1,"重复","唯一")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IF(COUNTIF($R$6:$R$961,R615)&gt;1,"重复","唯一")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IF(COUNTIF($R$6:$R$961,R616)&gt;1,"重复","唯一")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IF(COUNTIF($R$6:$R$961,R617)&gt;1,"重复","唯一")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IF(COUNTIF($R$6:$R$961,R618)&gt;1,"重复","唯一")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IF(COUNTIF($R$6:$R$961,R619)&gt;1,"重复","唯一")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IF(COUNTIF($R$6:$R$961,R620)&gt;1,"重复","唯一")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IF(COUNTIF($R$6:$R$961,R621)&gt;1,"重复","唯一")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IF(COUNTIF($R$6:$R$961,R622)&gt;1,"重复","唯一")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IF(COUNTIF($R$6:$R$961,R623)&gt;1,"重复","唯一")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IF(COUNTIF($R$6:$R$961,R624)&gt;1,"重复","唯一")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IF(COUNTIF($R$6:$R$961,R625)&gt;1,"重复","唯一")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IF(COUNTIF($R$6:$R$961,R626)&gt;1,"重复","唯一")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IF(COUNTIF($R$6:$R$961,R627)&gt;1,"重复","唯一")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IF(COUNTIF($R$6:$R$961,R628)&gt;1,"重复","唯一")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IF(COUNTIF($R$6:$R$961,R629)&gt;1,"重复","唯一")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IF(COUNTIF($R$6:$R$961,R630)&gt;1,"重复","唯一")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IF(COUNTIF($R$6:$R$961,R631)&gt;1,"重复","唯一")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IF(COUNTIF($R$6:$R$961,R632)&gt;1,"重复","唯一")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IF(COUNTIF($R$6:$R$961,R633)&gt;1,"重复","唯一")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IF(COUNTIF($R$6:$R$961,R634)&gt;1,"重复","唯一")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IF(COUNTIF($R$6:$R$961,R635)&gt;1,"重复","唯一")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IF(COUNTIF($R$6:$R$961,R636)&gt;1,"重复","唯一")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IF(COUNTIF($R$6:$R$961,R637)&gt;1,"重复","唯一")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IF(COUNTIF($R$6:$R$961,R638)&gt;1,"重复","唯一")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IF(COUNTIF($R$6:$R$961,R639)&gt;1,"重复","唯一")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IF(COUNTIF($R$6:$R$961,R640)&gt;1,"重复","唯一")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IF(COUNTIF($R$6:$R$961,R641)&gt;1,"重复","唯一")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IF(COUNTIF($R$6:$R$961,R642)&gt;1,"重复","唯一")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IF(COUNTIF($R$6:$R$961,R643)&gt;1,"重复","唯一")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IF(COUNTIF($R$6:$R$961,R644)&gt;1,"重复","唯一")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IF(COUNTIF($R$6:$R$961,R645)&gt;1,"重复","唯一")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IF(COUNTIF($R$6:$R$961,R646)&gt;1,"重复","唯一")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IF(COUNTIF($R$6:$R$961,R647)&gt;1,"重复","唯一")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IF(COUNTIF($R$6:$R$961,R648)&gt;1,"重复","唯一")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IF(COUNTIF($R$6:$R$961,R649)&gt;1,"重复","唯一")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IF(COUNTIF($R$6:$R$961,R650)&gt;1,"重复","唯一")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IF(COUNTIF($R$6:$R$961,R651)&gt;1,"重复","唯一")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IF(COUNTIF($R$6:$R$961,R652)&gt;1,"重复","唯一")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IF(COUNTIF($R$6:$R$961,R653)&gt;1,"重复","唯一")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IF(COUNTIF($R$6:$R$961,R654)&gt;1,"重复","唯一")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IF(COUNTIF($R$6:$R$961,R655)&gt;1,"重复","唯一")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IF(COUNTIF($R$6:$R$961,R656)&gt;1,"重复","唯一")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IF(COUNTIF($R$6:$R$961,R657)&gt;1,"重复","唯一")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IF(COUNTIF($R$6:$R$961,R658)&gt;1,"重复","唯一")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IF(COUNTIF($R$6:$R$961,R659)&gt;1,"重复","唯一")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IF(COUNTIF($R$6:$R$961,R660)&gt;1,"重复","唯一")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IF(COUNTIF($R$6:$R$961,R661)&gt;1,"重复","唯一")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IF(COUNTIF($R$6:$R$961,R662)&gt;1,"重复","唯一")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IF(COUNTIF($R$6:$R$961,R663)&gt;1,"重复","唯一")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IF(COUNTIF($R$6:$R$961,R664)&gt;1,"重复","唯一")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IF(COUNTIF($R$6:$R$961,R665)&gt;1,"重复","唯一")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IF(COUNTIF($R$6:$R$961,R666)&gt;1,"重复","唯一")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IF(COUNTIF($R$6:$R$961,R667)&gt;1,"重复","唯一")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IF(COUNTIF($R$6:$R$961,R668)&gt;1,"重复","唯一")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IF(COUNTIF($R$6:$R$961,R669)&gt;1,"重复","唯一")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IF(COUNTIF($R$6:$R$961,R670)&gt;1,"重复","唯一")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IF(COUNTIF($R$6:$R$961,R671)&gt;1,"重复","唯一")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IF(COUNTIF($R$6:$R$961,R672)&gt;1,"重复","唯一")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IF(COUNTIF($R$6:$R$961,R673)&gt;1,"重复","唯一")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IF(COUNTIF($R$6:$R$961,R674)&gt;1,"重复","唯一")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IF(COUNTIF($R$6:$R$961,R675)&gt;1,"重复","唯一")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IF(COUNTIF($R$6:$R$961,R676)&gt;1,"重复","唯一")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IF(COUNTIF($R$6:$R$961,R677)&gt;1,"重复","唯一")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IF(COUNTIF($R$6:$R$961,R678)&gt;1,"重复","唯一")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IF(COUNTIF($R$6:$R$961,R679)&gt;1,"重复","唯一")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IF(COUNTIF($R$6:$R$961,R680)&gt;1,"重复","唯一")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IF(COUNTIF($R$6:$R$961,R681)&gt;1,"重复","唯一")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IF(COUNTIF($R$6:$R$961,R682)&gt;1,"重复","唯一")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IF(COUNTIF($R$6:$R$961,R683)&gt;1,"重复","唯一")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IF(COUNTIF($R$6:$R$961,R684)&gt;1,"重复","唯一")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IF(COUNTIF($R$6:$R$961,R685)&gt;1,"重复","唯一")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IF(COUNTIF($R$6:$R$961,R686)&gt;1,"重复","唯一")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IF(COUNTIF($R$6:$R$961,R687)&gt;1,"重复","唯一")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IF(COUNTIF($R$6:$R$961,R688)&gt;1,"重复","唯一")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IF(COUNTIF($R$6:$R$961,R689)&gt;1,"重复","唯一")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IF(COUNTIF($R$6:$R$961,R690)&gt;1,"重复","唯一")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IF(COUNTIF($R$6:$R$961,R691)&gt;1,"重复","唯一")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IF(COUNTIF($R$6:$R$961,R692)&gt;1,"重复","唯一")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IF(COUNTIF($R$6:$R$961,R693)&gt;1,"重复","唯一")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IF(COUNTIF($R$6:$R$961,R694)&gt;1,"重复","唯一")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IF(COUNTIF($R$6:$R$961,R695)&gt;1,"重复","唯一")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IF(COUNTIF($R$6:$R$961,R696)&gt;1,"重复","唯一")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IF(COUNTIF($R$6:$R$961,R697)&gt;1,"重复","唯一")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IF(COUNTIF($R$6:$R$961,R698)&gt;1,"重复","唯一")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IF(COUNTIF($R$6:$R$961,R699)&gt;1,"重复","唯一")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IF(COUNTIF($R$6:$R$961,R700)&gt;1,"重复","唯一")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IF(COUNTIF($R$6:$R$961,R701)&gt;1,"重复","唯一")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IF(COUNTIF($R$6:$R$961,R702)&gt;1,"重复","唯一")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IF(COUNTIF($R$6:$R$961,R703)&gt;1,"重复","唯一")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IF(COUNTIF($R$6:$R$961,R704)&gt;1,"重复","唯一")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IF(COUNTIF($R$6:$R$961,R705)&gt;1,"重复","唯一")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IF(COUNTIF($R$6:$R$961,R706)&gt;1,"重复","唯一")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IF(COUNTIF($R$6:$R$961,R707)&gt;1,"重复","唯一")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IF(COUNTIF($R$6:$R$961,R708)&gt;1,"重复","唯一")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IF(COUNTIF($R$6:$R$961,R709)&gt;1,"重复","唯一")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IF(COUNTIF($R$6:$R$961,R710)&gt;1,"重复","唯一")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IF(COUNTIF($R$6:$R$961,R711)&gt;1,"重复","唯一")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IF(COUNTIF($R$6:$R$961,R712)&gt;1,"重复","唯一")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IF(COUNTIF($R$6:$R$961,R713)&gt;1,"重复","唯一")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IF(COUNTIF($R$6:$R$961,R714)&gt;1,"重复","唯一")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IF(COUNTIF($R$6:$R$961,R715)&gt;1,"重复","唯一")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IF(COUNTIF($R$6:$R$961,R716)&gt;1,"重复","唯一")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IF(COUNTIF($R$6:$R$961,R717)&gt;1,"重复","唯一")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IF(COUNTIF($R$6:$R$961,R718)&gt;1,"重复","唯一")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IF(COUNTIF($R$6:$R$961,R719)&gt;1,"重复","唯一")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IF(COUNTIF($R$6:$R$961,R720)&gt;1,"重复","唯一")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IF(COUNTIF($R$6:$R$961,R721)&gt;1,"重复","唯一")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IF(COUNTIF($R$6:$R$961,R722)&gt;1,"重复","唯一")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IF(COUNTIF($R$6:$R$961,R723)&gt;1,"重复","唯一")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IF(COUNTIF($R$6:$R$961,R724)&gt;1,"重复","唯一")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IF(COUNTIF($R$6:$R$961,R725)&gt;1,"重复","唯一")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IF(COUNTIF($R$6:$R$961,R726)&gt;1,"重复","唯一")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IF(COUNTIF($R$6:$R$961,R727)&gt;1,"重复","唯一")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IF(COUNTIF($R$6:$R$961,R728)&gt;1,"重复","唯一")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IF(COUNTIF($R$6:$R$961,R729)&gt;1,"重复","唯一")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IF(COUNTIF($R$6:$R$961,R730)&gt;1,"重复","唯一")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IF(COUNTIF($R$6:$R$961,R731)&gt;1,"重复","唯一")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IF(COUNTIF($R$6:$R$961,R732)&gt;1,"重复","唯一")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IF(COUNTIF($R$6:$R$961,R733)&gt;1,"重复","唯一")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IF(COUNTIF($R$6:$R$961,R734)&gt;1,"重复","唯一")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IF(COUNTIF($R$6:$R$961,R735)&gt;1,"重复","唯一")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IF(COUNTIF($R$6:$R$961,R736)&gt;1,"重复","唯一")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IF(COUNTIF($R$6:$R$961,R737)&gt;1,"重复","唯一")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IF(COUNTIF($R$6:$R$961,R738)&gt;1,"重复","唯一")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IF(COUNTIF($R$6:$R$961,R739)&gt;1,"重复","唯一")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IF(COUNTIF($R$6:$R$961,R740)&gt;1,"重复","唯一")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IF(COUNTIF($R$6:$R$961,R741)&gt;1,"重复","唯一")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IF(COUNTIF($R$6:$R$961,R742)&gt;1,"重复","唯一")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IF(COUNTIF($R$6:$R$961,R743)&gt;1,"重复","唯一")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IF(COUNTIF($R$6:$R$961,R744)&gt;1,"重复","唯一")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IF(COUNTIF($R$6:$R$961,R745)&gt;1,"重复","唯一")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IF(COUNTIF($R$6:$R$961,R746)&gt;1,"重复","唯一")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IF(COUNTIF($R$6:$R$961,R747)&gt;1,"重复","唯一")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IF(COUNTIF($R$6:$R$961,R748)&gt;1,"重复","唯一")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IF(COUNTIF($R$6:$R$961,R749)&gt;1,"重复","唯一")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IF(COUNTIF($R$6:$R$961,R750)&gt;1,"重复","唯一")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IF(COUNTIF($R$6:$R$961,R751)&gt;1,"重复","唯一")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IF(COUNTIF($R$6:$R$961,R752)&gt;1,"重复","唯一")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IF(COUNTIF($R$6:$R$961,R753)&gt;1,"重复","唯一")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IF(COUNTIF($R$6:$R$961,R754)&gt;1,"重复","唯一")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IF(COUNTIF($R$6:$R$961,R755)&gt;1,"重复","唯一")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IF(COUNTIF($R$6:$R$961,R756)&gt;1,"重复","唯一")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IF(COUNTIF($R$6:$R$961,R757)&gt;1,"重复","唯一")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IF(COUNTIF($R$6:$R$961,R758)&gt;1,"重复","唯一")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IF(COUNTIF($R$6:$R$961,R759)&gt;1,"重复","唯一")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IF(COUNTIF($R$6:$R$961,R760)&gt;1,"重复","唯一")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IF(COUNTIF($R$6:$R$961,R761)&gt;1,"重复","唯一")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IF(COUNTIF($R$6:$R$961,R762)&gt;1,"重复","唯一")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IF(COUNTIF($R$6:$R$961,R763)&gt;1,"重复","唯一")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IF(COUNTIF($R$6:$R$961,R764)&gt;1,"重复","唯一")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IF(COUNTIF($R$6:$R$961,R765)&gt;1,"重复","唯一")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IF(COUNTIF($R$6:$R$961,R766)&gt;1,"重复","唯一")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IF(COUNTIF($R$6:$R$961,R767)&gt;1,"重复","唯一")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IF(COUNTIF($R$6:$R$961,R768)&gt;1,"重复","唯一")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IF(COUNTIF($R$6:$R$961,R769)&gt;1,"重复","唯一")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IF(COUNTIF($R$6:$R$961,R770)&gt;1,"重复","唯一")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IF(COUNTIF($R$6:$R$961,R771)&gt;1,"重复","唯一")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IF(COUNTIF($R$6:$R$961,R772)&gt;1,"重复","唯一")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IF(COUNTIF($R$6:$R$961,R773)&gt;1,"重复","唯一")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IF(COUNTIF($R$6:$R$961,R774)&gt;1,"重复","唯一")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IF(COUNTIF($R$6:$R$961,R775)&gt;1,"重复","唯一")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IF(COUNTIF($R$6:$R$961,R776)&gt;1,"重复","唯一")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IF(COUNTIF($R$6:$R$961,R777)&gt;1,"重复","唯一")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IF(COUNTIF($R$6:$R$961,R778)&gt;1,"重复","唯一")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IF(COUNTIF($R$6:$R$961,R779)&gt;1,"重复","唯一")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IF(COUNTIF($R$6:$R$961,R780)&gt;1,"重复","唯一")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IF(COUNTIF($R$6:$R$961,R781)&gt;1,"重复","唯一")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IF(COUNTIF($R$6:$R$961,R782)&gt;1,"重复","唯一")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IF(COUNTIF($R$6:$R$961,R783)&gt;1,"重复","唯一")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IF(COUNTIF($R$6:$R$961,R784)&gt;1,"重复","唯一")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IF(COUNTIF($R$6:$R$961,R785)&gt;1,"重复","唯一")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IF(COUNTIF($R$6:$R$961,R786)&gt;1,"重复","唯一")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IF(COUNTIF($R$6:$R$961,R787)&gt;1,"重复","唯一")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IF(COUNTIF($R$6:$R$961,R788)&gt;1,"重复","唯一")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IF(COUNTIF($R$6:$R$961,R789)&gt;1,"重复","唯一")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IF(COUNTIF($R$6:$R$961,R790)&gt;1,"重复","唯一")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IF(COUNTIF($R$6:$R$961,R791)&gt;1,"重复","唯一")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IF(COUNTIF($R$6:$R$961,R792)&gt;1,"重复","唯一")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IF(COUNTIF($R$6:$R$961,R793)&gt;1,"重复","唯一")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IF(COUNTIF($R$6:$R$961,R794)&gt;1,"重复","唯一")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IF(COUNTIF($R$6:$R$961,R795)&gt;1,"重复","唯一")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IF(COUNTIF($R$6:$R$961,R796)&gt;1,"重复","唯一")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IF(COUNTIF($R$6:$R$961,R797)&gt;1,"重复","唯一")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IF(COUNTIF($R$6:$R$961,R798)&gt;1,"重复","唯一")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IF(COUNTIF($R$6:$R$961,R799)&gt;1,"重复","唯一")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IF(COUNTIF($R$6:$R$961,R800)&gt;1,"重复","唯一")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IF(COUNTIF($R$6:$R$961,R801)&gt;1,"重复","唯一")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IF(COUNTIF($R$6:$R$961,R802)&gt;1,"重复","唯一")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IF(COUNTIF($R$6:$R$961,R803)&gt;1,"重复","唯一")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IF(COUNTIF($R$6:$R$961,R804)&gt;1,"重复","唯一")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IF(COUNTIF($R$6:$R$961,R805)&gt;1,"重复","唯一")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IF(COUNTIF($R$6:$R$961,R806)&gt;1,"重复","唯一")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IF(COUNTIF($R$6:$R$961,R807)&gt;1,"重复","唯一")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IF(COUNTIF($R$6:$R$961,R808)&gt;1,"重复","唯一")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IF(COUNTIF($R$6:$R$961,R809)&gt;1,"重复","唯一")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IF(COUNTIF($R$6:$R$961,R810)&gt;1,"重复","唯一")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IF(COUNTIF($R$6:$R$961,R811)&gt;1,"重复","唯一")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IF(COUNTIF($R$6:$R$961,R812)&gt;1,"重复","唯一")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IF(COUNTIF($R$6:$R$961,R813)&gt;1,"重复","唯一")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IF(COUNTIF($R$6:$R$961,R814)&gt;1,"重复","唯一")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IF(COUNTIF($R$6:$R$961,R815)&gt;1,"重复","唯一")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IF(COUNTIF($R$6:$R$961,R816)&gt;1,"重复","唯一")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IF(COUNTIF($R$6:$R$961,R817)&gt;1,"重复","唯一")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IF(COUNTIF($R$6:$R$961,R818)&gt;1,"重复","唯一")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IF(COUNTIF($R$6:$R$961,R819)&gt;1,"重复","唯一")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IF(COUNTIF($R$6:$R$961,R820)&gt;1,"重复","唯一")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IF(COUNTIF($R$6:$R$961,R821)&gt;1,"重复","唯一")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IF(COUNTIF($R$6:$R$961,R822)&gt;1,"重复","唯一")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IF(COUNTIF($R$6:$R$961,R823)&gt;1,"重复","唯一")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IF(COUNTIF($R$6:$R$961,R824)&gt;1,"重复","唯一")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IF(COUNTIF($R$6:$R$961,R825)&gt;1,"重复","唯一")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IF(COUNTIF($R$6:$R$961,R826)&gt;1,"重复","唯一")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IF(COUNTIF($R$6:$R$961,R827)&gt;1,"重复","唯一")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IF(COUNTIF($R$6:$R$961,R828)&gt;1,"重复","唯一")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IF(COUNTIF($R$6:$R$961,R829)&gt;1,"重复","唯一")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IF(COUNTIF($R$6:$R$961,R830)&gt;1,"重复","唯一")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IF(COUNTIF($R$6:$R$961,R831)&gt;1,"重复","唯一")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IF(COUNTIF($R$6:$R$961,R832)&gt;1,"重复","唯一")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IF(COUNTIF($R$6:$R$961,R833)&gt;1,"重复","唯一")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IF(COUNTIF($R$6:$R$961,R834)&gt;1,"重复","唯一")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IF(COUNTIF($R$6:$R$961,R835)&gt;1,"重复","唯一")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IF(COUNTIF($R$6:$R$961,R836)&gt;1,"重复","唯一")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IF(COUNTIF($R$6:$R$961,R837)&gt;1,"重复","唯一")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IF(COUNTIF($R$6:$R$961,R838)&gt;1,"重复","唯一")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IF(COUNTIF($R$6:$R$961,R839)&gt;1,"重复","唯一")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IF(COUNTIF($R$6:$R$961,R840)&gt;1,"重复","唯一")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IF(COUNTIF($R$6:$R$961,R841)&gt;1,"重复","唯一")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IF(COUNTIF($R$6:$R$961,R842)&gt;1,"重复","唯一")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IF(COUNTIF($R$6:$R$961,R843)&gt;1,"重复","唯一")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IF(COUNTIF($R$6:$R$961,R844)&gt;1,"重复","唯一")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IF(COUNTIF($R$6:$R$961,R845)&gt;1,"重复","唯一")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IF(COUNTIF($R$6:$R$961,R846)&gt;1,"重复","唯一")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IF(COUNTIF($R$6:$R$961,R847)&gt;1,"重复","唯一")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IF(COUNTIF($R$6:$R$961,R848)&gt;1,"重复","唯一")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IF(COUNTIF($R$6:$R$961,R849)&gt;1,"重复","唯一")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IF(COUNTIF($R$6:$R$961,R850)&gt;1,"重复","唯一")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IF(COUNTIF($R$6:$R$961,R851)&gt;1,"重复","唯一")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IF(COUNTIF($R$6:$R$961,R852)&gt;1,"重复","唯一")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IF(COUNTIF($R$6:$R$961,R853)&gt;1,"重复","唯一")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IF(COUNTIF($R$6:$R$961,R854)&gt;1,"重复","唯一")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IF(COUNTIF($R$6:$R$961,R855)&gt;1,"重复","唯一")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IF(COUNTIF($R$6:$R$961,R856)&gt;1,"重复","唯一")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IF(COUNTIF($R$6:$R$961,R857)&gt;1,"重复","唯一")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IF(COUNTIF($R$6:$R$961,R858)&gt;1,"重复","唯一")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IF(COUNTIF($R$6:$R$961,R859)&gt;1,"重复","唯一")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IF(COUNTIF($R$6:$R$961,R860)&gt;1,"重复","唯一")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IF(COUNTIF($R$6:$R$961,R861)&gt;1,"重复","唯一")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IF(COUNTIF($R$6:$R$961,R862)&gt;1,"重复","唯一")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IF(COUNTIF($R$6:$R$961,R863)&gt;1,"重复","唯一")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IF(COUNTIF($R$6:$R$961,R864)&gt;1,"重复","唯一")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IF(COUNTIF($R$6:$R$961,R865)&gt;1,"重复","唯一")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IF(COUNTIF($R$6:$R$961,R866)&gt;1,"重复","唯一")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IF(COUNTIF($R$6:$R$961,R867)&gt;1,"重复","唯一")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IF(COUNTIF($R$6:$R$961,R868)&gt;1,"重复","唯一")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IF(COUNTIF($R$6:$R$961,R869)&gt;1,"重复","唯一")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IF(COUNTIF($R$6:$R$961,R870)&gt;1,"重复","唯一")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IF(COUNTIF($R$6:$R$961,R871)&gt;1,"重复","唯一")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IF(COUNTIF($R$6:$R$961,R872)&gt;1,"重复","唯一")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IF(COUNTIF($R$6:$R$961,R873)&gt;1,"重复","唯一")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IF(COUNTIF($R$6:$R$961,R874)&gt;1,"重复","唯一")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IF(COUNTIF($R$6:$R$961,R875)&gt;1,"重复","唯一")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IF(COUNTIF($R$6:$R$961,R876)&gt;1,"重复","唯一")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IF(COUNTIF($R$6:$R$961,R877)&gt;1,"重复","唯一")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IF(COUNTIF($R$6:$R$961,R878)&gt;1,"重复","唯一")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IF(COUNTIF($R$6:$R$961,R879)&gt;1,"重复","唯一")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IF(COUNTIF($R$6:$R$961,R880)&gt;1,"重复","唯一")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IF(COUNTIF($R$6:$R$961,R881)&gt;1,"重复","唯一")</f>
        <v/>
      </c>
      <c r="T881" s="80" t="inlineStr">
        <is>
          <t>481fae53be4362d82a3566877a66b9c9d2a1beabe7014f991cc4a8774c278f27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IF(COUNTIF($R$6:$R$961,R882)&gt;1,"重复","唯一")</f>
        <v/>
      </c>
      <c r="T882" s="80" t="inlineStr">
        <is>
          <t>50194b4671edd67530ee33c341d36a28fb86a60949444620a7b69e944f27dd78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IF(COUNTIF($R$6:$R$961,R883)&gt;1,"重复","唯一")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IF(COUNTIF($R$6:$R$961,R884)&gt;1,"重复","唯一")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IF(COUNTIF($R$6:$R$961,R885)&gt;1,"重复","唯一")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IF(COUNTIF($R$6:$R$961,R886)&gt;1,"重复","唯一")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IF(COUNTIF($R$6:$R$961,R887)&gt;1,"重复","唯一")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IF(COUNTIF($R$6:$R$961,R888)&gt;1,"重复","唯一")</f>
        <v/>
      </c>
      <c r="T888" s="80" t="inlineStr">
        <is>
          <t>6d18ab407a99bc27d726793f6f2c44685027f577338b4c0dcd88d1ab3fbb9a70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IF(COUNTIF($R$6:$R$961,R889)&gt;1,"重复","唯一")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IF(COUNTIF($R$6:$R$961,R890)&gt;1,"重复","唯一")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IF(COUNTIF($R$6:$R$961,R891)&gt;1,"重复","唯一")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IF(COUNTIF($R$6:$R$961,R892)&gt;1,"重复","唯一")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IF(COUNTIF($R$6:$R$961,R893)&gt;1,"重复","唯一")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IF(COUNTIF($R$6:$R$961,R894)&gt;1,"重复","唯一")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IF(COUNTIF($R$6:$R$961,R895)&gt;1,"重复","唯一")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IF(COUNTIF($R$6:$R$961,R896)&gt;1,"重复","唯一")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IF(COUNTIF($R$6:$R$961,R897)&gt;1,"重复","唯一")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IF(COUNTIF($R$6:$R$961,R898)&gt;1,"重复","唯一")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IF(COUNTIF($R$6:$R$961,R899)&gt;1,"重复","唯一")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IF(COUNTIF($R$6:$R$961,R900)&gt;1,"重复","唯一")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IF(COUNTIF($R$6:$R$961,R901)&gt;1,"重复","唯一")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IF(COUNTIF($R$6:$R$961,R902)&gt;1,"重复","唯一")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IF(COUNTIF($R$6:$R$961,R903)&gt;1,"重复","唯一")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IF(COUNTIF($R$6:$R$961,R904)&gt;1,"重复","唯一")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IF(COUNTIF($R$6:$R$961,R905)&gt;1,"重复","唯一")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IF(COUNTIF($R$6:$R$961,R906)&gt;1,"重复","唯一")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IF(COUNTIF($R$6:$R$961,R907)&gt;1,"重复","唯一")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IF(COUNTIF($R$6:$R$961,R908)&gt;1,"重复","唯一")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IF(COUNTIF($R$6:$R$961,R909)&gt;1,"重复","唯一")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IF(COUNTIF($R$6:$R$961,R910)&gt;1,"重复","唯一")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IF(COUNTIF($R$6:$R$961,R911)&gt;1,"重复","唯一")</f>
        <v/>
      </c>
      <c r="T911" s="80" t="inlineStr">
        <is>
          <t>b0416c9f8aec1b2811c3fd65e6dbc42ad79199ae1ba03cec440ba9260e03cd4c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IF(COUNTIF($R$6:$R$961,R912)&gt;1,"重复","唯一")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IF(COUNTIF($R$6:$R$961,R913)&gt;1,"重复","唯一")</f>
        <v/>
      </c>
      <c r="T913" s="80" t="inlineStr">
        <is>
          <t>be92c5dbe68f72a3f0ab48d563e52d21812e33914650c8978d124cb38b8315bb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IF(COUNTIF($R$6:$R$961,R914)&gt;1,"重复","唯一")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IF(COUNTIF($R$6:$R$961,R915)&gt;1,"重复","唯一")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IF(COUNTIF($R$6:$R$961,R916)&gt;1,"重复","唯一")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IF(COUNTIF($R$6:$R$961,R917)&gt;1,"重复","唯一")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IF(COUNTIF($R$6:$R$961,R918)&gt;1,"重复","唯一")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IF(COUNTIF($R$6:$R$961,R919)&gt;1,"重复","唯一")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IF(COUNTIF($R$6:$R$961,R920)&gt;1,"重复","唯一")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IF(COUNTIF($R$6:$R$961,R921)&gt;1,"重复","唯一")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IF(COUNTIF($R$6:$R$961,R922)&gt;1,"重复","唯一")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IF(COUNTIF($R$6:$R$961,R923)&gt;1,"重复","唯一")</f>
        <v/>
      </c>
      <c r="T923" s="80" t="inlineStr">
        <is>
          <t>967cc5b64ce40183ba819e2dfc94218ba3aad856c3be9f3fa7e6faaae6a25089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IF(COUNTIF($R$6:$R$961,R924)&gt;1,"重复","唯一")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IF(COUNTIF($R$6:$R$961,R925)&gt;1,"重复","唯一")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IF(COUNTIF($R$6:$R$961,R926)&gt;1,"重复","唯一")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IF(COUNTIF($R$6:$R$961,R927)&gt;1,"重复","唯一")</f>
        <v/>
      </c>
      <c r="T927" s="80" t="inlineStr">
        <is>
          <t>37a1f9bb0110a3ca3f06499c7eeb90e5dd1d4cbfaf093735c570e980ff2bdbff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IF(COUNTIF($R$6:$R$961,R928)&gt;1,"重复","唯一")</f>
        <v/>
      </c>
      <c r="T928" s="80" t="inlineStr">
        <is>
          <t>1dd364fc9e337eb54d936beb51c562346c065b38f21b6e6a4eb13dc83291c5ad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100F天台专用；场景独立组件（仅登记，未制作）</t>
        </is>
      </c>
      <c r="K929" s="99" t="inlineStr">
        <is>
          <t>design_only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约6.0×1.5m（长6m、宽1.5m）；破损花圃：残破花池+塌落土石，落地件，底面Z=0</t>
        </is>
      </c>
      <c r="O929" s="99" t="n"/>
      <c r="P929" s="99" t="inlineStr">
        <is>
          <t>docs/v0.1/design/rooftop_component_library.md</t>
        </is>
      </c>
      <c r="Q929" s="72" t="inlineStr">
        <is>
          <t>天台破损花圃;破损花池;花圃;3D;Prefab;场景独立组件;broken_flowerbed;天台;100F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IF(COUNTIF($R$6:$R$961,R929)&gt;1,"重复","唯一")</f>
        <v/>
      </c>
      <c r="T929" s="99" t="n"/>
      <c r="U929" s="72" t="inlineStr">
        <is>
          <t>Codex</t>
        </is>
      </c>
      <c r="V929" s="132" t="n">
        <v>46309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0">
      <c r="A930" s="99" t="inlineStr">
        <is>
          <t>ENV-ROOFTOP-SANDBAG-BARRIER</t>
        </is>
      </c>
      <c r="B930" s="72" t="inlineStr">
        <is>
          <t>天台防御沙包墙</t>
        </is>
      </c>
      <c r="C930" s="72" t="inlineStr">
        <is>
          <t>场景</t>
        </is>
      </c>
      <c r="D930" s="99" t="inlineStr">
        <is>
          <t>environment_module_3d</t>
        </is>
      </c>
      <c r="E930" s="99" t="inlineStr">
        <is>
          <t>rooftop_decor</t>
        </is>
      </c>
      <c r="F930" s="99" t="inlineStr">
        <is>
          <t>sandbag_barrier</t>
        </is>
      </c>
      <c r="G930" s="99" t="n"/>
      <c r="H930" s="99" t="inlineStr">
        <is>
          <t>Blender Z-up / -Y</t>
        </is>
      </c>
      <c r="I930" s="99" t="inlineStr">
        <is>
          <t>default</t>
        </is>
      </c>
      <c r="J930" s="72" t="inlineStr">
        <is>
          <t>100F天台专用；场景独立组件（仅登记，未制作）</t>
        </is>
      </c>
      <c r="K930" s="99" t="inlineStr">
        <is>
          <t>design_only</t>
        </is>
      </c>
      <c r="L930" s="99" t="inlineStr">
        <is>
          <t>P1</t>
        </is>
      </c>
      <c r="M930" s="99" t="inlineStr">
        <is>
          <t>v001</t>
        </is>
      </c>
      <c r="N930" s="99" t="inlineStr">
        <is>
          <t>约7.0×2.0m（长7m、宽2m）；防御沙包掩体：堆叠沙包，落地件，底面Z=0</t>
        </is>
      </c>
      <c r="O930" s="99" t="n"/>
      <c r="P930" s="99" t="inlineStr">
        <is>
          <t>docs/v0.1/design/rooftop_component_library.md</t>
        </is>
      </c>
      <c r="Q930" s="72" t="inlineStr">
        <is>
          <t>天台防御沙包;沙包墙;沙包掩体;3D;Prefab;场景独立组件;sandbag_barrier;天台;100F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IF(COUNTIF($R$6:$R$961,R930)&gt;1,"重复","唯一")</f>
        <v/>
      </c>
      <c r="T930" s="99" t="n"/>
      <c r="U930" s="72" t="inlineStr">
        <is>
          <t>Codex</t>
        </is>
      </c>
      <c r="V930" s="132" t="n">
        <v>46309</v>
      </c>
      <c r="W930" s="72" t="inlineStr">
        <is>
          <t>用户设计</t>
        </is>
      </c>
      <c r="X930" s="72" t="inlineStr">
        <is>
          <t>—</t>
        </is>
      </c>
      <c r="Y930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1">
      <c r="A931" s="99" t="inlineStr">
        <is>
          <t>ENV-ROOFTOP-RUBBLE-PILE-A</t>
        </is>
      </c>
      <c r="B931" s="72" t="inlineStr">
        <is>
          <t>天台石块堆 A</t>
        </is>
      </c>
      <c r="C931" s="72" t="inlineStr">
        <is>
          <t>场景</t>
        </is>
      </c>
      <c r="D931" s="99" t="inlineStr">
        <is>
          <t>environment_module_3d</t>
        </is>
      </c>
      <c r="E931" s="99" t="inlineStr">
        <is>
          <t>rooftop_decor</t>
        </is>
      </c>
      <c r="F931" s="99" t="inlineStr">
        <is>
          <t>rubble_pile_a</t>
        </is>
      </c>
      <c r="G931" s="99" t="n"/>
      <c r="H931" s="99" t="inlineStr">
        <is>
          <t>Blender Z-up / -Y</t>
        </is>
      </c>
      <c r="I931" s="99" t="inlineStr">
        <is>
          <t>default</t>
        </is>
      </c>
      <c r="J931" s="72" t="inlineStr">
        <is>
          <t>100F天台专用；场景独立组件（仅登记，未制作）</t>
        </is>
      </c>
      <c r="K931" s="99" t="inlineStr">
        <is>
          <t>design_only</t>
        </is>
      </c>
      <c r="L931" s="99" t="inlineStr">
        <is>
          <t>P1</t>
        </is>
      </c>
      <c r="M931" s="99" t="inlineStr">
        <is>
          <t>v001</t>
        </is>
      </c>
      <c r="N931" s="99" t="inlineStr">
        <is>
          <t>高约1.0~1.3m；石块堆3变种之A，落地件，底面Z=0</t>
        </is>
      </c>
      <c r="O931" s="99" t="n"/>
      <c r="P931" s="99" t="inlineStr">
        <is>
          <t>docs/v0.1/design/rooftop_component_library.md</t>
        </is>
      </c>
      <c r="Q931" s="72" t="inlineStr">
        <is>
          <t>天台石块堆;石块堆A;瓦砾堆;3D;Prefab;场景独立组件;rubble_pile_a;天台;100F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IF(COUNTIF($R$6:$R$961,R931)&gt;1,"重复","唯一")</f>
        <v/>
      </c>
      <c r="T931" s="99" t="n"/>
      <c r="U931" s="72" t="inlineStr">
        <is>
          <t>Codex</t>
        </is>
      </c>
      <c r="V931" s="132" t="n">
        <v>46309</v>
      </c>
      <c r="W931" s="72" t="inlineStr">
        <is>
          <t>用户设计</t>
        </is>
      </c>
      <c r="X931" s="72" t="inlineStr">
        <is>
          <t>—</t>
        </is>
      </c>
      <c r="Y931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2">
      <c r="A932" s="99" t="inlineStr">
        <is>
          <t>ENV-ROOFTOP-RUBBLE-PILE-B</t>
        </is>
      </c>
      <c r="B932" s="72" t="inlineStr">
        <is>
          <t>天台石块堆 B</t>
        </is>
      </c>
      <c r="C932" s="72" t="inlineStr">
        <is>
          <t>场景</t>
        </is>
      </c>
      <c r="D932" s="99" t="inlineStr">
        <is>
          <t>environment_module_3d</t>
        </is>
      </c>
      <c r="E932" s="99" t="inlineStr">
        <is>
          <t>rooftop_decor</t>
        </is>
      </c>
      <c r="F932" s="99" t="inlineStr">
        <is>
          <t>rubble_pile_b</t>
        </is>
      </c>
      <c r="G932" s="99" t="n"/>
      <c r="H932" s="99" t="inlineStr">
        <is>
          <t>Blender Z-up / -Y</t>
        </is>
      </c>
      <c r="I932" s="99" t="inlineStr">
        <is>
          <t>default</t>
        </is>
      </c>
      <c r="J932" s="72" t="inlineStr">
        <is>
          <t>100F天台专用；场景独立组件（仅登记，未制作）</t>
        </is>
      </c>
      <c r="K932" s="99" t="inlineStr">
        <is>
          <t>design_only</t>
        </is>
      </c>
      <c r="L932" s="99" t="inlineStr">
        <is>
          <t>P1</t>
        </is>
      </c>
      <c r="M932" s="99" t="inlineStr">
        <is>
          <t>v001</t>
        </is>
      </c>
      <c r="N932" s="99" t="inlineStr">
        <is>
          <t>高约1.0~1.3m；石块堆3变种之B，落地件，底面Z=0</t>
        </is>
      </c>
      <c r="O932" s="99" t="n"/>
      <c r="P932" s="99" t="inlineStr">
        <is>
          <t>docs/v0.1/design/rooftop_component_library.md</t>
        </is>
      </c>
      <c r="Q932" s="72" t="inlineStr">
        <is>
          <t>天台石块堆;石块堆B;瓦砾堆;3D;Prefab;场景独立组件;rubble_pile_b;天台;100F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IF(COUNTIF($R$6:$R$961,R932)&gt;1,"重复","唯一")</f>
        <v/>
      </c>
      <c r="T932" s="99" t="n"/>
      <c r="U932" s="72" t="inlineStr">
        <is>
          <t>Codex</t>
        </is>
      </c>
      <c r="V932" s="132" t="n">
        <v>46309</v>
      </c>
      <c r="W932" s="72" t="inlineStr">
        <is>
          <t>用户设计</t>
        </is>
      </c>
      <c r="X932" s="72" t="inlineStr">
        <is>
          <t>—</t>
        </is>
      </c>
      <c r="Y932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3">
      <c r="A933" s="99" t="inlineStr">
        <is>
          <t>ENV-ROOFTOP-RUBBLE-PILE-C</t>
        </is>
      </c>
      <c r="B933" s="72" t="inlineStr">
        <is>
          <t>天台石块堆 C</t>
        </is>
      </c>
      <c r="C933" s="72" t="inlineStr">
        <is>
          <t>场景</t>
        </is>
      </c>
      <c r="D933" s="99" t="inlineStr">
        <is>
          <t>environment_module_3d</t>
        </is>
      </c>
      <c r="E933" s="99" t="inlineStr">
        <is>
          <t>rooftop_decor</t>
        </is>
      </c>
      <c r="F933" s="99" t="inlineStr">
        <is>
          <t>rubble_pile_c</t>
        </is>
      </c>
      <c r="G933" s="99" t="n"/>
      <c r="H933" s="99" t="inlineStr">
        <is>
          <t>Blender Z-up / -Y</t>
        </is>
      </c>
      <c r="I933" s="99" t="inlineStr">
        <is>
          <t>default</t>
        </is>
      </c>
      <c r="J933" s="72" t="inlineStr">
        <is>
          <t>100F天台专用；场景独立组件（仅登记，未制作）</t>
        </is>
      </c>
      <c r="K933" s="99" t="inlineStr">
        <is>
          <t>design_only</t>
        </is>
      </c>
      <c r="L933" s="99" t="inlineStr">
        <is>
          <t>P1</t>
        </is>
      </c>
      <c r="M933" s="99" t="inlineStr">
        <is>
          <t>v001</t>
        </is>
      </c>
      <c r="N933" s="99" t="inlineStr">
        <is>
          <t>高约1.0~1.3m；石块堆3变种之C，落地件，底面Z=0</t>
        </is>
      </c>
      <c r="O933" s="99" t="n"/>
      <c r="P933" s="99" t="inlineStr">
        <is>
          <t>docs/v0.1/design/rooftop_component_library.md</t>
        </is>
      </c>
      <c r="Q933" s="72" t="inlineStr">
        <is>
          <t>天台石块堆;石块堆C;瓦砾堆;3D;Prefab;场景独立组件;rubble_pile_c;天台;100F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IF(COUNTIF($R$6:$R$961,R933)&gt;1,"重复","唯一")</f>
        <v/>
      </c>
      <c r="T933" s="99" t="n"/>
      <c r="U933" s="72" t="inlineStr">
        <is>
          <t>Codex</t>
        </is>
      </c>
      <c r="V933" s="132" t="n">
        <v>46309</v>
      </c>
      <c r="W933" s="72" t="inlineStr">
        <is>
          <t>用户设计</t>
        </is>
      </c>
      <c r="X933" s="72" t="inlineStr">
        <is>
          <t>—</t>
        </is>
      </c>
      <c r="Y933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IF(COUNTIF($R$6:$R$961,R934)&gt;1,"重复","唯一")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天台破败木箱 A</t>
        </is>
      </c>
      <c r="C935" s="72" t="inlineStr">
        <is>
          <t>场景</t>
        </is>
      </c>
      <c r="D935" s="99" t="inlineStr">
        <is>
          <t>environment_module_3d</t>
        </is>
      </c>
      <c r="E935" s="99" t="inlineStr">
        <is>
          <t>rooftop_decor</t>
        </is>
      </c>
      <c r="F935" s="99" t="inlineStr">
        <is>
          <t>broken_crate_a</t>
        </is>
      </c>
      <c r="G935" s="99" t="n"/>
      <c r="H935" s="99" t="inlineStr">
        <is>
          <t>Blender Z-up / -Y</t>
        </is>
      </c>
      <c r="I935" s="99" t="inlineStr">
        <is>
          <t>default</t>
        </is>
      </c>
      <c r="J935" s="72" t="inlineStr">
        <is>
          <t>100F天台专用；场景独立组件（仅登记，未制作）</t>
        </is>
      </c>
      <c r="K935" s="99" t="inlineStr">
        <is>
          <t>design_only</t>
        </is>
      </c>
      <c r="L935" s="99" t="inlineStr">
        <is>
          <t>P1</t>
        </is>
      </c>
      <c r="M935" s="99" t="inlineStr">
        <is>
          <t>v001</t>
        </is>
      </c>
      <c r="N935" s="99" t="inlineStr">
        <is>
          <t>破败木箱3套变种之A；落地件，底面Z=0</t>
        </is>
      </c>
      <c r="O935" s="99" t="n"/>
      <c r="P935" s="99" t="inlineStr">
        <is>
          <t>docs/v0.1/design/rooftop_component_library.md</t>
        </is>
      </c>
      <c r="Q935" s="72" t="inlineStr">
        <is>
          <t>天台破败木箱;破木箱A;木箱;3D;Prefab;场景独立组件;broken_crate_a;天台;100F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IF(COUNTIF($R$6:$R$961,R935)&gt;1,"重复","唯一")</f>
        <v/>
      </c>
      <c r="T935" s="99" t="n"/>
      <c r="U935" s="72" t="inlineStr">
        <is>
          <t>Codex</t>
        </is>
      </c>
      <c r="V935" s="132" t="n">
        <v>46309</v>
      </c>
      <c r="W935" s="72" t="inlineStr">
        <is>
          <t>用户设计</t>
        </is>
      </c>
      <c r="X935" s="72" t="inlineStr">
        <is>
          <t>—</t>
        </is>
      </c>
      <c r="Y935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IF(COUNTIF($R$6:$R$961,R936)&gt;1,"重复","唯一")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IF(COUNTIF($R$6:$R$961,R937)&gt;1,"重复","唯一")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IF(COUNTIF($R$6:$R$961,R938)&gt;1,"重复","唯一")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IF(COUNTIF($R$6:$R$961,R939)&gt;1,"重复","唯一")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IF(COUNTIF($R$6:$R$961,R940)&gt;1,"重复","唯一")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IF(COUNTIF($R$6:$R$961,R941)&gt;1,"重复","唯一")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IF(COUNTIF($R$6:$R$961,R942)&gt;1,"重复","唯一")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IF(COUNTIF($R$6:$R$961,R943)&gt;1,"重复","唯一")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IF(COUNTIF($R$6:$R$961,R944)&gt;1,"重复","唯一")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IF(COUNTIF($R$6:$R$961,R945)&gt;1,"重复","唯一")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IF(COUNTIF($R$6:$R$961,R946)&gt;1,"重复","唯一")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IF(COUNTIF($R$6:$R$961,R947)&gt;1,"重复","唯一")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IF(COUNTIF($R$6:$R$961,R948)&gt;1,"重复","唯一")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IF(COUNTIF($R$6:$R$961,R949)&gt;1,"重复","唯一")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IF(COUNTIF($R$6:$R$961,R950)&gt;1,"重复","唯一")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IF(COUNTIF($R$6:$R$961,R951)&gt;1,"重复","唯一")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IF(COUNTIF($R$6:$R$961,R952)&gt;1,"重复","唯一")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IF(COUNTIF($R$6:$R$961,R953)&gt;1,"重复","唯一")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IF(COUNTIF($R$6:$R$961,R954)&gt;1,"重复","唯一")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IF(COUNTIF($R$6:$R$961,R955)&gt;1,"重复","唯一")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IF(COUNTIF($R$6:$R$961,R956)&gt;1,"重复","唯一")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IF(COUNTIF($R$6:$R$961,R957)&gt;1,"重复","唯一")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IF(COUNTIF($R$6:$R$961,R958)&gt;1,"重复","唯一")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IF(COUNTIF($R$6:$R$961,R959)&gt;1,"重复","唯一")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IF(COUNTIF($R$6:$R$961,R960)&gt;1,"重复","唯一")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IF(COUNTIF($R$6:$R$961,R961)&gt;1,"重复","唯一")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</sheetData>
  <autoFilter ref="A5:Y961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61" showDropDown="0" showInputMessage="0" showErrorMessage="0" allowBlank="1" type="list">
      <formula1>"角色,敌人,武器,道具,场景,场景道具,基地资产包,UI,特效,音效,音乐"</formula1>
    </dataValidation>
    <dataValidation sqref="K6:K96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6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s="0" t="inlineStr">
        <is>
          <t>Codex</t>
        </is>
      </c>
    </row>
    <row r="71">
      <c r="A71" s="0" t="inlineStr">
        <is>
          <t>v0.1.37</t>
        </is>
      </c>
      <c r="B71" s="137" t="n">
        <v>46310</v>
      </c>
      <c r="C71" s="0" t="inlineStr">
        <is>
          <t>远景建筑独立源登记</t>
        </is>
      </c>
      <c r="D71" s="0" t="inlineStr">
        <is>
          <t>关卡场景 / 远景建筑</t>
        </is>
      </c>
      <c r="E71" s="0" t="inlineStr">
        <is>
          <t>ENV-FAR-BUILDING-001..024；新增24栋；分类扩展；单栋与布局源索引同步；仅源阶段。</t>
        </is>
      </c>
      <c r="F71" s="0" t="inlineStr">
        <is>
          <t>不新增Prefab专页；不清理历史SHA/基线/总目录数量快照债务。</t>
        </is>
      </c>
      <c r="G71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2026-10-15T03:55:01Z</dcterms:modified>
</cp:coreProperties>
</file>