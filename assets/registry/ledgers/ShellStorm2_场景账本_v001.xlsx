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'资产主表'!$A$5:$Y$248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* #,##0_ ;_ * -#,##0_ ;_ * &quot;-&quot;_ ;_ @_ "/>
    <numFmt numFmtId="167" formatCode="_ \¥* #,##0.00_ ;_ \¥* -#,##0.00_ ;_ \¥* &quot;-&quot;??_ ;_ @_ "/>
    <numFmt numFmtId="168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5" fontId="26" fillId="11" borderId="21"/>
    <xf numFmtId="166" fontId="26" fillId="11" borderId="21"/>
    <xf numFmtId="167" fontId="26" fillId="11" borderId="21"/>
    <xf numFmtId="168" fontId="26" fillId="11" borderId="21"/>
    <xf numFmtId="9" fontId="26" fillId="11" borderId="21"/>
  </cellStyleXfs>
  <cellXfs count="1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=COUNTA(资产主表!$A$6:$A$248)</f>
        <v/>
      </c>
      <c r="B6" s="72" t="inlineStr"/>
      <c r="C6" s="74">
        <f>=COUNTIF(资产主表!$K$6:$K$248,"已完成")+COUNTIF(资产主表!$K$6:$K$248,"原型已接入")+COUNTIF(资产主表!$K$6:$K$248,"正式美术已接入")+COUNTIF(资产主表!$K$6:$K$248,"已优化并正式接入")+COUNTIF(资产主表!$K$6:$K$248,"Blender源已完成")+COUNTIF(资产主表!$K$6:$K$248,"已导入；优化完成")+COUNTIF(资产主表!$K$6:$K$248,"白模源已完成；QA PASS")</f>
        <v/>
      </c>
      <c r="D6" s="72" t="inlineStr"/>
      <c r="E6" s="74">
        <f>=COUNTIF(资产主表!$K$6:$K$248,"待制作")+COUNTIF(资产主表!$K$6:$K$248,"程序占位")</f>
        <v/>
      </c>
      <c r="F6" s="72" t="inlineStr"/>
      <c r="G6" s="74">
        <f>=COUNTIF(资产主表!$S$6:$S$248,"重复")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=COUNTIF(资产主表!$C$6:$C$248,A10)</f>
        <v/>
      </c>
      <c r="C10" s="79">
        <f>=SUMPRODUCT((资产主表!$C$6:$C$248=A10)*((资产主表!$K$6:$K$248="已完成")+(资产主表!$K$6:$K$248="原型已接入")+(资产主表!$K$6:$K$248="正式美术已接入")+(资产主表!$K$6:$K$248="已优化并正式接入")+(资产主表!$K$6:$K$248="Blender源已完成")+(资产主表!$K$6:$K$248="已导入；优化完成")+(资产主表!$K$6:$K$248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=COUNTIF(资产主表!$C$6:$C$248,A11)</f>
        <v/>
      </c>
      <c r="C11" s="79">
        <f>=SUMPRODUCT((资产主表!$C$6:$C$248=A11)*((资产主表!$K$6:$K$248="已完成")+(资产主表!$K$6:$K$248="原型已接入")+(资产主表!$K$6:$K$248="正式美术已接入")+(资产主表!$K$6:$K$248="已优化并正式接入")+(资产主表!$K$6:$K$248="Blender源已完成")+(资产主表!$K$6:$K$248="已导入；优化完成")+(资产主表!$K$6:$K$248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=COUNTIF(资产主表!$C$6:$C$248,A12)</f>
        <v/>
      </c>
      <c r="C12" s="79">
        <f>=SUMPRODUCT((资产主表!$C$6:$C$248=A12)*((资产主表!$K$6:$K$248="已完成")+(资产主表!$K$6:$K$248="原型已接入")+(资产主表!$K$6:$K$248="正式美术已接入")+(资产主表!$K$6:$K$248="已优化并正式接入")+(资产主表!$K$6:$K$248="Blender源已完成")+(资产主表!$K$6:$K$248="已导入；优化完成")+(资产主表!$K$6:$K$248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=COUNTIF(资产主表!$C$6:$C$248,A13)</f>
        <v/>
      </c>
      <c r="C13" s="75">
        <f>=SUMPRODUCT((资产主表!$C$6:$C$248=A13)*((资产主表!$K$6:$K$248="已完成")+(资产主表!$K$6:$K$248="原型已接入")+(资产主表!$K$6:$K$248="正式美术已接入")+(资产主表!$K$6:$K$248="已优化并正式接入")+(资产主表!$K$6:$K$248="Blender源已完成")+(资产主表!$K$6:$K$248="已导入；优化完成")+(资产主表!$K$6:$K$248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=COUNTA('3D-场景通用'!$A$5:$A$204)</f>
        <v/>
      </c>
      <c r="C17" s="79">
        <f>=COUNTIF('3D-场景通用'!$D$5:$D$204,"&lt;&gt;")</f>
        <v/>
      </c>
      <c r="D17" s="79">
        <f>=COUNTIF('3D-场景通用'!$G$5:$G$204,"&lt;&gt;")</f>
        <v/>
      </c>
      <c r="E17" s="79">
        <f>=COUNTIF('3D-场景通用'!$H$5:$H$204,"开")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IF(COUNTIF($R$6:$R$248,R6)&gt;1,"重复","唯一")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IF(COUNTIF($R$6:$R$248,R7)&gt;1,"重复","唯一")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IF(COUNTIF($R$6:$R$248,R8)&gt;1,"重复","唯一")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IF(COUNTIF($R$6:$R$248,R9)&gt;1,"重复","唯一")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IF(COUNTIF($R$6:$R$248,R10)&gt;1,"重复","唯一")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IF(COUNTIF($R$6:$R$248,R11)&gt;1,"重复","唯一")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IF(COUNTIF($R$6:$R$248,R12)&gt;1,"重复","唯一")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IF(COUNTIF($R$6:$R$248,R13)&gt;1,"重复","唯一")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IF(COUNTIF($R$6:$R$248,R14)&gt;1,"重复","唯一")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IF(COUNTIF($R$6:$R$248,R15)&gt;1,"重复","唯一")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IF(COUNTIF($R$6:$R$248,R16)&gt;1,"重复","唯一")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IF(COUNTIF($R$6:$R$248,R17)&gt;1,"重复","唯一")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IF(COUNTIF($R$6:$R$248,R18)&gt;1,"重复","唯一")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IF(COUNTIF($R$6:$R$248,R19)&gt;1,"重复","唯一")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IF(COUNTIF($R$6:$R$248,R20)&gt;1,"重复","唯一")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IF(COUNTIF($R$6:$R$248,R21)&gt;1,"重复","唯一")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IF(COUNTIF($R$6:$R$248,R22)&gt;1,"重复","唯一")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IF(COUNTIF($R$6:$R$248,R23)&gt;1,"重复","唯一")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IF(COUNTIF($R$6:$R$248,R24)&gt;1,"重复","唯一")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IF(COUNTIF($R$6:$R$248,R25)&gt;1,"重复","唯一")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IF(COUNTIF($R$6:$R$248,R26)&gt;1,"重复","唯一")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IF(COUNTIF($R$6:$R$248,R27)&gt;1,"重复","唯一")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IF(COUNTIF($R$6:$R$248,R28)&gt;1,"重复","唯一")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IF(COUNTIF($R$6:$R$248,R29)&gt;1,"重复","唯一")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IF(COUNTIF($R$6:$R$248,R30)&gt;1,"重复","唯一")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IF(COUNTIF($R$6:$R$248,R31)&gt;1,"重复","唯一")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IF(COUNTIF($R$6:$R$248,R32)&gt;1,"重复","唯一")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IF(COUNTIF($R$6:$R$248,R33)&gt;1,"重复","唯一")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IF(COUNTIF($R$6:$R$248,R34)&gt;1,"重复","唯一")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IF(COUNTIF($R$6:$R$248,R35)&gt;1,"重复","唯一")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IF(COUNTIF($R$6:$R$248,R36)&gt;1,"重复","唯一")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IF(COUNTIF($R$6:$R$248,R37)&gt;1,"重复","唯一")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IF(COUNTIF($R$6:$R$248,R38)&gt;1,"重复","唯一")</f>
        <v/>
      </c>
      <c r="T38" s="99" t="inlineStr">
        <is>
          <t>7dc3ff5d1bb5942c8340359bfa6d55374604dfbc9fc8b2a23b68a3079fac2e01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IF(COUNTIF($R$6:$R$248,R39)&gt;1,"重复","唯一")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IF(COUNTIF($R$6:$R$248,R40)&gt;1,"重复","唯一")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IF(COUNTIF($R$6:$R$248,R41)&gt;1,"重复","唯一")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IF(COUNTIF($R$6:$R$248,R42)&gt;1,"重复","唯一")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IF(COUNTIF($R$6:$R$248,R43)&gt;1,"重复","唯一")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IF(COUNTIF($R$6:$R$248,R44)&gt;1,"重复","唯一")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IF(COUNTIF($R$6:$R$248,R45)&gt;1,"重复","唯一")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IF(COUNTIF($R$6:$R$248,R46)&gt;1,"重复","唯一")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IF(COUNTIF($R$6:$R$248,R47)&gt;1,"重复","唯一")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IF(COUNTIF($R$6:$R$248,R48)&gt;1,"重复","唯一")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IF(COUNTIF($R$6:$R$248,R49)&gt;1,"重复","唯一")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IF(COUNTIF($R$6:$R$248,R50)&gt;1,"重复","唯一")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IF(COUNTIF($R$6:$R$248,R51)&gt;1,"重复","唯一")</f>
        <v/>
      </c>
      <c r="T51" s="99" t="inlineStr">
        <is>
          <t>51b63097607e69009e9b2e5ed9315b3c642cdc05e823a2fee547cb0bb1ad8377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IF(COUNTIF($R$6:$R$248,R52)&gt;1,"重复","唯一")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IF(COUNTIF($R$6:$R$248,R53)&gt;1,"重复","唯一")</f>
        <v/>
      </c>
      <c r="T53" s="96" t="inlineStr">
        <is>
          <t>374967bf92d12e54e390a3d8ec6b5c29f6444f63f8302e1a1aeed022f777d14e</t>
        </is>
      </c>
      <c r="U53" s="96" t="inlineStr">
        <is>
          <t>Codex</t>
        </is>
      </c>
      <c r="V53" s="98" t="n">
        <v>46279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IF(COUNTIF($R$6:$R$248,R54)&gt;1,"重复","唯一")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IF(COUNTIF($R$6:$R$248,R55)&gt;1,"重复","唯一")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IF(COUNTIF($R$6:$R$248,R56)&gt;1,"重复","唯一")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IF(COUNTIF($R$6:$R$248,R57)&gt;1,"重复","唯一")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IF(COUNTIF($R$6:$R$248,R58)&gt;1,"重复","唯一")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IF(COUNTIF($R$6:$R$248,R59)&gt;1,"重复","唯一")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source/art/blender/bosses_v01/env_boss_arena_archive_95_top3d_v001.blend;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IF(COUNTIF($R$6:$R$248,R60)&gt;1,"重复","唯一")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source/art/blender/bosses_v01/env_boss_arena_furnace_90_top3d_v001.blend;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IF(COUNTIF($R$6:$R$248,R61)&gt;1,"重复","唯一")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source/art/blender/bosses_v01/env_boss_arena_choir_85_top3d_v001.blend;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IF(COUNTIF($R$6:$R$248,R62)&gt;1,"重复","唯一")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IF(COUNTIF($R$6:$R$248,R63)&gt;1,"重复","唯一")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assets/art/environments/base_facility_3d/source/wall_height12/env_base99_wall_plain_5x12_source_v002.blend;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IF(COUNTIF($R$6:$R$248,R64)&gt;1,"重复","唯一")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assets/art/environments/base_facility_3d/source/wall_height12/env_base99_wall_door_5x12_source_v004.blend;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IF(COUNTIF($R$6:$R$248,R65)&gt;1,"重复","唯一")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IF(COUNTIF($R$6:$R$248,R66)&gt;1,"重复","唯一")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IF(COUNTIF($R$6:$R$248,R67)&gt;1,"重复","唯一")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IF(COUNTIF($R$6:$R$248,R68)&gt;1,"重复","唯一")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IF(COUNTIF($R$6:$R$248,R69)&gt;1,"重复","唯一")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IF(COUNTIF($R$6:$R$248,R70)&gt;1,"重复","唯一")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IF(COUNTIF($R$6:$R$248,R71)&gt;1,"重复","唯一")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IF(COUNTIF($R$6:$R$248,R72)&gt;1,"重复","唯一")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IF(COUNTIF($R$6:$R$248,R73)&gt;1,"重复","唯一")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IF(COUNTIF($R$6:$R$248,R74)&gt;1,"重复","唯一")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IF(COUNTIF($R$6:$R$248,R75)&gt;1,"重复","唯一")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IF(COUNTIF($R$6:$R$248,R76)&gt;1,"重复","唯一")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IF(COUNTIF($R$6:$R$248,R77)&gt;1,"重复","唯一")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IF(COUNTIF($R$6:$R$248,R78)&gt;1,"重复","唯一")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IF(COUNTIF($R$6:$R$248,R79)&gt;1,"重复","唯一")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IF(COUNTIF($R$6:$R$248,R80)&gt;1,"重复","唯一")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IF(COUNTIF($R$6:$R$248,R81)&gt;1,"重复","唯一")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IF(COUNTIF($R$6:$R$248,R82)&gt;1,"重复","唯一")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IF(COUNTIF($R$6:$R$248,R83)&gt;1,"重复","唯一")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IF(COUNTIF($R$6:$R$248,R84)&gt;1,"重复","唯一")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IF(COUNTIF($R$6:$R$248,R85)&gt;1,"重复","唯一")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IF(COUNTIF($R$6:$R$248,R86)&gt;1,"重复","唯一")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IF(COUNTIF($R$6:$R$248,R87)&gt;1,"重复","唯一")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IF(COUNTIF($R$6:$R$248,R88)&gt;1,"重复","唯一")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IF(COUNTIF($R$6:$R$248,R89)&gt;1,"重复","唯一")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IF(COUNTIF($R$6:$R$248,R90)&gt;1,"重复","唯一")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IF(COUNTIF($R$6:$R$248,R91)&gt;1,"重复","唯一")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IF(COUNTIF($R$6:$R$248,R92)&gt;1,"重复","唯一")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IF(COUNTIF($R$6:$R$248,R93)&gt;1,"重复","唯一")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IF(COUNTIF($R$6:$R$248,R94)&gt;1,"重复","唯一")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IF(COUNTIF($R$6:$R$248,R95)&gt;1,"重复","唯一")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IF(COUNTIF($R$6:$R$248,R96)&gt;1,"重复","唯一")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IF(COUNTIF($R$6:$R$248,R97)&gt;1,"重复","唯一")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IF(COUNTIF($R$6:$R$248,R98)&gt;1,"重复","唯一")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IF(COUNTIF($R$6:$R$248,R99)&gt;1,"重复","唯一")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IF(COUNTIF($R$6:$R$248,R100)&gt;1,"重复","唯一")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IF(COUNTIF($R$6:$R$248,R101)&gt;1,"重复","唯一")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IF(COUNTIF($R$6:$R$248,R102)&gt;1,"重复","唯一")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assets/art/environments/base_facility_3d/source/wall_height12/env_base99_wall_window_5x12_source_v002.blend;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IF(COUNTIF($R$6:$R$248,R103)&gt;1,"重复","唯一")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IF(COUNTIF($R$6:$R$248,R104)&gt;1,"重复","唯一")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IF(COUNTIF($R$6:$R$248,R105)&gt;1,"重复","唯一")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IF(COUNTIF($R$6:$R$248,R106)&gt;1,"重复","唯一")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IF(COUNTIF($R$6:$R$248,R107)&gt;1,"重复","唯一")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assets/art/environments/base_facility_3d/source/wall_height12/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IF(COUNTIF($R$6:$R$248,R108)&gt;1,"重复","唯一")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IF(COUNTIF($R$6:$R$248,R109)&gt;1,"重复","唯一")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assets/art/environments/base_facility_3d/source/env_base99_modular_room/env_base99_modular_room_assets_clean_v004.blend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IF(COUNTIF($R$6:$R$248,R110)&gt;1,"重复","唯一")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assets/art/environments/base_facility_3d/source/env_base99_modular_room/env_base99_modular_room_assets_clean_v002.blend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IF(COUNTIF($R$6:$R$248,R111)&gt;1,"重复","唯一")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IF(COUNTIF($R$6:$R$248,R112)&gt;1,"重复","唯一")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IF(COUNTIF($R$6:$R$248,R113)&gt;1,"重复","唯一")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IF(COUNTIF($R$6:$R$248,R114)&gt;1,"重复","唯一")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IF(COUNTIF($R$6:$R$248,R115)&gt;1,"重复","唯一")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IF(COUNTIF($R$6:$R$248,R116)&gt;1,"重复","唯一")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source/art/blender/base_facility_layout/component_packages/architecture/east_mezzanine_structure/asset_manifest.json</t>
        </is>
      </c>
      <c r="P117" s="9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IF(COUNTIF($R$6:$R$248,R117)&gt;1,"重复","唯一")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IF(COUNTIF($R$6:$R$248,R118)&gt;1,"重复","唯一")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source/art/blender/base_facility_layout/component_packages/architecture/northwest_l_stair/asset_manifest.json</t>
        </is>
      </c>
      <c r="P119" s="9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IF(COUNTIF($R$6:$R$248,R119)&gt;1,"重复","唯一")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source/art/blender/base_facility_layout/component_packages/architecture/retained_wall_system/asset_manifest.json</t>
        </is>
      </c>
      <c r="P120" s="9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IF(COUNTIF($R$6:$R$248,R120)&gt;1,"重复","唯一")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source/art/blender/base_facility_layout/component_packages/architecture/underdeck_sheet_blocker/asset_manifest.json</t>
        </is>
      </c>
      <c r="P121" s="9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IF(COUNTIF($R$6:$R$248,R121)&gt;1,"重复","唯一")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source/art/blender/base_facility_layout/component_packages/east_facilities/east_flammable_bin/asset_manifest.json</t>
        </is>
      </c>
      <c r="P122" s="9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IF(COUNTIF($R$6:$R$248,R122)&gt;1,"重复","唯一")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source/art/blender/base_facility_layout/component_packages/east_facilities/east_industrial_pipeline_system/asset_manifest.json</t>
        </is>
      </c>
      <c r="P123" s="9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IF(COUNTIF($R$6:$R$248,R123)&gt;1,"重复","唯一")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source/art/blender/base_facility_layout/component_packages/east_facilities/east_low_storage_bench/asset_manifest.json</t>
        </is>
      </c>
      <c r="P124" s="9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IF(COUNTIF($R$6:$R$248,R124)&gt;1,"重复","唯一")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source/art/blender/base_facility_layout/component_packages/east_facilities/east_maintenance_workstation/asset_manifest.json</t>
        </is>
      </c>
      <c r="P125" s="9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IF(COUNTIF($R$6:$R$248,R125)&gt;1,"重复","唯一")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source/art/blender/base_facility_layout/component_packages/east_facilities/east_personnel_security_door/asset_manifest.json</t>
        </is>
      </c>
      <c r="P126" s="9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IF(COUNTIF($R$6:$R$248,R126)&gt;1,"重复","唯一")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source/art/blender/base_facility_layout/component_packages/east_facilities/east_plant_group/asset_manifest.json</t>
        </is>
      </c>
      <c r="P127" s="9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IF(COUNTIF($R$6:$R$248,R127)&gt;1,"重复","唯一")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source/art/blender/base_facility_layout/component_packages/east_facilities/east_power_distribution/asset_manifest.json</t>
        </is>
      </c>
      <c r="P128" s="9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IF(COUNTIF($R$6:$R$248,R128)&gt;1,"重复","唯一")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source/art/blender/base_facility_layout/component_packages/east_facilities/east_recycle_bin/asset_manifest.json</t>
        </is>
      </c>
      <c r="P129" s="9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IF(COUNTIF($R$6:$R$248,R129)&gt;1,"重复","唯一")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source/art/blender/base_facility_layout/component_packages/east_facilities/east_round_pendant_light/asset_manifest.json</t>
        </is>
      </c>
      <c r="P130" s="9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IF(COUNTIF($R$6:$R$248,R130)&gt;1,"重复","唯一")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source/art/blender/base_facility_layout/component_packages/east_facilities/east_small_safety_devices/asset_manifest.json</t>
        </is>
      </c>
      <c r="P131" s="9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IF(COUNTIF($R$6:$R$248,R131)&gt;1,"重复","唯一")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source/art/blender/base_facility_layout/component_packages/east_facilities/east_supply_24h_station/asset_manifest.json</t>
        </is>
      </c>
      <c r="P132" s="9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IF(COUNTIF($R$6:$R$248,R132)&gt;1,"重复","唯一")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source/art/blender/base_facility_layout/component_packages/east_facilities/east_waste_bin/asset_manifest.json</t>
        </is>
      </c>
      <c r="P133" s="9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IF(COUNTIF($R$6:$R$248,R133)&gt;1,"重复","唯一")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source/art/blender/base_facility_layout/component_packages/east_facilities/east_work_together_poster/asset_manifest.json</t>
        </is>
      </c>
      <c r="P134" s="9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IF(COUNTIF($R$6:$R$248,R134)&gt;1,"重复","唯一")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source/art/blender/base_facility_layout/component_packages/floor/tile_r01_c01/asset_manifest.json</t>
        </is>
      </c>
      <c r="P135" s="9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IF(COUNTIF($R$6:$R$248,R135)&gt;1,"重复","唯一")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source/art/blender/base_facility_layout/component_packages/floor/tile_r01_c02/asset_manifest.json</t>
        </is>
      </c>
      <c r="P136" s="9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IF(COUNTIF($R$6:$R$248,R136)&gt;1,"重复","唯一")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source/art/blender/base_facility_layout/component_packages/floor/tile_r01_c03/asset_manifest.json</t>
        </is>
      </c>
      <c r="P137" s="9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IF(COUNTIF($R$6:$R$248,R137)&gt;1,"重复","唯一")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source/art/blender/base_facility_layout/component_packages/floor/tile_r01_c04/asset_manifest.json</t>
        </is>
      </c>
      <c r="P138" s="9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IF(COUNTIF($R$6:$R$248,R138)&gt;1,"重复","唯一")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source/art/blender/base_facility_layout/component_packages/floor/tile_r01_c05/asset_manifest.json</t>
        </is>
      </c>
      <c r="P139" s="9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IF(COUNTIF($R$6:$R$248,R139)&gt;1,"重复","唯一")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source/art/blender/base_facility_layout/component_packages/floor/tile_r01_c06/asset_manifest.json</t>
        </is>
      </c>
      <c r="P140" s="9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IF(COUNTIF($R$6:$R$248,R140)&gt;1,"重复","唯一")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source/art/blender/base_facility_layout/component_packages/floor/tile_r02_c01/asset_manifest.json</t>
        </is>
      </c>
      <c r="P141" s="9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IF(COUNTIF($R$6:$R$248,R141)&gt;1,"重复","唯一")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source/art/blender/base_facility_layout/component_packages/floor/tile_r02_c02/asset_manifest.json</t>
        </is>
      </c>
      <c r="P142" s="9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IF(COUNTIF($R$6:$R$248,R142)&gt;1,"重复","唯一")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source/art/blender/base_facility_layout/component_packages/floor/tile_r02_c03/asset_manifest.json</t>
        </is>
      </c>
      <c r="P143" s="9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IF(COUNTIF($R$6:$R$248,R143)&gt;1,"重复","唯一")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source/art/blender/base_facility_layout/component_packages/floor/tile_r02_c04/asset_manifest.json</t>
        </is>
      </c>
      <c r="P144" s="9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IF(COUNTIF($R$6:$R$248,R144)&gt;1,"重复","唯一")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source/art/blender/base_facility_layout/component_packages/floor/tile_r02_c05/asset_manifest.json</t>
        </is>
      </c>
      <c r="P145" s="9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IF(COUNTIF($R$6:$R$248,R145)&gt;1,"重复","唯一")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source/art/blender/base_facility_layout/component_packages/floor/tile_r02_c06/asset_manifest.json</t>
        </is>
      </c>
      <c r="P146" s="9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IF(COUNTIF($R$6:$R$248,R146)&gt;1,"重复","唯一")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source/art/blender/base_facility_layout/component_packages/floor/tile_r03_c01/asset_manifest.json</t>
        </is>
      </c>
      <c r="P147" s="9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IF(COUNTIF($R$6:$R$248,R147)&gt;1,"重复","唯一")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source/art/blender/base_facility_layout/component_packages/floor/tile_r03_c02/asset_manifest.json</t>
        </is>
      </c>
      <c r="P148" s="9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IF(COUNTIF($R$6:$R$248,R148)&gt;1,"重复","唯一")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source/art/blender/base_facility_layout/component_packages/floor/tile_r03_c03/asset_manifest.json</t>
        </is>
      </c>
      <c r="P149" s="9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IF(COUNTIF($R$6:$R$248,R149)&gt;1,"重复","唯一")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source/art/blender/base_facility_layout/component_packages/floor/tile_r03_c04/asset_manifest.json</t>
        </is>
      </c>
      <c r="P150" s="9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IF(COUNTIF($R$6:$R$248,R150)&gt;1,"重复","唯一")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source/art/blender/base_facility_layout/component_packages/floor/tile_r03_c05/asset_manifest.json</t>
        </is>
      </c>
      <c r="P151" s="9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IF(COUNTIF($R$6:$R$248,R151)&gt;1,"重复","唯一")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source/art/blender/base_facility_layout/component_packages/floor/tile_r03_c06/asset_manifest.json</t>
        </is>
      </c>
      <c r="P152" s="9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IF(COUNTIF($R$6:$R$248,R152)&gt;1,"重复","唯一")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source/art/blender/base_facility_layout/component_packages/floor/tile_r04_c01/asset_manifest.json</t>
        </is>
      </c>
      <c r="P153" s="9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IF(COUNTIF($R$6:$R$248,R153)&gt;1,"重复","唯一")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source/art/blender/base_facility_layout/component_packages/floor/tile_r04_c02/asset_manifest.json</t>
        </is>
      </c>
      <c r="P154" s="9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IF(COUNTIF($R$6:$R$248,R154)&gt;1,"重复","唯一")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source/art/blender/base_facility_layout/component_packages/floor/tile_r04_c03/asset_manifest.json</t>
        </is>
      </c>
      <c r="P155" s="9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IF(COUNTIF($R$6:$R$248,R155)&gt;1,"重复","唯一")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source/art/blender/base_facility_layout/component_packages/floor/tile_r04_c04/asset_manifest.json</t>
        </is>
      </c>
      <c r="P156" s="9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IF(COUNTIF($R$6:$R$248,R156)&gt;1,"重复","唯一")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source/art/blender/base_facility_layout/component_packages/floor/tile_r04_c05/asset_manifest.json</t>
        </is>
      </c>
      <c r="P157" s="9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IF(COUNTIF($R$6:$R$248,R157)&gt;1,"重复","唯一")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source/art/blender/base_facility_layout/component_packages/floor/tile_r04_c06/asset_manifest.json</t>
        </is>
      </c>
      <c r="P158" s="9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IF(COUNTIF($R$6:$R$248,R158)&gt;1,"重复","唯一")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source/art/blender/base_facility_layout/component_packages/floor/tile_r05_c01/asset_manifest.json</t>
        </is>
      </c>
      <c r="P159" s="9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IF(COUNTIF($R$6:$R$248,R159)&gt;1,"重复","唯一")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source/art/blender/base_facility_layout/component_packages/floor/tile_r05_c02/asset_manifest.json</t>
        </is>
      </c>
      <c r="P160" s="9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IF(COUNTIF($R$6:$R$248,R160)&gt;1,"重复","唯一")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source/art/blender/base_facility_layout/component_packages/floor/tile_r05_c03/asset_manifest.json</t>
        </is>
      </c>
      <c r="P161" s="9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IF(COUNTIF($R$6:$R$248,R161)&gt;1,"重复","唯一")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source/art/blender/base_facility_layout/component_packages/floor/tile_r05_c04/asset_manifest.json</t>
        </is>
      </c>
      <c r="P162" s="9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IF(COUNTIF($R$6:$R$248,R162)&gt;1,"重复","唯一")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source/art/blender/base_facility_layout/component_packages/floor/tile_r05_c05/asset_manifest.json</t>
        </is>
      </c>
      <c r="P163" s="9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IF(COUNTIF($R$6:$R$248,R163)&gt;1,"重复","唯一")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source/art/blender/base_facility_layout/component_packages/floor/tile_r05_c06/asset_manifest.json</t>
        </is>
      </c>
      <c r="P164" s="9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IF(COUNTIF($R$6:$R$248,R164)&gt;1,"重复","唯一")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source/art/blender/base_facility_layout/component_packages/floor/tile_r06_c01/asset_manifest.json</t>
        </is>
      </c>
      <c r="P165" s="9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IF(COUNTIF($R$6:$R$248,R165)&gt;1,"重复","唯一")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source/art/blender/base_facility_layout/component_packages/floor/tile_r06_c02/asset_manifest.json</t>
        </is>
      </c>
      <c r="P166" s="9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IF(COUNTIF($R$6:$R$248,R166)&gt;1,"重复","唯一")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source/art/blender/base_facility_layout/component_packages/floor/tile_r06_c03/asset_manifest.json</t>
        </is>
      </c>
      <c r="P167" s="9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IF(COUNTIF($R$6:$R$248,R167)&gt;1,"重复","唯一")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source/art/blender/base_facility_layout/component_packages/floor/tile_r06_c04/asset_manifest.json</t>
        </is>
      </c>
      <c r="P168" s="9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IF(COUNTIF($R$6:$R$248,R168)&gt;1,"重复","唯一")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source/art/blender/base_facility_layout/component_packages/floor/tile_r06_c05/asset_manifest.json</t>
        </is>
      </c>
      <c r="P169" s="9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IF(COUNTIF($R$6:$R$248,R169)&gt;1,"重复","唯一")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source/art/blender/base_facility_layout/component_packages/floor/tile_r06_c06/asset_manifest.json</t>
        </is>
      </c>
      <c r="P170" s="9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IF(COUNTIF($R$6:$R$248,R170)&gt;1,"重复","唯一")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source/art/blender/base_facility_layout/component_packages/loft/loft_backwall_function_panel_system/asset_manifest.json</t>
        </is>
      </c>
      <c r="P171" s="9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IF(COUNTIF($R$6:$R$248,R171)&gt;1,"重复","唯一")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source/art/blender/base_facility_layout/component_packages/loft/loft_backwall_services/asset_manifest.json</t>
        </is>
      </c>
      <c r="P172" s="9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IF(COUNTIF($R$6:$R$248,R172)&gt;1,"重复","唯一")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source/art/blender/base_facility_layout/component_packages/loft/loft_battery_cabinet/asset_manifest.json</t>
        </is>
      </c>
      <c r="P173" s="9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IF(COUNTIF($R$6:$R$248,R173)&gt;1,"重复","唯一")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source/art/blender/base_facility_layout/component_packages/loft/loft_bed_and_bedding/asset_manifest.json</t>
        </is>
      </c>
      <c r="P174" s="9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IF(COUNTIF($R$6:$R$248,R174)&gt;1,"重复","唯一")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source/art/blender/base_facility_layout/component_packages/loft/loft_bedside_lamp/asset_manifest.json</t>
        </is>
      </c>
      <c r="P175" s="9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IF(COUNTIF($R$6:$R$248,R175)&gt;1,"重复","唯一")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source/art/blender/base_facility_layout/component_packages/loft/loft_bedside_rug/asset_manifest.json</t>
        </is>
      </c>
      <c r="P176" s="9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IF(COUNTIF($R$6:$R$248,R176)&gt;1,"重复","唯一")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source/art/blender/base_facility_layout/component_packages/loft/loft_coffee_table/asset_manifest.json</t>
        </is>
      </c>
      <c r="P177" s="9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IF(COUNTIF($R$6:$R$248,R177)&gt;1,"重复","唯一")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source/art/blender/base_facility_layout/component_packages/loft/loft_computer_workstation/asset_manifest.json</t>
        </is>
      </c>
      <c r="P178" s="9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IF(COUNTIF($R$6:$R$248,R178)&gt;1,"重复","唯一")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source/art/blender/base_facility_layout/component_packages/loft/loft_explore_poster/asset_manifest.json</t>
        </is>
      </c>
      <c r="P179" s="9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IF(COUNTIF($R$6:$R$248,R179)&gt;1,"重复","唯一")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source/art/blender/base_facility_layout/component_packages/loft/loft_food_cabinet/asset_manifest.json</t>
        </is>
      </c>
      <c r="P180" s="9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IF(COUNTIF($R$6:$R$248,R180)&gt;1,"重复","唯一")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source/art/blender/base_facility_layout/component_packages/loft/loft_good_vibes_neon/asset_manifest.json</t>
        </is>
      </c>
      <c r="P181" s="9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IF(COUNTIF($R$6:$R$248,R181)&gt;1,"重复","唯一")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source/art/blender/base_facility_layout/component_packages/loft/loft_hanging_plant/asset_manifest.json</t>
        </is>
      </c>
      <c r="P182" s="9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IF(COUNTIF($R$6:$R$248,R182)&gt;1,"重复","唯一")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source/art/blender/base_facility_layout/component_packages/loft/loft_lounge_rug/asset_manifest.json</t>
        </is>
      </c>
      <c r="P183" s="9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IF(COUNTIF($R$6:$R$248,R183)&gt;1,"重复","唯一")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source/art/blender/base_facility_layout/component_packages/loft/loft_lounge_sofa/asset_manifest.json</t>
        </is>
      </c>
      <c r="P184" s="9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IF(COUNTIF($R$6:$R$248,R184)&gt;1,"重复","唯一")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source/art/blender/base_facility_layout/component_packages/loft/loft_medical_cabinet/asset_manifest.json</t>
        </is>
      </c>
      <c r="P185" s="9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IF(COUNTIF($R$6:$R$248,R185)&gt;1,"重复","唯一")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source/art/blender/base_facility_layout/component_packages/loft/loft_nightstand/asset_manifest.json</t>
        </is>
      </c>
      <c r="P186" s="9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IF(COUNTIF($R$6:$R$248,R186)&gt;1,"重复","唯一")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source/art/blender/base_facility_layout/component_packages/loft/loft_office_chair/asset_manifest.json</t>
        </is>
      </c>
      <c r="P187" s="9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IF(COUNTIF($R$6:$R$248,R187)&gt;1,"重复","唯一")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source/art/blender/base_facility_layout/component_packages/loft/loft_pouf_01/asset_manifest.json</t>
        </is>
      </c>
      <c r="P188" s="9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IF(COUNTIF($R$6:$R$248,R188)&gt;1,"重复","唯一")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source/art/blender/base_facility_layout/component_packages/loft/loft_pouf_02/asset_manifest.json</t>
        </is>
      </c>
      <c r="P189" s="9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IF(COUNTIF($R$6:$R$248,R189)&gt;1,"重复","唯一")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source/art/blender/base_facility_layout/component_packages/loft/loft_side_table/asset_manifest.json</t>
        </is>
      </c>
      <c r="P190" s="9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IF(COUNTIF($R$6:$R$248,R190)&gt;1,"重复","唯一")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source/art/blender/base_facility_layout/component_packages/loft/loft_stay_curious_neon/asset_manifest.json</t>
        </is>
      </c>
      <c r="P191" s="9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IF(COUNTIF($R$6:$R$248,R191)&gt;1,"重复","唯一")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source/art/blender/base_facility_layout/component_packages/loft/loft_striped_privacy_curtain/asset_manifest.json</t>
        </is>
      </c>
      <c r="P192" s="9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IF(COUNTIF($R$6:$R$248,R192)&gt;1,"重复","唯一")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source/art/blender/base_facility_layout/component_packages/loft/loft_tool_pegboard/asset_manifest.json</t>
        </is>
      </c>
      <c r="P193" s="9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IF(COUNTIF($R$6:$R$248,R193)&gt;1,"重复","唯一")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source/art/blender/base_facility_layout/component_packages/support/corridor_emergency_light_group/asset_manifest.json</t>
        </is>
      </c>
      <c r="P194" s="9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IF(COUNTIF($R$6:$R$248,R194)&gt;1,"重复","唯一")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source/art/blender/base_facility_layout/component_packages/support/loft_lighting_support/asset_manifest.json</t>
        </is>
      </c>
      <c r="P195" s="9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IF(COUNTIF($R$6:$R$248,R195)&gt;1,"重复","唯一")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source/art/blender/base_facility_layout/component_packages/support/volumetric_dust_fx/asset_manifest.json</t>
        </is>
      </c>
      <c r="P196" s="9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IF(COUNTIF($R$6:$R$248,R196)&gt;1,"重复","唯一")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source/art/blender/base_facility_layout/component_packages/support/warehouse_pendant_light_group/asset_manifest.json</t>
        </is>
      </c>
      <c r="P197" s="9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IF(COUNTIF($R$6:$R$248,R197)&gt;1,"重复","唯一")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source/art/blender/base_facility_layout/component_packages/underloft/access_terminal/asset_manifest.json</t>
        </is>
      </c>
      <c r="P198" s="9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IF(COUNTIF($R$6:$R$248,R198)&gt;1,"重复","唯一")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source/art/blender/base_facility_layout/component_packages/underloft/base_camp_neon_sign/asset_manifest.json</t>
        </is>
      </c>
      <c r="P199" s="9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IF(COUNTIF($R$6:$R$248,R199)&gt;1,"重复","唯一")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source/art/blender/base_facility_layout/component_packages/underloft/base_camp_rollup_main_door/asset_manifest.json</t>
        </is>
      </c>
      <c r="P200" s="9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IF(COUNTIF($R$6:$R$248,R200)&gt;1,"重复","唯一")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source/art/blender/base_facility_layout/component_packages/underloft/base_status_terminal/asset_manifest.json</t>
        </is>
      </c>
      <c r="P201" s="9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IF(COUNTIF($R$6:$R$248,R201)&gt;1,"重复","唯一")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source/art/blender/base_facility_layout/component_packages/underloft/hologram_terminal_platform/asset_manifest.json</t>
        </is>
      </c>
      <c r="P202" s="9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IF(COUNTIF($R$6:$R$248,R202)&gt;1,"重复","唯一")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source/art/blender/base_facility_layout/component_packages/underloft/main_door_low_storage_cabinet/asset_manifest.json</t>
        </is>
      </c>
      <c r="P203" s="9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IF(COUNTIF($R$6:$R$248,R203)&gt;1,"重复","唯一")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source/art/blender/base_facility_layout/component_packages/underloft/medical_cabinet/asset_manifest.json</t>
        </is>
      </c>
      <c r="P204" s="9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IF(COUNTIF($R$6:$R$248,R204)&gt;1,"重复","唯一")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source/art/blender/base_facility_layout/component_packages/underloft/narrow_battery_cabinet/asset_manifest.json</t>
        </is>
      </c>
      <c r="P205" s="9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IF(COUNTIF($R$6:$R$248,R205)&gt;1,"重复","唯一")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source/art/blender/base_facility_layout/component_packages/underloft/narrow_emergency_cabinet/asset_manifest.json</t>
        </is>
      </c>
      <c r="P206" s="9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IF(COUNTIF($R$6:$R$248,R206)&gt;1,"重复","唯一")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source/art/blender/base_facility_layout/component_packages/underloft/south_industrial_wall_details/asset_manifest.json</t>
        </is>
      </c>
      <c r="P207" s="9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IF(COUNTIF($R$6:$R$248,R207)&gt;1,"重复","唯一")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source/art/blender/base_facility_layout/component_packages/underloft/south_upper_railing_details/asset_manifest.json</t>
        </is>
      </c>
      <c r="P208" s="9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IF(COUNTIF($R$6:$R$248,R208)&gt;1,"重复","唯一")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source/art/blender/base_facility_layout/component_packages/underloft/south_wall_pipeline_system/asset_manifest.json</t>
        </is>
      </c>
      <c r="P209" s="9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IF(COUNTIF($R$6:$R$248,R209)&gt;1,"重复","唯一")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source/art/blender/base_facility_layout/component_packages/underloft/storage_terminal/asset_manifest.json</t>
        </is>
      </c>
      <c r="P210" s="9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IF(COUNTIF($R$6:$R$248,R210)&gt;1,"重复","唯一")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source/art/blender/base_facility_layout/component_packages/underloft/tools_cabinet/asset_manifest.json</t>
        </is>
      </c>
      <c r="P211" s="9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IF(COUNTIF($R$6:$R$248,R211)&gt;1,"重复","唯一")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source/art/blender/base_facility_layout/component_packages/underloft/understair_bulletin_board/asset_manifest.json</t>
        </is>
      </c>
      <c r="P212" s="9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IF(COUNTIF($R$6:$R$248,R212)&gt;1,"重复","唯一")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source/art/blender/base_facility_layout/component_packages/underloft/understair_equipment_cabinet/asset_manifest.json</t>
        </is>
      </c>
      <c r="P213" s="9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IF(COUNTIF($R$6:$R$248,R213)&gt;1,"重复","唯一")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source/art/blender/base_facility_layout/component_packages/underloft/understair_green_bench/asset_manifest.json</t>
        </is>
      </c>
      <c r="P214" s="9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IF(COUNTIF($R$6:$R$248,R214)&gt;1,"重复","唯一")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source/art/blender/base_facility_layout/component_packages/underloft/understair_lighting_living_support/asset_manifest.json</t>
        </is>
      </c>
      <c r="P215" s="9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IF(COUNTIF($R$6:$R$248,R215)&gt;1,"重复","唯一")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source/art/blender/base_facility_layout/component_packages/underloft/understair_storage_shelf/asset_manifest.json</t>
        </is>
      </c>
      <c r="P216" s="9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IF(COUNTIF($R$6:$R$248,R216)&gt;1,"重复","唯一")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source/art/blender/base_facility_layout/component_packages/underloft/weapon_workshop_station/asset_manifest.json</t>
        </is>
      </c>
      <c r="P217" s="9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IF(COUNTIF($R$6:$R$248,R217)&gt;1,"重复","唯一")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source/art/blender/base_facility_layout/component_packages/warehouse/air_compressor/asset_manifest.json</t>
        </is>
      </c>
      <c r="P218" s="9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IF(COUNTIF($R$6:$R$248,R218)&gt;1,"重复","唯一")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source/art/blender/base_facility_layout/component_packages/warehouse/backup_generator/asset_manifest.json</t>
        </is>
      </c>
      <c r="P219" s="9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IF(COUNTIF($R$6:$R$248,R219)&gt;1,"重复","唯一")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source/art/blender/base_facility_layout/component_packages/warehouse/battery_bank/asset_manifest.json</t>
        </is>
      </c>
      <c r="P220" s="9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IF(COUNTIF($R$6:$R$248,R220)&gt;1,"重复","唯一")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source/art/blender/base_facility_layout/component_packages/warehouse/heavy_supply_shelf/asset_manifest.json</t>
        </is>
      </c>
      <c r="P221" s="9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IF(COUNTIF($R$6:$R$248,R221)&gt;1,"重复","唯一")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source/art/blender/base_facility_layout/component_packages/warehouse/hose_reel/asset_manifest.json</t>
        </is>
      </c>
      <c r="P222" s="9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IF(COUNTIF($R$6:$R$248,R222)&gt;1,"重复","唯一")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source/art/blender/base_facility_layout/component_packages/warehouse/industrial_water_tank/asset_manifest.json</t>
        </is>
      </c>
      <c r="P223" s="9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IF(COUNTIF($R$6:$R$248,R223)&gt;1,"重复","唯一")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source/art/blender/base_facility_layout/component_packages/warehouse/south_wall_information_boards/asset_manifest.json</t>
        </is>
      </c>
      <c r="P224" s="9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IF(COUNTIF($R$6:$R$248,R224)&gt;1,"重复","唯一")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source/art/blender/base_facility_layout/component_packages/warehouse/water_purifier/asset_manifest.json</t>
        </is>
      </c>
      <c r="P225" s="9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IF(COUNTIF($R$6:$R$248,R225)&gt;1,"重复","唯一")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source/art/blender/base_facility_layout/component_packages/east_facilities/east_door_access_control/asset_manifest.json</t>
        </is>
      </c>
      <c r="P226" s="9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IF(COUNTIF($R$6:$R$248,R226)&gt;1,"重复","唯一")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source/art/blender/base_facility_layout/component_packages/architecture/east_door_wall_module/asset_manifest.json</t>
        </is>
      </c>
      <c r="P227" s="9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IF(COUNTIF($R$6:$R$248,R227)&gt;1,"重复","唯一")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source/art/blender/base_facility_layout/component_packages/architecture/west_door_wall_module/asset_manifest.json</t>
        </is>
      </c>
      <c r="P228" s="9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IF(COUNTIF($R$6:$R$248,R228)&gt;1,"重复","唯一")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source/art/blender/base_facility_layout/component_packages/west_facilities/west_door_lift_instance/asset_manifest.json</t>
        </is>
      </c>
      <c r="P229" s="9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IF(COUNTIF($R$6:$R$248,R229)&gt;1,"重复","唯一")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source/art/blender/base_facility_layout/component_packages/floor/loft_floor_finish/asset_manifest.json</t>
        </is>
      </c>
      <c r="P230" s="9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IF(COUNTIF($R$6:$R$248,R230)&gt;1,"重复","唯一")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source/art/blender/base_facility_layout/source/base_facility_runtime_layout_hq_v026.blend; assets/art/environments/base_facility_3d/source/env_base99_wall_contents_v021_manifest.json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IF(COUNTIF($R$6:$R$248,R231)&gt;1,"重复","唯一")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IF(COUNTIF($R$6:$R$248,R232)&gt;1,"重复","唯一")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source/art/whitebox/tower_zones/v015/data/whitebox_tower_stairs_v015.json</t>
        </is>
      </c>
      <c r="P233" s="99" t="inlineStr">
        <is>
          <t>source/art/whitebox/tower_zones/v015/blender/whitebox_tower_stairs_v015.blend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IF(COUNTIF($R$6:$R$248,R233)&gt;1,"重复","唯一")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source/art/whitebox/tower_zones/v015/data/whitebox_tower_stairs_v015.json</t>
        </is>
      </c>
      <c r="P234" s="99" t="inlineStr">
        <is>
          <t>source/art/whitebox/tower_zones/v015/blender/whitebox_tower_stairs_v015.blend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IF(COUNTIF($R$6:$R$248,R234)&gt;1,"重复","唯一")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source/art/whitebox/tower_zones/v015/data/whitebox_tower_stairs_v015.json</t>
        </is>
      </c>
      <c r="P235" s="99" t="inlineStr">
        <is>
          <t>source/art/whitebox/tower_zones/v015/blender/whitebox_tower_stairs_v015.blend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IF(COUNTIF($R$6:$R$248,R235)&gt;1,"重复","唯一")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source/art/whitebox/tower_zones/v015/data/whitebox_tower_stairs_v015.json</t>
        </is>
      </c>
      <c r="P236" s="99" t="inlineStr">
        <is>
          <t>source/art/whitebox/tower_zones/v015/blender/whitebox_tower_stairs_v015.blend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IF(COUNTIF($R$6:$R$248,R236)&gt;1,"重复","唯一")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source/art/whitebox/tower_zones/v013/data/stair_component_library_v001.json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IF(COUNTIF($R$6:$R$248,R237)&gt;1,"重复","唯一")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assets/art/environments/tower_zones/rooftop/source/reference_components/v002/天台区块_参考组件库_v002.blend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IF(COUNTIF($R$6:$R$248,R238)&gt;1,"重复","唯一")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IF(COUNTIF($R$6:$R$248,R239)&gt;1,"重复","唯一")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assets/art/environments/tower_zones/rooftop/source/layouts/100f_decorated_v001/rooftop_100f_decorated_layout_v001.blend</t>
        </is>
      </c>
      <c r="P240" s="99" t="inlineStr">
        <is>
          <t>assets/art/environments/tower_zones/rooftop/source/layouts/100f_decorated_v001/rooftop_100f_decorated_layout_v001.json;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IF(COUNTIF($R$6:$R$248,R240)&gt;1,"重复","唯一")</f>
        <v/>
      </c>
      <c r="T240" s="99" t="inlineStr">
        <is>
          <t>e65aa1389076254a856b1941e5c680e6663e4e32d8fe260f3a490208cd21a8c5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source/art/whitebox/tower_zones/expedition_01/v001/blender/远征关卡01_白模_Boss竞技场_50x40m_v001.blend</t>
        </is>
      </c>
      <c r="P241" s="99" t="inlineStr">
        <is>
          <t>source/art/whitebox/tower_zones/battle_level01/v003/blender/局内关卡01_白模_Boss竞技场_190x90m_v003.blend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IF(COUNTIF($R$6:$R$248,R241)&gt;1,"重复","唯一")</f>
        <v/>
      </c>
      <c r="T241" s="99" t="inlineStr">
        <is>
          <t>7a5018a8f1112c3625d83838ffbb5294738d938f3eca46a9cbb4f21b227d92f5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assets/art/environments/tower_zones/expedition/source/room_types/l_corridor/v003/</t>
        </is>
      </c>
      <c r="P242" s="99" t="inlineStr">
        <is>
          <t>assets/art/environments/tower_zones/expedition/source/room_types/l_corridor/v003/；assets/art/environments/tower_zones/expedition/source/common_components/v012/component_catalog.json；component_instances.json；运行时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IF(COUNTIF($R$6:$R$248,R242)&gt;1,"重复","唯一")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9" t="inlineStr">
        <is>
          <t>assets/art/environments/tower_zones/expedition/source/room_types/office_room/v001/办公室房间种类_开放办公_30x40m_v001.blend</t>
        </is>
      </c>
      <c r="P243" s="99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IF(COUNTIF($R$6:$R$248,R243)&gt;1,"重复","唯一")</f>
        <v/>
      </c>
      <c r="T243" s="99" t="inlineStr">
        <is>
          <t>4cf7138d0010405202d9cb9dd2aef0af9a676984ceeb90501b5a8d92304ed95f</t>
        </is>
      </c>
      <c r="U243" s="72" t="inlineStr">
        <is>
          <t>摩斯拉</t>
        </is>
      </c>
      <c r="V243" s="99" t="inlineStr">
        <is>
          <t>2026-09-28</t>
        </is>
      </c>
      <c r="W243" s="72" t="inlineStr">
        <is>
          <t>用户设计（参考图 docs/v0.1/design/refs/expedition01/办公室01.jpg）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assets/art/environments/tower_zones/expedition/source/room_types/bridge_room/v002/通道桥房间种类_工字型_30x60m_v002.blend</t>
        </is>
      </c>
      <c r="P244" s="99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IF(COUNTIF($R$6:$R$248,R244)&gt;1,"重复","唯一")</f>
        <v/>
      </c>
      <c r="T244" s="99" t="inlineStr">
        <is>
          <t>7ba287e92a7a16fb7ee5234d027be6a969bdbccb4f12de5b741aaecfc7b2b59e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assets/art/environments/tower_zones/expedition/source/room_types/std_25x25/v001/标准房间种类_四墙平房_25x25m_v001.blend</t>
        </is>
      </c>
      <c r="P245" s="99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IF(COUNTIF($R$6:$R$248,R245)&gt;1,"重复","唯一")</f>
        <v/>
      </c>
      <c r="T245" s="99" t="inlineStr">
        <is>
          <t>e5b69bef2804a6a46d44bef72b3b2e58f89bfe7440b4fa4a1551aa7ac7cf5974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assets/art/environments/tower_zones/expedition/source/room_types/db_room/v002/</t>
        </is>
      </c>
      <c r="P246" s="99" t="inlineStr">
        <is>
    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IF(COUNTIF($R$6:$R$248,R246)&gt;1,"重复","唯一")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assets/art/environments/tower_zones/expedition/source/room_types/boss_room/v002/Boss房种类_故障数据库_50x40m_v002.blend</t>
        </is>
      </c>
      <c r="P247" s="99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IF(COUNTIF($R$6:$R$248,R247)&gt;1,"重复","唯一")</f>
        <v/>
      </c>
      <c r="T247" s="99" t="inlineStr">
        <is>
          <t>e61a8ca0dcd5b133a09bc13d6567bbcba513838709ea77fbac951670b9ad0b29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building_source</t>
        </is>
      </c>
      <c r="G248" s="99" t="n"/>
      <c r="H248" s="99" t="inlineStr">
        <is>
          <t>Top3D / Blender Z-up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Blender源已完成</t>
        </is>
      </c>
      <c r="L248" s="99" t="inlineStr">
        <is>
          <t>P1</t>
        </is>
      </c>
      <c r="M248" s="99" t="inlineStr">
        <is>
          <t>v001</t>
        </is>
      </c>
      <c r="N248" s="99" t="inlineStr">
        <is>
          <t>主体70×50m；20层，层高4.2m为参考图推定；62独立包；4角色公共色盘；灰色屋顶</t>
        </is>
      </c>
      <c r="O248" s="99" t="inlineStr">
        <is>
          <t>assets/art/environments/open_world/source/tower_02/v001/塔2_施工高楼_70x50m_v001.blend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塔2;施工高楼;塔吊;脚手架;灰色屋顶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IF(COUNTIF($R$6:$R$248,R248)&gt;1,"重复","唯一")</f>
        <v/>
      </c>
      <c r="T248" s="99" t="inlineStr">
        <is>
          <t>e29fb41ba7a1ba9c498d5fe293498aa8e6f95f95e5dd38beb1e139ba39eac90e</t>
        </is>
      </c>
      <c r="U248" s="72" t="inlineStr">
        <is>
          <t>Codex</t>
        </is>
      </c>
      <c r="V248" s="99" t="inlineStr">
        <is>
          <t>2026-09-29</t>
        </is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仅Blender原始文件；未导出GLB、未接入Godot、无碰撞/LOD。高度为美术推定，不继承主塔玩法层高。</t>
        </is>
      </c>
    </row>
  </sheetData>
  <autoFilter ref="A5:Y248"/>
  <mergeCells count="2">
    <mergeCell ref="A1:X2"/>
    <mergeCell ref="A3:X3"/>
  </mergeCells>
  <conditionalFormatting sqref="S6:S240">
    <cfRule type="containsText" rank="0" priority="1" equalAverage="0" operator="containsText" aboveAverage="0" dxfId="0" text="重复" percent="0" bottom="0">
      <formula>NOT(ISERROR(SEARCH("重复",S6)))</formula>
      <formula>"重复"</formula>
    </cfRule>
  </conditionalFormatting>
  <conditionalFormatting sqref="K6:K240">
    <cfRule type="containsText" rank="0" priority="2" equalAverage="0" operator="containsText" aboveAverage="0" dxfId="1" text="已完成" percent="0" bottom="0">
      <formula>NOT(ISERROR(SEARCH("已完成",K6)))</formula>
      <formula>"已完成"</formula>
    </cfRule>
    <cfRule type="containsText" rank="0" priority="3" equalAverage="0" operator="containsText" aboveAverage="0" dxfId="2" text="待制作" percent="0" bottom="0">
      <formula>NOT(ISERROR(SEARCH("待制作",K6)))</formula>
      <formula>"待制作"</formula>
    </cfRule>
  </conditionalFormatting>
  <dataValidations count="3">
    <dataValidation sqref="C6:C248" showDropDown="0" showInputMessage="0" showErrorMessage="0" allowBlank="1" type="list" operator="between">
      <formula1>"角色,敌人,武器,道具,场景,场景道具,基地资产包,UI,特效,音频"</formula1>
    </dataValidation>
    <dataValidation sqref="K6:K248" showDropDown="0" showInputMessage="0" showErrorMessage="0" allowBlank="1" type="list" operator="between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48" showDropDown="0" showInputMessage="0" showErrorMessage="0" allowBlank="1" type="list" operator="between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1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source/art/blender/base_facility_layout/source/base_facility_runtime_layout_hq_v026.blend; source/art/blender/base_facility_layout/source/base_facility_runtime_layout_hq_v026.godot.json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assets/art/environments/base_facility_3d/source/wall_height12/env_base99_wall_plain_5x12_source_v002.blend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assets/art/environments/base_facility_3d/source/wall_height12/env_base99_corner_l_5m_source_v002.blend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assets/art/environments/tower_descent_3d/source/floor_tile_5m/env_tower_floor_tile_5m_source_v002.blend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assets/art/environments/tower_descent_3d/source/stairs_12m/stairwell_art_v021/env_tower_stairwell_dual_art_source_v021.blend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assets/art/environments/tower_descent_3d/source/stairs_12m/stairwell_art_v021/env_tower_stairwell_dual_art_source_v021.blend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assets/art/environments/tower_descent_3d/source/wall_height12/env_tower_wall_door_5m_source_v003.blend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assets/art/environments/base_facility_3d/source/wall_height12/env_base99_wall_door_5x12_source_v004.blend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assets/art/environments/base_facility_3d/source/env_base99_modular_room/env_base99_modular_room_assets_clean_v001.blend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assets/art/environments/base_facility_3d/source/env_base99_modular_room/env_base99_modular_room_assets_clean_v001.blend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assets/art/environments/base_facility_3d/source/wall_height12/env_base99_wall_window_5x12_source_v002.blend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assets/art/environments/base_facility_3d/source/env_base99_modular_room/env_base99_modular_room_assets_clean_v001.blend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assets/art/environments/base_facility_3d/source/env_base99_modular_room/env_base99_modular_room_assets_clean_v001.blend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assets/art/environments/base_facility_3d/source/env_base99_modular_room/env_base99_modular_room_assets_clean_v001.blend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assets/art/environments/base_facility_3d/source/env_base99_modular_room/env_base99_modular_room_source_v001.blend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assets/art/environments/base_facility_3d/source/env_base99_modular_room/env_base99_modular_room_assets_clean_v006.blend（v006；资产v004）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assets/art/environments/base_facility_3d/source/env_base99_modular_room/env_base99_modular_room_assets_clean_v004.blend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assets/art/environments/base_facility_3d/source/env_base99_modular_room/env_base99_modular_room_assets_clean_v002.blend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assets/art/environments/base_facility_3d/source/env_base99_mezzanine_underdeck_blocker/env_base99_mezzanine_underdeck_blocker_source_v003.blend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source/art/blender/base_facility_layout/base_facility_runtime_layout_hq_v020.blend（v020）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source/art/blender/base_facility_layout/base_facility_runtime_layout_hq_v020.blend（v020）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source/art/blender/base_facility_layout/base_facility_runtime_layout_hq_v020.blend（v020）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source/art/blender/base_facility_layout/v021/base_facility_runtime_layout_hq_v021_wall_contents.blend（v021；derived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source/art/blender/base_facility_layout/v021/base_facility_runtime_layout_hq_v021_remaining_facilities.blend（v021；derived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source/art/whitebox/tower_zones/v015/blender/whitebox_tower_stairs_v015.blend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source/art/whitebox/tower_zones/v015/blender/whitebox_tower_stairs_v015.blend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source/art/whitebox/tower_zones/v015/blender/whitebox_tower_stairs_v015.blend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source/art/whitebox/tower_zones/v015/blender/whitebox_tower_stairs_v015.blend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source/art/whitebox/tower_zones/battle_level01/v003/blender/局内关卡01_白模_主路内容房_01_hub_30x25m_v003.blend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assets/art/environments/tower_zones/battle/source/room_instances/main_room_02/v003/env_battle_l01_main_02_data_room_layout_source_v003.blend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source/art/whitebox/tower_zones/battle_level01/v003/blender/局内关卡01_白模_主路内容房_03_30x25m_v003.blend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source/art/whitebox/tower_zones/battle_level01/v003/blender/局内关卡01_白模_主路内容房_04_30x25m_v003.blend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source/art/whitebox/tower_zones/battle_level01/v003/blender/局内关卡01_白模_主路内容房_05_30x40m_v003.blend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source/art/whitebox/tower_zones/battle_level01/v003/blender/局内关卡01_白模_主路内容房_06_30x25m_v003.blend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source/art/whitebox/tower_zones/battle_level01/v003/blender/局内关卡01_白模_主路内容房_07_30x25m_v003.blend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source/art/whitebox/tower_zones/battle_level01/v003/blender/局内关卡01_白模_主路内容房_08_35x30m_v003.blend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source/art/whitebox/tower_zones/battle_level01/v003/blender/局内关卡01_白模_主路内容房_09_40x25m_v003.blend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source/art/whitebox/tower_zones/battle_level01/v003/blender/局内关卡01_白模_主路内容房_10_30x25m_v003.blend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source/art/whitebox/tower_zones/battle_level01/v003/blender/局内关卡01_白模_支路内容房_01_30x25m_v003.blend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source/art/whitebox/tower_zones/battle_level01/v003/blender/局内关卡01_白模_支路内容房_02_30x25m_v003.blend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source/art/whitebox/tower_zones/battle_level01/v003/blender/局内关卡01_白模_支路内容房_03_40x35m_v003.blend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source/art/whitebox/tower_zones/battle_level01/v003/blender/局内关卡01_白模_支路内容房_04_30x25m_v003.blend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assets/art/environments/tower_zones/battle/source/room_instances/entry_safe_room/v007/env_battle_l01_safe_entry_layout_source_v007.blend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assets/art/environments/tower_zones/battle/source/room_instances/entry_safe_room/v007/env_battle_l01_safe_entry_layout_source_v007.blend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source/art/whitebox/tower_zones/battle_level01/v003/blender/局内关卡01_白模_Boss竞技场_190x90m_v003.blend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source/art/whitebox/tower_zones/battle_level01/v003/blender/局内关卡01_白模_走廊地砖_5x5x0.3m_v003.blend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assets/art/environments/tower_zones/battle/source/common_components/v006/env_battle_common_components_source_v006.blend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source/art/whitebox/tower_zones/battle_level01/v003/blender/局内关卡01_白模_走廊墙壁_5x0.3x11.9m_v003.blend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assets/art/environments/tower_zones/battle/source/common_components/v006/env_battle_common_components_source_v006.blend（集合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assets/art/environments/tower_zones/battle/source/common_components/v006/env_battle_common_components_source_v006.blend（集合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0.303m）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assets/art/environments/tower_zones/battle/components/common_components/wall_standard_5m/wall_standard_5m_visual_top3d.glb</t>
        </is>
      </c>
      <c r="E93" s="125" t="inlineStr">
        <is>
          <t>assets/art/environments/tower_zones/battle/source/common_components/v006/env_battle_common_components_source_v006.blend（集合 wall_standard_5m_通用包）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5.0×0.303×11.9m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0.365m）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assets/art/environments/tower_zones/battle/components/common_components/wall_door_5m/wall_door_5m_visual_top3d.glb</t>
        </is>
      </c>
      <c r="E94" s="125" t="inlineStr">
        <is>
          <t>assets/art/environments/tower_zones/battle/source/common_components/v006/env_battle_common_components_source_v006.blend（集合 wall_door_5m_通用包）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5.0×0.365×11.9m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assets/art/environments/tower_zones/battle/source/common_components/v006/env_battle_common_components_source_v006.blend（集合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assets/art/environments/tower_zones/rooftop/source/reference_components/v002/天台区块_参考组件库_v002.blend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assets/art/environments/tower_zones/rooftop/source/reference_components/v002/天台区块_参考组件库_v002.blend#完整地砖_资产包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assets/art/environments/tower_zones/rooftop/source/reference_components/v002/天台区块_参考组件库_v002.blend#半块地砖_资产包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assets/art/environments/tower_zones/rooftop/source/reference_components/v002/天台区块_参考组件库_v002.blend#角块地砖_资产包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assets/art/environments/tower_zones/rooftop/source/reference_components/v002/天台区块_参考组件库_v002.blend#边缘地砖_资产包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assets/art/environments/tower_zones/rooftop/source/reference_components/v002/天台区块_参考组件库_v002.blend#内角地砖_资产包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assets/art/environments/tower_zones/rooftop/source/reference_components/v002/天台区块_参考组件库_v002.blend#女儿墙挂藤_资产包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assets/art/environments/tower_zones/rooftop/source/reference_components/v002/天台区块_参考组件库_v002.blend#女儿墙内角_资产包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assets/art/environments/tower_zones/rooftop/source/reference_components/v002/天台区块_参考组件库_v002.blend#房间标准墙_资产包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assets/art/environments/tower_zones/rooftop/source/reference_components/v002/天台区块_参考组件库_v002.blend#房间窗墙_资产包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assets/art/environments/tower_zones/rooftop/source/reference_components/v002/天台区块_参考组件库_v002.blend#房间门洞墙_资产包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assets/art/environments/tower_zones/rooftop/source/reference_components/v002/天台区块_参考组件库_v002.blend#房顶完整板_资产包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assets/art/environments/tower_zones/rooftop/source/reference_components/v002/天台区块_参考组件库_v002.blend#房顶边缘板_资产包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assets/art/environments/tower_zones/rooftop/source/reference_components/v002/天台区块_参考组件库_v002.blend#房顶角板_资产包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assets/art/environments/tower_zones/rooftop/source/reference_components/v002/天台区块_参考组件库_v002.blend#大型空调机组_资产包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assets/art/environments/tower_zones/rooftop/source/reference_components/v002/天台区块_参考组件库_v002.blend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assets/art/environments/tower_zones/rooftop/source/reference_components/v002/天台区块_参考组件库_v002.blend#顶置通风扇_资产包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assets/art/environments/tower_zones/rooftop/source/reference_components/v002/天台区块_参考组件库_v002.blend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assets/art/environments/tower_zones/rooftop/source/reference_components/v002/天台区块_参考组件库_v002.blend#机电箱_资产包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assets/art/environments/tower_zones/rooftop/source/reference_components/v002/天台区块_参考组件库_v002.blend#配电箱_资产包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assets/art/environments/tower_zones/rooftop/source/reference_components/v002/天台区块_参考组件库_v002.blend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assets/art/environments/tower_zones/rooftop/source/reference_components/v002/天台区块_参考组件库_v002.blend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assets/art/environments/tower_zones/rooftop/source/reference_components/v002/天台区块_参考组件库_v002.blend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assets/art/environments/tower_zones/rooftop/source/reference_components/v002/天台区块_参考组件库_v002.blend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assets/art/environments/tower_zones/rooftop/source/reference_components/v002/天台区块_参考组件库_v002.blend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assets/art/environments/tower_zones/rooftop/source/reference_components/v002/天台区块_参考组件库_v002.blend#门与暖灯_资产包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assets/art/environments/tower_zones/rooftop/source/reference_components/v002/天台区块_参考组件库_v002.blend#支撑雨棚_资产包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assets/art/environments/tower_zones/rooftop/source/reference_components/v002/天台区块_参考组件库_v002.blend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assets/art/environments/tower_zones/rooftop/source/reference_components/v002/天台区块_参考组件库_v002.blend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assets/art/environments/tower_zones/rooftop/source/reference_components/v002/天台区块_参考组件库_v002.blend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assets/art/environments/tower_zones/rooftop/source/reference_components/v002/天台区块_参考组件库_v002.blend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assets/art/environments/tower_zones/rooftop/source/reference_components/v002/天台区块_参考组件库_v002.blend#编织门垫_资产包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assets/art/environments/tower_zones/rooftop/source/reference_components/v002/天台区块_参考组件库_v002.blend#排水格栅_资产包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assets/art/environments/tower_zones/rooftop/source/reference_components/v002/天台区块_参考组件库_v002.blend#墙面通风箱_资产包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assets/art/environments/tower_zones/rooftop/source/reference_components/v002/天台区块_参考组件库_v002.blend#标准外墙实墙_资产包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assets/art/environments/tower_zones/rooftop/source/reference_components/v002/天台区块_参考组件库_v002.blend#标准外墙窗墙_资产包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assets/art/environments/tower_zones/rooftop/source/reference_components/v002/天台区块_参考组件库_v002.blend#女儿墙外角挂藤_资产包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assets/art/environments/tower_zones/rooftop/source/reference_components/v002/天台区块_参考组件库_v002.blend#女儿墙内角挂藤_资产包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assets/art/environments/tower_zones/rooftop/source/reference_components/v002/天台区块_参考组件库_v002.blend#房间实墙挂藤_资产包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assets/art/environments/tower_zones/rooftop/source/reference_components/v002/天台区块_参考组件库_v002.blend#房间窗墙挂藤_资产包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assets/art/environments/tower_zones/rooftop/source/reference_components/v002/天台区块_参考组件库_v002.blend#房间门洞墙挂藤_资产包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assets/art/environments/tower_zones/rooftop/source/reference_components/v002/天台区块_参考组件库_v002.blend#标准外墙实墙挂藤_资产包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assets/art/environments/tower_zones/rooftop/source/reference_components/v002/天台区块_参考组件库_v002.blend#标准外墙窗墙挂藤_资产包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assets/art/environments/tower_zones/rooftop/source/layouts/100f_decorated_v001/rooftop_100f_decorated_layout_v001.blend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source/art/whitebox/tower_zones/expedition_01/v001/blender/远征关卡01_白模_Boss竞技场_50x40m_v001.blend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assets/art/environments/tower_zones/expedition/source/room_types/l_corridor/v003/L型走廊种类_数据连廊_45x40m_v003.blend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assets/art/props/base_world_3d/source/vending_machine/prp_base_vending_machine_source_v001.blend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assets/art/props/base_world_3d/source/locker_station/prp_base_locker_station_source_v004.blend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assets/art/props/base_world_3d/source/mission_operations/prp_base_mission_operations_source_v003.blend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assets/art/props/base_world_3d/source/retro_tv_station/prp_base_retro_tv_station_source_v004.blend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assets/art/props/base_world_3d/source/vending_machine/prp_base_vending_machine_source_v001.blend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assets/art/props/base_world_3d/source/weapon_workshop/prp_base_weapon_workshop_source_v003.blend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assets/art/environments/base_facility_3d/source/env_base99_modular_room/env_base99_modular_room_assets_clean_v001.blend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assets/art/props/base_world_3d/source/locker_station/prp_base_locker_station_source_v004.blend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source/art/blender/base_facility_layout/v021/base_facility_runtime_layout_hq_v021_remaining_facilities.blend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source/art/blender/base_facility_layout/v021/base_facility_runtime_layout_hq_v021_remaining_facilities.blend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source/art/blender/base_facility_layout/v021/base_facility_runtime_layout_hq_v021_remaining_facilities.blend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t="inlineStr">
        <is>
          <t>v0.1.24</t>
        </is>
      </c>
      <c r="B30" t="inlineStr">
        <is>
          <t>2026-09-29</t>
        </is>
      </c>
      <c r="C30" t="inlineStr">
        <is>
          <t>新增Blender建筑源</t>
        </is>
      </c>
      <c r="D30" t="inlineStr">
        <is>
          <t>关卡场景 / 开放世界</t>
        </is>
      </c>
      <c r="E30" t="inlineStr">
        <is>
          <t>ENV-OPENWORLD-TOWER02 塔2：70×50m，62包，灰色顶面。</t>
        </is>
      </c>
      <c r="F30" t="inlineStr">
        <is>
          <t>仅源资产完成；运行时未接入。</t>
        </is>
      </c>
      <c r="G30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2026-09-29T14:55:48Z</dcterms:modified>
</cp:coreProperties>
</file>