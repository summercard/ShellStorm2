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'资产主表'!$A$5:$Y$871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COUNTA(资产主表!$A$6:$A$871)</f>
        <v/>
      </c>
      <c r="B6" s="72" t="inlineStr"/>
      <c r="C6" s="74">
        <f>COUNTIF(资产主表!$K$6:$K$871,"已完成")+COUNTIF(资产主表!$K$6:$K$871,"原型已接入")+COUNTIF(资产主表!$K$6:$K$871,"正式美术已接入")+COUNTIF(资产主表!$K$6:$K$871,"已优化并正式接入")+COUNTIF(资产主表!$K$6:$K$871,"Blender源已完成")+COUNTIF(资产主表!$K$6:$K$871,"已导入；优化完成")+COUNTIF(资产主表!$K$6:$K$871,"白模源已完成；QA PASS")</f>
        <v/>
      </c>
      <c r="D6" s="72" t="inlineStr"/>
      <c r="E6" s="74">
        <f>COUNTIF(资产主表!$K$6:$K$871,"待制作")+COUNTIF(资产主表!$K$6:$K$871,"程序占位")</f>
        <v/>
      </c>
      <c r="F6" s="72" t="inlineStr"/>
      <c r="G6" s="74">
        <f>COUNTIF(资产主表!$S$6:$S$871,"重复")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COUNTIF(资产主表!$C$6:$C$871,A10)</f>
        <v/>
      </c>
      <c r="C10" s="79">
        <f>SUMPRODUCT((资产主表!$C$6:$C$871=A10)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COUNTIF(资产主表!$C$6:$C$871,A11)</f>
        <v/>
      </c>
      <c r="C11" s="79">
        <f>SUMPRODUCT((资产主表!$C$6:$C$871=A11)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COUNTIF(资产主表!$C$6:$C$871,A12)</f>
        <v/>
      </c>
      <c r="C12" s="79">
        <f>SUMPRODUCT((资产主表!$C$6:$C$871=A12)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=COUNTIF(资产主表!$C$6:$C$871,A13)</f>
        <v/>
      </c>
      <c r="C13" s="75">
        <f>=SUMPRODUCT((资产主表!$C$6:$C$871=A13)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IF(COUNTIF($R$6:$R$871,R6)&gt;1,"重复","唯一")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IF(COUNTIF($R$6:$R$871,R7)&gt;1,"重复","唯一")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IF(COUNTIF($R$6:$R$871,R8)&gt;1,"重复","唯一")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IF(COUNTIF($R$6:$R$871,R9)&gt;1,"重复","唯一")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IF(COUNTIF($R$6:$R$871,R10)&gt;1,"重复","唯一")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IF(COUNTIF($R$6:$R$871,R11)&gt;1,"重复","唯一")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IF(COUNTIF($R$6:$R$871,R12)&gt;1,"重复","唯一")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IF(COUNTIF($R$6:$R$871,R13)&gt;1,"重复","唯一")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IF(COUNTIF($R$6:$R$871,R14)&gt;1,"重复","唯一")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IF(COUNTIF($R$6:$R$871,R15)&gt;1,"重复","唯一")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IF(COUNTIF($R$6:$R$871,R16)&gt;1,"重复","唯一")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IF(COUNTIF($R$6:$R$871,R17)&gt;1,"重复","唯一")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IF(COUNTIF($R$6:$R$871,R18)&gt;1,"重复","唯一")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IF(COUNTIF($R$6:$R$871,R19)&gt;1,"重复","唯一")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IF(COUNTIF($R$6:$R$871,R20)&gt;1,"重复","唯一")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IF(COUNTIF($R$6:$R$871,R21)&gt;1,"重复","唯一")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IF(COUNTIF($R$6:$R$871,R22)&gt;1,"重复","唯一")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IF(COUNTIF($R$6:$R$871,R23)&gt;1,"重复","唯一")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IF(COUNTIF($R$6:$R$871,R24)&gt;1,"重复","唯一")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IF(COUNTIF($R$6:$R$871,R25)&gt;1,"重复","唯一")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IF(COUNTIF($R$6:$R$871,R26)&gt;1,"重复","唯一")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IF(COUNTIF($R$6:$R$871,R27)&gt;1,"重复","唯一")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IF(COUNTIF($R$6:$R$871,R28)&gt;1,"重复","唯一")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IF(COUNTIF($R$6:$R$871,R29)&gt;1,"重复","唯一")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IF(COUNTIF($R$6:$R$871,R30)&gt;1,"重复","唯一")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IF(COUNTIF($R$6:$R$871,R31)&gt;1,"重复","唯一")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IF(COUNTIF($R$6:$R$871,R32)&gt;1,"重复","唯一")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IF(COUNTIF($R$6:$R$871,R33)&gt;1,"重复","唯一")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IF(COUNTIF($R$6:$R$871,R34)&gt;1,"重复","唯一")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IF(COUNTIF($R$6:$R$871,R35)&gt;1,"重复","唯一")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IF(COUNTIF($R$6:$R$871,R36)&gt;1,"重复","唯一")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IF(COUNTIF($R$6:$R$871,R37)&gt;1,"重复","唯一")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IF(COUNTIF($R$6:$R$871,R38)&gt;1,"重复","唯一")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IF(COUNTIF($R$6:$R$871,R39)&gt;1,"重复","唯一")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IF(COUNTIF($R$6:$R$871,R40)&gt;1,"重复","唯一")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IF(COUNTIF($R$6:$R$871,R41)&gt;1,"重复","唯一")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IF(COUNTIF($R$6:$R$871,R42)&gt;1,"重复","唯一")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IF(COUNTIF($R$6:$R$871,R43)&gt;1,"重复","唯一")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IF(COUNTIF($R$6:$R$871,R44)&gt;1,"重复","唯一")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IF(COUNTIF($R$6:$R$871,R45)&gt;1,"重复","唯一")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IF(COUNTIF($R$6:$R$871,R46)&gt;1,"重复","唯一")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IF(COUNTIF($R$6:$R$871,R47)&gt;1,"重复","唯一")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IF(COUNTIF($R$6:$R$871,R48)&gt;1,"重复","唯一")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IF(COUNTIF($R$6:$R$871,R49)&gt;1,"重复","唯一")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IF(COUNTIF($R$6:$R$871,R50)&gt;1,"重复","唯一")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IF(COUNTIF($R$6:$R$871,R51)&gt;1,"重复","唯一")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IF(COUNTIF($R$6:$R$871,R52)&gt;1,"重复","唯一")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IF(COUNTIF($R$6:$R$871,R53)&gt;1,"重复","唯一")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IF(COUNTIF($R$6:$R$871,R54)&gt;1,"重复","唯一")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IF(COUNTIF($R$6:$R$871,R55)&gt;1,"重复","唯一")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IF(COUNTIF($R$6:$R$871,R56)&gt;1,"重复","唯一")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IF(COUNTIF($R$6:$R$871,R57)&gt;1,"重复","唯一")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IF(COUNTIF($R$6:$R$871,R58)&gt;1,"重复","唯一")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IF(COUNTIF($R$6:$R$871,R59)&gt;1,"重复","唯一")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IF(COUNTIF($R$6:$R$871,R60)&gt;1,"重复","唯一")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IF(COUNTIF($R$6:$R$871,R61)&gt;1,"重复","唯一")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IF(COUNTIF($R$6:$R$871,R62)&gt;1,"重复","唯一")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IF(COUNTIF($R$6:$R$871,R63)&gt;1,"重复","唯一")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IF(COUNTIF($R$6:$R$871,R64)&gt;1,"重复","唯一")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IF(COUNTIF($R$6:$R$871,R65)&gt;1,"重复","唯一")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IF(COUNTIF($R$6:$R$871,R66)&gt;1,"重复","唯一")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IF(COUNTIF($R$6:$R$871,R67)&gt;1,"重复","唯一")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IF(COUNTIF($R$6:$R$871,R68)&gt;1,"重复","唯一")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IF(COUNTIF($R$6:$R$871,R69)&gt;1,"重复","唯一")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IF(COUNTIF($R$6:$R$871,R70)&gt;1,"重复","唯一")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IF(COUNTIF($R$6:$R$871,R71)&gt;1,"重复","唯一")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IF(COUNTIF($R$6:$R$871,R72)&gt;1,"重复","唯一")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IF(COUNTIF($R$6:$R$871,R73)&gt;1,"重复","唯一")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IF(COUNTIF($R$6:$R$871,R74)&gt;1,"重复","唯一")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IF(COUNTIF($R$6:$R$871,R75)&gt;1,"重复","唯一")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IF(COUNTIF($R$6:$R$871,R76)&gt;1,"重复","唯一")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IF(COUNTIF($R$6:$R$871,R77)&gt;1,"重复","唯一")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IF(COUNTIF($R$6:$R$871,R78)&gt;1,"重复","唯一")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IF(COUNTIF($R$6:$R$871,R79)&gt;1,"重复","唯一")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IF(COUNTIF($R$6:$R$871,R80)&gt;1,"重复","唯一")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IF(COUNTIF($R$6:$R$871,R81)&gt;1,"重复","唯一")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IF(COUNTIF($R$6:$R$871,R82)&gt;1,"重复","唯一")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IF(COUNTIF($R$6:$R$871,R83)&gt;1,"重复","唯一")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IF(COUNTIF($R$6:$R$871,R84)&gt;1,"重复","唯一")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IF(COUNTIF($R$6:$R$871,R85)&gt;1,"重复","唯一")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IF(COUNTIF($R$6:$R$871,R86)&gt;1,"重复","唯一")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IF(COUNTIF($R$6:$R$871,R87)&gt;1,"重复","唯一")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IF(COUNTIF($R$6:$R$871,R88)&gt;1,"重复","唯一")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IF(COUNTIF($R$6:$R$871,R89)&gt;1,"重复","唯一")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IF(COUNTIF($R$6:$R$871,R90)&gt;1,"重复","唯一")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IF(COUNTIF($R$6:$R$871,R91)&gt;1,"重复","唯一")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IF(COUNTIF($R$6:$R$871,R92)&gt;1,"重复","唯一")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IF(COUNTIF($R$6:$R$871,R93)&gt;1,"重复","唯一")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IF(COUNTIF($R$6:$R$871,R94)&gt;1,"重复","唯一")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IF(COUNTIF($R$6:$R$871,R95)&gt;1,"重复","唯一")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IF(COUNTIF($R$6:$R$871,R96)&gt;1,"重复","唯一")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IF(COUNTIF($R$6:$R$871,R97)&gt;1,"重复","唯一")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IF(COUNTIF($R$6:$R$871,R98)&gt;1,"重复","唯一")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IF(COUNTIF($R$6:$R$871,R99)&gt;1,"重复","唯一")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IF(COUNTIF($R$6:$R$871,R100)&gt;1,"重复","唯一")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IF(COUNTIF($R$6:$R$871,R101)&gt;1,"重复","唯一")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IF(COUNTIF($R$6:$R$871,R102)&gt;1,"重复","唯一")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IF(COUNTIF($R$6:$R$871,R103)&gt;1,"重复","唯一")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IF(COUNTIF($R$6:$R$871,R104)&gt;1,"重复","唯一")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IF(COUNTIF($R$6:$R$871,R105)&gt;1,"重复","唯一")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IF(COUNTIF($R$6:$R$871,R106)&gt;1,"重复","唯一")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IF(COUNTIF($R$6:$R$871,R107)&gt;1,"重复","唯一")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IF(COUNTIF($R$6:$R$871,R108)&gt;1,"重复","唯一")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IF(COUNTIF($R$6:$R$871,R109)&gt;1,"重复","唯一")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IF(COUNTIF($R$6:$R$871,R110)&gt;1,"重复","唯一")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IF(COUNTIF($R$6:$R$871,R111)&gt;1,"重复","唯一")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IF(COUNTIF($R$6:$R$871,R112)&gt;1,"重复","唯一")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IF(COUNTIF($R$6:$R$871,R113)&gt;1,"重复","唯一")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IF(COUNTIF($R$6:$R$871,R114)&gt;1,"重复","唯一")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IF(COUNTIF($R$6:$R$871,R115)&gt;1,"重复","唯一")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IF(COUNTIF($R$6:$R$871,R116)&gt;1,"重复","唯一")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IF(COUNTIF($R$6:$R$871,R117)&gt;1,"重复","唯一")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IF(COUNTIF($R$6:$R$871,R118)&gt;1,"重复","唯一")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IF(COUNTIF($R$6:$R$871,R119)&gt;1,"重复","唯一")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IF(COUNTIF($R$6:$R$871,R120)&gt;1,"重复","唯一")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IF(COUNTIF($R$6:$R$871,R121)&gt;1,"重复","唯一")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IF(COUNTIF($R$6:$R$871,R122)&gt;1,"重复","唯一")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IF(COUNTIF($R$6:$R$871,R123)&gt;1,"重复","唯一")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IF(COUNTIF($R$6:$R$871,R124)&gt;1,"重复","唯一")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IF(COUNTIF($R$6:$R$871,R125)&gt;1,"重复","唯一")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IF(COUNTIF($R$6:$R$871,R126)&gt;1,"重复","唯一")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IF(COUNTIF($R$6:$R$871,R127)&gt;1,"重复","唯一")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IF(COUNTIF($R$6:$R$871,R128)&gt;1,"重复","唯一")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IF(COUNTIF($R$6:$R$871,R129)&gt;1,"重复","唯一")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IF(COUNTIF($R$6:$R$871,R130)&gt;1,"重复","唯一")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IF(COUNTIF($R$6:$R$871,R131)&gt;1,"重复","唯一")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IF(COUNTIF($R$6:$R$871,R132)&gt;1,"重复","唯一")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IF(COUNTIF($R$6:$R$871,R133)&gt;1,"重复","唯一")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IF(COUNTIF($R$6:$R$871,R134)&gt;1,"重复","唯一")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IF(COUNTIF($R$6:$R$871,R135)&gt;1,"重复","唯一")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IF(COUNTIF($R$6:$R$871,R136)&gt;1,"重复","唯一")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IF(COUNTIF($R$6:$R$871,R137)&gt;1,"重复","唯一")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IF(COUNTIF($R$6:$R$871,R138)&gt;1,"重复","唯一")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IF(COUNTIF($R$6:$R$871,R139)&gt;1,"重复","唯一")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IF(COUNTIF($R$6:$R$871,R140)&gt;1,"重复","唯一")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IF(COUNTIF($R$6:$R$871,R141)&gt;1,"重复","唯一")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IF(COUNTIF($R$6:$R$871,R142)&gt;1,"重复","唯一")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IF(COUNTIF($R$6:$R$871,R143)&gt;1,"重复","唯一")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IF(COUNTIF($R$6:$R$871,R144)&gt;1,"重复","唯一")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IF(COUNTIF($R$6:$R$871,R145)&gt;1,"重复","唯一")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IF(COUNTIF($R$6:$R$871,R146)&gt;1,"重复","唯一")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IF(COUNTIF($R$6:$R$871,R147)&gt;1,"重复","唯一")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IF(COUNTIF($R$6:$R$871,R148)&gt;1,"重复","唯一")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IF(COUNTIF($R$6:$R$871,R149)&gt;1,"重复","唯一")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IF(COUNTIF($R$6:$R$871,R150)&gt;1,"重复","唯一")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IF(COUNTIF($R$6:$R$871,R151)&gt;1,"重复","唯一")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IF(COUNTIF($R$6:$R$871,R152)&gt;1,"重复","唯一")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IF(COUNTIF($R$6:$R$871,R153)&gt;1,"重复","唯一")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IF(COUNTIF($R$6:$R$871,R154)&gt;1,"重复","唯一")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IF(COUNTIF($R$6:$R$871,R155)&gt;1,"重复","唯一")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IF(COUNTIF($R$6:$R$871,R156)&gt;1,"重复","唯一")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IF(COUNTIF($R$6:$R$871,R157)&gt;1,"重复","唯一")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IF(COUNTIF($R$6:$R$871,R158)&gt;1,"重复","唯一")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IF(COUNTIF($R$6:$R$871,R159)&gt;1,"重复","唯一")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IF(COUNTIF($R$6:$R$871,R160)&gt;1,"重复","唯一")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IF(COUNTIF($R$6:$R$871,R161)&gt;1,"重复","唯一")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IF(COUNTIF($R$6:$R$871,R162)&gt;1,"重复","唯一")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IF(COUNTIF($R$6:$R$871,R163)&gt;1,"重复","唯一")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IF(COUNTIF($R$6:$R$871,R164)&gt;1,"重复","唯一")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IF(COUNTIF($R$6:$R$871,R165)&gt;1,"重复","唯一")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IF(COUNTIF($R$6:$R$871,R166)&gt;1,"重复","唯一")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IF(COUNTIF($R$6:$R$871,R167)&gt;1,"重复","唯一")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IF(COUNTIF($R$6:$R$871,R168)&gt;1,"重复","唯一")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IF(COUNTIF($R$6:$R$871,R169)&gt;1,"重复","唯一")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IF(COUNTIF($R$6:$R$871,R170)&gt;1,"重复","唯一")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IF(COUNTIF($R$6:$R$871,R171)&gt;1,"重复","唯一")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IF(COUNTIF($R$6:$R$871,R172)&gt;1,"重复","唯一")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IF(COUNTIF($R$6:$R$871,R173)&gt;1,"重复","唯一")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IF(COUNTIF($R$6:$R$871,R174)&gt;1,"重复","唯一")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IF(COUNTIF($R$6:$R$871,R175)&gt;1,"重复","唯一")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IF(COUNTIF($R$6:$R$871,R176)&gt;1,"重复","唯一")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IF(COUNTIF($R$6:$R$871,R177)&gt;1,"重复","唯一")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IF(COUNTIF($R$6:$R$871,R178)&gt;1,"重复","唯一")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IF(COUNTIF($R$6:$R$871,R179)&gt;1,"重复","唯一")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IF(COUNTIF($R$6:$R$871,R180)&gt;1,"重复","唯一")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IF(COUNTIF($R$6:$R$871,R181)&gt;1,"重复","唯一")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IF(COUNTIF($R$6:$R$871,R182)&gt;1,"重复","唯一")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IF(COUNTIF($R$6:$R$871,R183)&gt;1,"重复","唯一")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IF(COUNTIF($R$6:$R$871,R184)&gt;1,"重复","唯一")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IF(COUNTIF($R$6:$R$871,R185)&gt;1,"重复","唯一")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IF(COUNTIF($R$6:$R$871,R186)&gt;1,"重复","唯一")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IF(COUNTIF($R$6:$R$871,R187)&gt;1,"重复","唯一")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IF(COUNTIF($R$6:$R$871,R188)&gt;1,"重复","唯一")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IF(COUNTIF($R$6:$R$871,R189)&gt;1,"重复","唯一")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IF(COUNTIF($R$6:$R$871,R190)&gt;1,"重复","唯一")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IF(COUNTIF($R$6:$R$871,R191)&gt;1,"重复","唯一")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IF(COUNTIF($R$6:$R$871,R192)&gt;1,"重复","唯一")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IF(COUNTIF($R$6:$R$871,R193)&gt;1,"重复","唯一")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IF(COUNTIF($R$6:$R$871,R194)&gt;1,"重复","唯一")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IF(COUNTIF($R$6:$R$871,R195)&gt;1,"重复","唯一")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IF(COUNTIF($R$6:$R$871,R196)&gt;1,"重复","唯一")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IF(COUNTIF($R$6:$R$871,R197)&gt;1,"重复","唯一")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IF(COUNTIF($R$6:$R$871,R198)&gt;1,"重复","唯一")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IF(COUNTIF($R$6:$R$871,R199)&gt;1,"重复","唯一")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IF(COUNTIF($R$6:$R$871,R200)&gt;1,"重复","唯一")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IF(COUNTIF($R$6:$R$871,R201)&gt;1,"重复","唯一")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IF(COUNTIF($R$6:$R$871,R202)&gt;1,"重复","唯一")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IF(COUNTIF($R$6:$R$871,R203)&gt;1,"重复","唯一")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IF(COUNTIF($R$6:$R$871,R204)&gt;1,"重复","唯一")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IF(COUNTIF($R$6:$R$871,R205)&gt;1,"重复","唯一")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IF(COUNTIF($R$6:$R$871,R206)&gt;1,"重复","唯一")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IF(COUNTIF($R$6:$R$871,R207)&gt;1,"重复","唯一")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IF(COUNTIF($R$6:$R$871,R208)&gt;1,"重复","唯一")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IF(COUNTIF($R$6:$R$871,R209)&gt;1,"重复","唯一")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IF(COUNTIF($R$6:$R$871,R210)&gt;1,"重复","唯一")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IF(COUNTIF($R$6:$R$871,R211)&gt;1,"重复","唯一")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IF(COUNTIF($R$6:$R$871,R212)&gt;1,"重复","唯一")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IF(COUNTIF($R$6:$R$871,R213)&gt;1,"重复","唯一")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IF(COUNTIF($R$6:$R$871,R214)&gt;1,"重复","唯一")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IF(COUNTIF($R$6:$R$871,R215)&gt;1,"重复","唯一")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IF(COUNTIF($R$6:$R$871,R216)&gt;1,"重复","唯一")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IF(COUNTIF($R$6:$R$871,R217)&gt;1,"重复","唯一")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IF(COUNTIF($R$6:$R$871,R218)&gt;1,"重复","唯一")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IF(COUNTIF($R$6:$R$871,R219)&gt;1,"重复","唯一")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IF(COUNTIF($R$6:$R$871,R220)&gt;1,"重复","唯一")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IF(COUNTIF($R$6:$R$871,R221)&gt;1,"重复","唯一")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IF(COUNTIF($R$6:$R$871,R222)&gt;1,"重复","唯一")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IF(COUNTIF($R$6:$R$871,R223)&gt;1,"重复","唯一")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IF(COUNTIF($R$6:$R$871,R224)&gt;1,"重复","唯一")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IF(COUNTIF($R$6:$R$871,R225)&gt;1,"重复","唯一")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IF(COUNTIF($R$6:$R$871,R226)&gt;1,"重复","唯一")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IF(COUNTIF($R$6:$R$871,R227)&gt;1,"重复","唯一")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IF(COUNTIF($R$6:$R$871,R228)&gt;1,"重复","唯一")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IF(COUNTIF($R$6:$R$871,R229)&gt;1,"重复","唯一")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IF(COUNTIF($R$6:$R$871,R230)&gt;1,"重复","唯一")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IF(COUNTIF($R$6:$R$871,R231)&gt;1,"重复","唯一")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IF(COUNTIF($R$6:$R$871,R232)&gt;1,"重复","唯一")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IF(COUNTIF($R$6:$R$871,R233)&gt;1,"重复","唯一")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IF(COUNTIF($R$6:$R$871,R234)&gt;1,"重复","唯一")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IF(COUNTIF($R$6:$R$871,R235)&gt;1,"重复","唯一")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IF(COUNTIF($R$6:$R$871,R236)&gt;1,"重复","唯一")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IF(COUNTIF($R$6:$R$871,R237)&gt;1,"重复","唯一")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IF(COUNTIF($R$6:$R$871,R238)&gt;1,"重复","唯一")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IF(COUNTIF($R$6:$R$871,R239)&gt;1,"重复","唯一")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IF(COUNTIF($R$6:$R$871,R240)&gt;1,"重复","唯一")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IF(COUNTIF($R$6:$R$871,R241)&gt;1,"重复","唯一")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IF(COUNTIF($R$6:$R$871,R242)&gt;1,"重复","唯一")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IF(COUNTIF($R$6:$R$871,R243)&gt;1,"重复","唯一")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IF(COUNTIF($R$6:$R$871,R244)&gt;1,"重复","唯一")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IF(COUNTIF($R$6:$R$871,R245)&gt;1,"重复","唯一")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IF(COUNTIF($R$6:$R$871,R246)&gt;1,"重复","唯一")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IF(COUNTIF($R$6:$R$871,R247)&gt;1,"重复","唯一")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IF(COUNTIF($R$6:$R$871,R248)&gt;1,"重复","唯一")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IF(COUNTIF($R$6:$R$871,R249)&gt;1,"重复","唯一")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IF(COUNTIF($R$6:$R$871,R250)&gt;1,"重复","唯一")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IF(COUNTIF($R$6:$R$871,R251)&gt;1,"重复","唯一")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IF(COUNTIF($R$6:$R$871,R252)&gt;1,"重复","唯一")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IF(COUNTIF($R$6:$R$871,R253)&gt;1,"重复","唯一")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IF(COUNTIF($R$6:$R$871,R254)&gt;1,"重复","唯一")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IF(COUNTIF($R$6:$R$871,R255)&gt;1,"重复","唯一")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IF(COUNTIF($R$6:$R$871,R256)&gt;1,"重复","唯一")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IF(COUNTIF($R$6:$R$871,R257)&gt;1,"重复","唯一")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IF(COUNTIF($R$6:$R$871,R258)&gt;1,"重复","唯一")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IF(COUNTIF($R$6:$R$871,R259)&gt;1,"重复","唯一")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IF(COUNTIF($R$6:$R$871,R260)&gt;1,"重复","唯一")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IF(COUNTIF($R$6:$R$871,R261)&gt;1,"重复","唯一")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IF(COUNTIF($R$6:$R$871,R262)&gt;1,"重复","唯一")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IF(COUNTIF($R$6:$R$871,R263)&gt;1,"重复","唯一")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IF(COUNTIF($R$6:$R$871,R264)&gt;1,"重复","唯一")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IF(COUNTIF($R$6:$R$871,R265)&gt;1,"重复","唯一")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IF(COUNTIF($R$6:$R$871,R266)&gt;1,"重复","唯一")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IF(COUNTIF($R$6:$R$871,R267)&gt;1,"重复","唯一")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IF(COUNTIF($R$6:$R$871,R268)&gt;1,"重复","唯一")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IF(COUNTIF($R$6:$R$871,R269)&gt;1,"重复","唯一")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IF(COUNTIF($R$6:$R$871,R270)&gt;1,"重复","唯一")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IF(COUNTIF($R$6:$R$871,R271)&gt;1,"重复","唯一")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IF(COUNTIF($R$6:$R$871,R272)&gt;1,"重复","唯一")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IF(COUNTIF($R$6:$R$871,R273)&gt;1,"重复","唯一")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IF(COUNTIF($R$6:$R$871,R274)&gt;1,"重复","唯一")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IF(COUNTIF($R$6:$R$871,R275)&gt;1,"重复","唯一")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IF(COUNTIF($R$6:$R$871,R276)&gt;1,"重复","唯一")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IF(COUNTIF($R$6:$R$871,R277)&gt;1,"重复","唯一")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IF(COUNTIF($R$6:$R$871,R278)&gt;1,"重复","唯一")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IF(COUNTIF($R$6:$R$871,R279)&gt;1,"重复","唯一")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IF(COUNTIF($R$6:$R$871,R280)&gt;1,"重复","唯一")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IF(COUNTIF($R$6:$R$871,R281)&gt;1,"重复","唯一")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IF(COUNTIF($R$6:$R$871,R282)&gt;1,"重复","唯一")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IF(COUNTIF($R$6:$R$871,R283)&gt;1,"重复","唯一")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IF(COUNTIF($R$6:$R$871,R284)&gt;1,"重复","唯一")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IF(COUNTIF($R$6:$R$871,R285)&gt;1,"重复","唯一")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IF(COUNTIF($R$6:$R$871,R286)&gt;1,"重复","唯一")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IF(COUNTIF($R$6:$R$871,R287)&gt;1,"重复","唯一")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IF(COUNTIF($R$6:$R$871,R288)&gt;1,"重复","唯一")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IF(COUNTIF($R$6:$R$871,R289)&gt;1,"重复","唯一")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IF(COUNTIF($R$6:$R$871,R290)&gt;1,"重复","唯一")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IF(COUNTIF($R$6:$R$871,R291)&gt;1,"重复","唯一")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IF(COUNTIF($R$6:$R$871,R292)&gt;1,"重复","唯一")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IF(COUNTIF($R$6:$R$871,R293)&gt;1,"重复","唯一")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IF(COUNTIF($R$6:$R$871,R294)&gt;1,"重复","唯一")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IF(COUNTIF($R$6:$R$871,R295)&gt;1,"重复","唯一")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IF(COUNTIF($R$6:$R$871,R296)&gt;1,"重复","唯一")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IF(COUNTIF($R$6:$R$871,R297)&gt;1,"重复","唯一")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IF(COUNTIF($R$6:$R$871,R298)&gt;1,"重复","唯一")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IF(COUNTIF($R$6:$R$871,R299)&gt;1,"重复","唯一")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IF(COUNTIF($R$6:$R$871,R300)&gt;1,"重复","唯一")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IF(COUNTIF($R$6:$R$871,R301)&gt;1,"重复","唯一")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IF(COUNTIF($R$6:$R$871,R302)&gt;1,"重复","唯一")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IF(COUNTIF($R$6:$R$871,R303)&gt;1,"重复","唯一")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IF(COUNTIF($R$6:$R$871,R304)&gt;1,"重复","唯一")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IF(COUNTIF($R$6:$R$871,R305)&gt;1,"重复","唯一")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IF(COUNTIF($R$6:$R$871,R306)&gt;1,"重复","唯一")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IF(COUNTIF($R$6:$R$871,R307)&gt;1,"重复","唯一")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IF(COUNTIF($R$6:$R$871,R308)&gt;1,"重复","唯一")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IF(COUNTIF($R$6:$R$871,R309)&gt;1,"重复","唯一")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IF(COUNTIF($R$6:$R$871,R310)&gt;1,"重复","唯一")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IF(COUNTIF($R$6:$R$871,R311)&gt;1,"重复","唯一")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IF(COUNTIF($R$6:$R$871,R312)&gt;1,"重复","唯一")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IF(COUNTIF($R$6:$R$871,R313)&gt;1,"重复","唯一")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IF(COUNTIF($R$6:$R$871,R314)&gt;1,"重复","唯一")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IF(COUNTIF($R$6:$R$871,R315)&gt;1,"重复","唯一")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IF(COUNTIF($R$6:$R$871,R316)&gt;1,"重复","唯一")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IF(COUNTIF($R$6:$R$871,R317)&gt;1,"重复","唯一")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IF(COUNTIF($R$6:$R$871,R318)&gt;1,"重复","唯一")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IF(COUNTIF($R$6:$R$871,R319)&gt;1,"重复","唯一")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IF(COUNTIF($R$6:$R$871,R320)&gt;1,"重复","唯一")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IF(COUNTIF($R$6:$R$871,R321)&gt;1,"重复","唯一")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IF(COUNTIF($R$6:$R$871,R322)&gt;1,"重复","唯一")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IF(COUNTIF($R$6:$R$871,R323)&gt;1,"重复","唯一")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IF(COUNTIF($R$6:$R$871,R324)&gt;1,"重复","唯一")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IF(COUNTIF($R$6:$R$871,R325)&gt;1,"重复","唯一")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IF(COUNTIF($R$6:$R$871,R326)&gt;1,"重复","唯一")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IF(COUNTIF($R$6:$R$871,R327)&gt;1,"重复","唯一")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IF(COUNTIF($R$6:$R$871,R328)&gt;1,"重复","唯一")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IF(COUNTIF($R$6:$R$871,R329)&gt;1,"重复","唯一")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IF(COUNTIF($R$6:$R$871,R330)&gt;1,"重复","唯一")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IF(COUNTIF($R$6:$R$871,R331)&gt;1,"重复","唯一")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IF(COUNTIF($R$6:$R$871,R332)&gt;1,"重复","唯一")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IF(COUNTIF($R$6:$R$871,R333)&gt;1,"重复","唯一")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IF(COUNTIF($R$6:$R$871,R334)&gt;1,"重复","唯一")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IF(COUNTIF($R$6:$R$871,R335)&gt;1,"重复","唯一")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IF(COUNTIF($R$6:$R$871,R336)&gt;1,"重复","唯一")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IF(COUNTIF($R$6:$R$871,R337)&gt;1,"重复","唯一")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IF(COUNTIF($R$6:$R$871,R338)&gt;1,"重复","唯一")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IF(COUNTIF($R$6:$R$871,R339)&gt;1,"重复","唯一")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IF(COUNTIF($R$6:$R$871,R340)&gt;1,"重复","唯一")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IF(COUNTIF($R$6:$R$871,R341)&gt;1,"重复","唯一")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IF(COUNTIF($R$6:$R$871,R342)&gt;1,"重复","唯一")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IF(COUNTIF($R$6:$R$871,R343)&gt;1,"重复","唯一")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IF(COUNTIF($R$6:$R$871,R344)&gt;1,"重复","唯一")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IF(COUNTIF($R$6:$R$871,R345)&gt;1,"重复","唯一")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IF(COUNTIF($R$6:$R$871,R346)&gt;1,"重复","唯一")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IF(COUNTIF($R$6:$R$871,R347)&gt;1,"重复","唯一")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IF(COUNTIF($R$6:$R$871,R348)&gt;1,"重复","唯一")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IF(COUNTIF($R$6:$R$871,R349)&gt;1,"重复","唯一")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IF(COUNTIF($R$6:$R$871,R350)&gt;1,"重复","唯一")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IF(COUNTIF($R$6:$R$871,R351)&gt;1,"重复","唯一")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IF(COUNTIF($R$6:$R$871,R352)&gt;1,"重复","唯一")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IF(COUNTIF($R$6:$R$871,R353)&gt;1,"重复","唯一")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IF(COUNTIF($R$6:$R$871,R354)&gt;1,"重复","唯一")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IF(COUNTIF($R$6:$R$871,R355)&gt;1,"重复","唯一")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IF(COUNTIF($R$6:$R$871,R356)&gt;1,"重复","唯一")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IF(COUNTIF($R$6:$R$871,R357)&gt;1,"重复","唯一")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IF(COUNTIF($R$6:$R$871,R358)&gt;1,"重复","唯一")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IF(COUNTIF($R$6:$R$871,R359)&gt;1,"重复","唯一")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IF(COUNTIF($R$6:$R$871,R360)&gt;1,"重复","唯一")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IF(COUNTIF($R$6:$R$871,R361)&gt;1,"重复","唯一")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IF(COUNTIF($R$6:$R$871,R362)&gt;1,"重复","唯一")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IF(COUNTIF($R$6:$R$871,R363)&gt;1,"重复","唯一")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IF(COUNTIF($R$6:$R$871,R364)&gt;1,"重复","唯一")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IF(COUNTIF($R$6:$R$871,R365)&gt;1,"重复","唯一")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IF(COUNTIF($R$6:$R$871,R366)&gt;1,"重复","唯一")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IF(COUNTIF($R$6:$R$871,R367)&gt;1,"重复","唯一")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IF(COUNTIF($R$6:$R$871,R368)&gt;1,"重复","唯一")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IF(COUNTIF($R$6:$R$871,R369)&gt;1,"重复","唯一")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IF(COUNTIF($R$6:$R$871,R370)&gt;1,"重复","唯一")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IF(COUNTIF($R$6:$R$871,R371)&gt;1,"重复","唯一")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IF(COUNTIF($R$6:$R$871,R372)&gt;1,"重复","唯一")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IF(COUNTIF($R$6:$R$871,R373)&gt;1,"重复","唯一")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IF(COUNTIF($R$6:$R$871,R374)&gt;1,"重复","唯一")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IF(COUNTIF($R$6:$R$871,R375)&gt;1,"重复","唯一")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IF(COUNTIF($R$6:$R$871,R376)&gt;1,"重复","唯一")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IF(COUNTIF($R$6:$R$871,R377)&gt;1,"重复","唯一")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IF(COUNTIF($R$6:$R$871,R378)&gt;1,"重复","唯一")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IF(COUNTIF($R$6:$R$871,R379)&gt;1,"重复","唯一")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IF(COUNTIF($R$6:$R$871,R380)&gt;1,"重复","唯一")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IF(COUNTIF($R$6:$R$871,R381)&gt;1,"重复","唯一")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IF(COUNTIF($R$6:$R$871,R382)&gt;1,"重复","唯一")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IF(COUNTIF($R$6:$R$871,R383)&gt;1,"重复","唯一")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IF(COUNTIF($R$6:$R$871,R384)&gt;1,"重复","唯一")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IF(COUNTIF($R$6:$R$871,R385)&gt;1,"重复","唯一")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IF(COUNTIF($R$6:$R$871,R386)&gt;1,"重复","唯一")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IF(COUNTIF($R$6:$R$871,R387)&gt;1,"重复","唯一")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IF(COUNTIF($R$6:$R$871,R388)&gt;1,"重复","唯一")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IF(COUNTIF($R$6:$R$871,R389)&gt;1,"重复","唯一")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IF(COUNTIF($R$6:$R$871,R390)&gt;1,"重复","唯一")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IF(COUNTIF($R$6:$R$871,R391)&gt;1,"重复","唯一")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IF(COUNTIF($R$6:$R$871,R392)&gt;1,"重复","唯一")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IF(COUNTIF($R$6:$R$871,R393)&gt;1,"重复","唯一")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IF(COUNTIF($R$6:$R$871,R394)&gt;1,"重复","唯一")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IF(COUNTIF($R$6:$R$871,R395)&gt;1,"重复","唯一")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IF(COUNTIF($R$6:$R$871,R396)&gt;1,"重复","唯一")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IF(COUNTIF($R$6:$R$871,R397)&gt;1,"重复","唯一")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IF(COUNTIF($R$6:$R$871,R398)&gt;1,"重复","唯一")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IF(COUNTIF($R$6:$R$871,R399)&gt;1,"重复","唯一")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IF(COUNTIF($R$6:$R$871,R400)&gt;1,"重复","唯一")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IF(COUNTIF($R$6:$R$871,R401)&gt;1,"重复","唯一")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IF(COUNTIF($R$6:$R$871,R402)&gt;1,"重复","唯一")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IF(COUNTIF($R$6:$R$871,R403)&gt;1,"重复","唯一")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IF(COUNTIF($R$6:$R$871,R404)&gt;1,"重复","唯一")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IF(COUNTIF($R$6:$R$871,R405)&gt;1,"重复","唯一")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IF(COUNTIF($R$6:$R$871,R406)&gt;1,"重复","唯一")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IF(COUNTIF($R$6:$R$871,R407)&gt;1,"重复","唯一")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IF(COUNTIF($R$6:$R$871,R408)&gt;1,"重复","唯一")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IF(COUNTIF($R$6:$R$871,R409)&gt;1,"重复","唯一")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IF(COUNTIF($R$6:$R$871,R410)&gt;1,"重复","唯一")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IF(COUNTIF($R$6:$R$871,R411)&gt;1,"重复","唯一")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IF(COUNTIF($R$6:$R$871,R412)&gt;1,"重复","唯一")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IF(COUNTIF($R$6:$R$871,R413)&gt;1,"重复","唯一")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IF(COUNTIF($R$6:$R$871,R414)&gt;1,"重复","唯一")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IF(COUNTIF($R$6:$R$871,R415)&gt;1,"重复","唯一")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IF(COUNTIF($R$6:$R$871,R416)&gt;1,"重复","唯一")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IF(COUNTIF($R$6:$R$871,R417)&gt;1,"重复","唯一")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IF(COUNTIF($R$6:$R$871,R418)&gt;1,"重复","唯一")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IF(COUNTIF($R$6:$R$871,R419)&gt;1,"重复","唯一")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IF(COUNTIF($R$6:$R$871,R420)&gt;1,"重复","唯一")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IF(COUNTIF($R$6:$R$871,R421)&gt;1,"重复","唯一")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IF(COUNTIF($R$6:$R$871,R422)&gt;1,"重复","唯一")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IF(COUNTIF($R$6:$R$871,R423)&gt;1,"重复","唯一")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IF(COUNTIF($R$6:$R$871,R424)&gt;1,"重复","唯一")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IF(COUNTIF($R$6:$R$871,R425)&gt;1,"重复","唯一")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IF(COUNTIF($R$6:$R$871,R426)&gt;1,"重复","唯一")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IF(COUNTIF($R$6:$R$871,R427)&gt;1,"重复","唯一")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IF(COUNTIF($R$6:$R$871,R428)&gt;1,"重复","唯一")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IF(COUNTIF($R$6:$R$871,R429)&gt;1,"重复","唯一")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IF(COUNTIF($R$6:$R$871,R430)&gt;1,"重复","唯一")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IF(COUNTIF($R$6:$R$871,R431)&gt;1,"重复","唯一")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IF(COUNTIF($R$6:$R$871,R432)&gt;1,"重复","唯一")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IF(COUNTIF($R$6:$R$871,R433)&gt;1,"重复","唯一")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IF(COUNTIF($R$6:$R$871,R434)&gt;1,"重复","唯一")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IF(COUNTIF($R$6:$R$871,R435)&gt;1,"重复","唯一")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IF(COUNTIF($R$6:$R$871,R436)&gt;1,"重复","唯一")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IF(COUNTIF($R$6:$R$871,R437)&gt;1,"重复","唯一")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IF(COUNTIF($R$6:$R$871,R438)&gt;1,"重复","唯一")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IF(COUNTIF($R$6:$R$871,R439)&gt;1,"重复","唯一")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IF(COUNTIF($R$6:$R$871,R440)&gt;1,"重复","唯一")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IF(COUNTIF($R$6:$R$871,R441)&gt;1,"重复","唯一")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IF(COUNTIF($R$6:$R$871,R442)&gt;1,"重复","唯一")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IF(COUNTIF($R$6:$R$871,R443)&gt;1,"重复","唯一")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IF(COUNTIF($R$6:$R$871,R444)&gt;1,"重复","唯一")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IF(COUNTIF($R$6:$R$871,R445)&gt;1,"重复","唯一")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IF(COUNTIF($R$6:$R$871,R446)&gt;1,"重复","唯一")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IF(COUNTIF($R$6:$R$871,R447)&gt;1,"重复","唯一")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IF(COUNTIF($R$6:$R$871,R448)&gt;1,"重复","唯一")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IF(COUNTIF($R$6:$R$871,R449)&gt;1,"重复","唯一")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IF(COUNTIF($R$6:$R$871,R450)&gt;1,"重复","唯一")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IF(COUNTIF($R$6:$R$871,R451)&gt;1,"重复","唯一")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IF(COUNTIF($R$6:$R$871,R452)&gt;1,"重复","唯一")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IF(COUNTIF($R$6:$R$871,R453)&gt;1,"重复","唯一")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IF(COUNTIF($R$6:$R$871,R454)&gt;1,"重复","唯一")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IF(COUNTIF($R$6:$R$871,R455)&gt;1,"重复","唯一")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IF(COUNTIF($R$6:$R$871,R456)&gt;1,"重复","唯一")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IF(COUNTIF($R$6:$R$871,R457)&gt;1,"重复","唯一")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IF(COUNTIF($R$6:$R$871,R458)&gt;1,"重复","唯一")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IF(COUNTIF($R$6:$R$871,R459)&gt;1,"重复","唯一")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IF(COUNTIF($R$6:$R$871,R460)&gt;1,"重复","唯一")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IF(COUNTIF($R$6:$R$871,R461)&gt;1,"重复","唯一")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IF(COUNTIF($R$6:$R$871,R462)&gt;1,"重复","唯一")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IF(COUNTIF($R$6:$R$871,R463)&gt;1,"重复","唯一")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IF(COUNTIF($R$6:$R$871,R464)&gt;1,"重复","唯一")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IF(COUNTIF($R$6:$R$871,R465)&gt;1,"重复","唯一")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IF(COUNTIF($R$6:$R$871,R466)&gt;1,"重复","唯一")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IF(COUNTIF($R$6:$R$871,R467)&gt;1,"重复","唯一")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IF(COUNTIF($R$6:$R$871,R468)&gt;1,"重复","唯一")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IF(COUNTIF($R$6:$R$871,R469)&gt;1,"重复","唯一")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IF(COUNTIF($R$6:$R$871,R470)&gt;1,"重复","唯一")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IF(COUNTIF($R$6:$R$871,R471)&gt;1,"重复","唯一")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IF(COUNTIF($R$6:$R$871,R472)&gt;1,"重复","唯一")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IF(COUNTIF($R$6:$R$871,R473)&gt;1,"重复","唯一")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IF(COUNTIF($R$6:$R$871,R474)&gt;1,"重复","唯一")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IF(COUNTIF($R$6:$R$871,R475)&gt;1,"重复","唯一")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IF(COUNTIF($R$6:$R$871,R476)&gt;1,"重复","唯一")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IF(COUNTIF($R$6:$R$871,R477)&gt;1,"重复","唯一")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IF(COUNTIF($R$6:$R$871,R478)&gt;1,"重复","唯一")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IF(COUNTIF($R$6:$R$871,R479)&gt;1,"重复","唯一")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IF(COUNTIF($R$6:$R$871,R480)&gt;1,"重复","唯一")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IF(COUNTIF($R$6:$R$871,R481)&gt;1,"重复","唯一")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IF(COUNTIF($R$6:$R$871,R482)&gt;1,"重复","唯一")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IF(COUNTIF($R$6:$R$871,R483)&gt;1,"重复","唯一")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IF(COUNTIF($R$6:$R$871,R484)&gt;1,"重复","唯一")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IF(COUNTIF($R$6:$R$871,R485)&gt;1,"重复","唯一")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IF(COUNTIF($R$6:$R$871,R486)&gt;1,"重复","唯一")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IF(COUNTIF($R$6:$R$871,R487)&gt;1,"重复","唯一")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IF(COUNTIF($R$6:$R$871,R488)&gt;1,"重复","唯一")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IF(COUNTIF($R$6:$R$871,R489)&gt;1,"重复","唯一")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IF(COUNTIF($R$6:$R$871,R490)&gt;1,"重复","唯一")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IF(COUNTIF($R$6:$R$871,R491)&gt;1,"重复","唯一")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IF(COUNTIF($R$6:$R$871,R492)&gt;1,"重复","唯一")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IF(COUNTIF($R$6:$R$871,R493)&gt;1,"重复","唯一")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IF(COUNTIF($R$6:$R$871,R494)&gt;1,"重复","唯一")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IF(COUNTIF($R$6:$R$871,R495)&gt;1,"重复","唯一")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IF(COUNTIF($R$6:$R$871,R496)&gt;1,"重复","唯一")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IF(COUNTIF($R$6:$R$871,R497)&gt;1,"重复","唯一")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IF(COUNTIF($R$6:$R$871,R498)&gt;1,"重复","唯一")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IF(COUNTIF($R$6:$R$871,R499)&gt;1,"重复","唯一")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IF(COUNTIF($R$6:$R$871,R500)&gt;1,"重复","唯一")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IF(COUNTIF($R$6:$R$871,R501)&gt;1,"重复","唯一")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IF(COUNTIF($R$6:$R$871,R502)&gt;1,"重复","唯一")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IF(COUNTIF($R$6:$R$871,R503)&gt;1,"重复","唯一")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IF(COUNTIF($R$6:$R$871,R504)&gt;1,"重复","唯一")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IF(COUNTIF($R$6:$R$871,R505)&gt;1,"重复","唯一")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IF(COUNTIF($R$6:$R$871,R506)&gt;1,"重复","唯一")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IF(COUNTIF($R$6:$R$871,R507)&gt;1,"重复","唯一")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IF(COUNTIF($R$6:$R$871,R508)&gt;1,"重复","唯一")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IF(COUNTIF($R$6:$R$871,R509)&gt;1,"重复","唯一")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IF(COUNTIF($R$6:$R$871,R510)&gt;1,"重复","唯一")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IF(COUNTIF($R$6:$R$871,R511)&gt;1,"重复","唯一")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IF(COUNTIF($R$6:$R$871,R512)&gt;1,"重复","唯一")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IF(COUNTIF($R$6:$R$871,R513)&gt;1,"重复","唯一")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IF(COUNTIF($R$6:$R$871,R514)&gt;1,"重复","唯一")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IF(COUNTIF($R$6:$R$871,R515)&gt;1,"重复","唯一")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IF(COUNTIF($R$6:$R$871,R516)&gt;1,"重复","唯一")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IF(COUNTIF($R$6:$R$871,R517)&gt;1,"重复","唯一")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IF(COUNTIF($R$6:$R$871,R518)&gt;1,"重复","唯一")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IF(COUNTIF($R$6:$R$871,R519)&gt;1,"重复","唯一")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IF(COUNTIF($R$6:$R$871,R520)&gt;1,"重复","唯一")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IF(COUNTIF($R$6:$R$871,R521)&gt;1,"重复","唯一")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IF(COUNTIF($R$6:$R$871,R522)&gt;1,"重复","唯一")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IF(COUNTIF($R$6:$R$871,R523)&gt;1,"重复","唯一")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IF(COUNTIF($R$6:$R$871,R524)&gt;1,"重复","唯一")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IF(COUNTIF($R$6:$R$871,R525)&gt;1,"重复","唯一")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IF(COUNTIF($R$6:$R$871,R526)&gt;1,"重复","唯一")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IF(COUNTIF($R$6:$R$871,R527)&gt;1,"重复","唯一")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IF(COUNTIF($R$6:$R$871,R528)&gt;1,"重复","唯一")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IF(COUNTIF($R$6:$R$871,R529)&gt;1,"重复","唯一")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IF(COUNTIF($R$6:$R$871,R530)&gt;1,"重复","唯一")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IF(COUNTIF($R$6:$R$871,R531)&gt;1,"重复","唯一")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IF(COUNTIF($R$6:$R$871,R532)&gt;1,"重复","唯一")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IF(COUNTIF($R$6:$R$871,R533)&gt;1,"重复","唯一")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IF(COUNTIF($R$6:$R$871,R534)&gt;1,"重复","唯一")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IF(COUNTIF($R$6:$R$871,R535)&gt;1,"重复","唯一")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IF(COUNTIF($R$6:$R$871,R536)&gt;1,"重复","唯一")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IF(COUNTIF($R$6:$R$871,R537)&gt;1,"重复","唯一")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IF(COUNTIF($R$6:$R$871,R538)&gt;1,"重复","唯一")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IF(COUNTIF($R$6:$R$871,R539)&gt;1,"重复","唯一")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IF(COUNTIF($R$6:$R$871,R540)&gt;1,"重复","唯一")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IF(COUNTIF($R$6:$R$871,R541)&gt;1,"重复","唯一")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IF(COUNTIF($R$6:$R$871,R542)&gt;1,"重复","唯一")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IF(COUNTIF($R$6:$R$871,R543)&gt;1,"重复","唯一")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IF(COUNTIF($R$6:$R$871,R544)&gt;1,"重复","唯一")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IF(COUNTIF($R$6:$R$871,R545)&gt;1,"重复","唯一")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IF(COUNTIF($R$6:$R$871,R546)&gt;1,"重复","唯一")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IF(COUNTIF($R$6:$R$871,R547)&gt;1,"重复","唯一")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IF(COUNTIF($R$6:$R$871,R548)&gt;1,"重复","唯一")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IF(COUNTIF($R$6:$R$871,R549)&gt;1,"重复","唯一")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IF(COUNTIF($R$6:$R$871,R550)&gt;1,"重复","唯一")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IF(COUNTIF($R$6:$R$871,R551)&gt;1,"重复","唯一")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IF(COUNTIF($R$6:$R$871,R552)&gt;1,"重复","唯一")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IF(COUNTIF($R$6:$R$871,R553)&gt;1,"重复","唯一")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IF(COUNTIF($R$6:$R$871,R554)&gt;1,"重复","唯一")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IF(COUNTIF($R$6:$R$871,R555)&gt;1,"重复","唯一")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IF(COUNTIF($R$6:$R$871,R556)&gt;1,"重复","唯一")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IF(COUNTIF($R$6:$R$871,R557)&gt;1,"重复","唯一")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IF(COUNTIF($R$6:$R$871,R558)&gt;1,"重复","唯一")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IF(COUNTIF($R$6:$R$871,R559)&gt;1,"重复","唯一")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IF(COUNTIF($R$6:$R$871,R560)&gt;1,"重复","唯一")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IF(COUNTIF($R$6:$R$871,R561)&gt;1,"重复","唯一")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IF(COUNTIF($R$6:$R$871,R562)&gt;1,"重复","唯一")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IF(COUNTIF($R$6:$R$871,R563)&gt;1,"重复","唯一")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IF(COUNTIF($R$6:$R$871,R564)&gt;1,"重复","唯一")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IF(COUNTIF($R$6:$R$871,R565)&gt;1,"重复","唯一")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IF(COUNTIF($R$6:$R$871,R566)&gt;1,"重复","唯一")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IF(COUNTIF($R$6:$R$871,R567)&gt;1,"重复","唯一")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IF(COUNTIF($R$6:$R$871,R568)&gt;1,"重复","唯一")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IF(COUNTIF($R$6:$R$871,R569)&gt;1,"重复","唯一")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IF(COUNTIF($R$6:$R$871,R570)&gt;1,"重复","唯一")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IF(COUNTIF($R$6:$R$871,R571)&gt;1,"重复","唯一")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IF(COUNTIF($R$6:$R$871,R572)&gt;1,"重复","唯一")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IF(COUNTIF($R$6:$R$871,R573)&gt;1,"重复","唯一")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IF(COUNTIF($R$6:$R$871,R574)&gt;1,"重复","唯一")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IF(COUNTIF($R$6:$R$871,R575)&gt;1,"重复","唯一")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IF(COUNTIF($R$6:$R$871,R576)&gt;1,"重复","唯一")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IF(COUNTIF($R$6:$R$871,R577)&gt;1,"重复","唯一")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IF(COUNTIF($R$6:$R$871,R578)&gt;1,"重复","唯一")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IF(COUNTIF($R$6:$R$871,R579)&gt;1,"重复","唯一")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IF(COUNTIF($R$6:$R$871,R580)&gt;1,"重复","唯一")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IF(COUNTIF($R$6:$R$871,R581)&gt;1,"重复","唯一")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IF(COUNTIF($R$6:$R$871,R582)&gt;1,"重复","唯一")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IF(COUNTIF($R$6:$R$871,R583)&gt;1,"重复","唯一")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IF(COUNTIF($R$6:$R$871,R584)&gt;1,"重复","唯一")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IF(COUNTIF($R$6:$R$871,R585)&gt;1,"重复","唯一")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IF(COUNTIF($R$6:$R$871,R586)&gt;1,"重复","唯一")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IF(COUNTIF($R$6:$R$871,R587)&gt;1,"重复","唯一")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IF(COUNTIF($R$6:$R$871,R588)&gt;1,"重复","唯一")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IF(COUNTIF($R$6:$R$871,R589)&gt;1,"重复","唯一")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IF(COUNTIF($R$6:$R$871,R590)&gt;1,"重复","唯一")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IF(COUNTIF($R$6:$R$871,R591)&gt;1,"重复","唯一")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IF(COUNTIF($R$6:$R$871,R592)&gt;1,"重复","唯一")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IF(COUNTIF($R$6:$R$871,R593)&gt;1,"重复","唯一")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IF(COUNTIF($R$6:$R$871,R594)&gt;1,"重复","唯一")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IF(COUNTIF($R$6:$R$871,R595)&gt;1,"重复","唯一")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IF(COUNTIF($R$6:$R$871,R596)&gt;1,"重复","唯一")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IF(COUNTIF($R$6:$R$871,R597)&gt;1,"重复","唯一")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IF(COUNTIF($R$6:$R$871,R598)&gt;1,"重复","唯一")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IF(COUNTIF($R$6:$R$871,R599)&gt;1,"重复","唯一")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IF(COUNTIF($R$6:$R$871,R600)&gt;1,"重复","唯一")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IF(COUNTIF($R$6:$R$871,R601)&gt;1,"重复","唯一")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IF(COUNTIF($R$6:$R$871,R602)&gt;1,"重复","唯一")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IF(COUNTIF($R$6:$R$871,R603)&gt;1,"重复","唯一")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IF(COUNTIF($R$6:$R$871,R604)&gt;1,"重复","唯一")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IF(COUNTIF($R$6:$R$871,R605)&gt;1,"重复","唯一")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IF(COUNTIF($R$6:$R$871,R606)&gt;1,"重复","唯一")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IF(COUNTIF($R$6:$R$871,R607)&gt;1,"重复","唯一")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IF(COUNTIF($R$6:$R$871,R608)&gt;1,"重复","唯一")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IF(COUNTIF($R$6:$R$871,R609)&gt;1,"重复","唯一")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IF(COUNTIF($R$6:$R$871,R610)&gt;1,"重复","唯一")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IF(COUNTIF($R$6:$R$871,R611)&gt;1,"重复","唯一")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IF(COUNTIF($R$6:$R$871,R612)&gt;1,"重复","唯一")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IF(COUNTIF($R$6:$R$871,R613)&gt;1,"重复","唯一")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IF(COUNTIF($R$6:$R$871,R614)&gt;1,"重复","唯一")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IF(COUNTIF($R$6:$R$871,R615)&gt;1,"重复","唯一")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IF(COUNTIF($R$6:$R$871,R616)&gt;1,"重复","唯一")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IF(COUNTIF($R$6:$R$871,R617)&gt;1,"重复","唯一")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IF(COUNTIF($R$6:$R$871,R618)&gt;1,"重复","唯一")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IF(COUNTIF($R$6:$R$871,R619)&gt;1,"重复","唯一")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IF(COUNTIF($R$6:$R$871,R620)&gt;1,"重复","唯一")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IF(COUNTIF($R$6:$R$871,R621)&gt;1,"重复","唯一")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IF(COUNTIF($R$6:$R$871,R622)&gt;1,"重复","唯一")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IF(COUNTIF($R$6:$R$871,R623)&gt;1,"重复","唯一")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IF(COUNTIF($R$6:$R$871,R624)&gt;1,"重复","唯一")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IF(COUNTIF($R$6:$R$871,R625)&gt;1,"重复","唯一")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IF(COUNTIF($R$6:$R$871,R626)&gt;1,"重复","唯一")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IF(COUNTIF($R$6:$R$871,R627)&gt;1,"重复","唯一")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IF(COUNTIF($R$6:$R$871,R628)&gt;1,"重复","唯一")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IF(COUNTIF($R$6:$R$871,R629)&gt;1,"重复","唯一")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IF(COUNTIF($R$6:$R$871,R630)&gt;1,"重复","唯一")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IF(COUNTIF($R$6:$R$871,R631)&gt;1,"重复","唯一")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IF(COUNTIF($R$6:$R$871,R632)&gt;1,"重复","唯一")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IF(COUNTIF($R$6:$R$871,R633)&gt;1,"重复","唯一")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IF(COUNTIF($R$6:$R$871,R634)&gt;1,"重复","唯一")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IF(COUNTIF($R$6:$R$871,R635)&gt;1,"重复","唯一")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IF(COUNTIF($R$6:$R$871,R636)&gt;1,"重复","唯一")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IF(COUNTIF($R$6:$R$871,R637)&gt;1,"重复","唯一")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IF(COUNTIF($R$6:$R$871,R638)&gt;1,"重复","唯一")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IF(COUNTIF($R$6:$R$871,R639)&gt;1,"重复","唯一")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IF(COUNTIF($R$6:$R$871,R640)&gt;1,"重复","唯一")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IF(COUNTIF($R$6:$R$871,R641)&gt;1,"重复","唯一")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IF(COUNTIF($R$6:$R$871,R642)&gt;1,"重复","唯一")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IF(COUNTIF($R$6:$R$871,R643)&gt;1,"重复","唯一")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IF(COUNTIF($R$6:$R$871,R644)&gt;1,"重复","唯一")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IF(COUNTIF($R$6:$R$871,R645)&gt;1,"重复","唯一")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IF(COUNTIF($R$6:$R$871,R646)&gt;1,"重复","唯一")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IF(COUNTIF($R$6:$R$871,R647)&gt;1,"重复","唯一")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IF(COUNTIF($R$6:$R$871,R648)&gt;1,"重复","唯一")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IF(COUNTIF($R$6:$R$871,R649)&gt;1,"重复","唯一")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IF(COUNTIF($R$6:$R$871,R650)&gt;1,"重复","唯一")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IF(COUNTIF($R$6:$R$871,R651)&gt;1,"重复","唯一")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IF(COUNTIF($R$6:$R$871,R652)&gt;1,"重复","唯一")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IF(COUNTIF($R$6:$R$871,R653)&gt;1,"重复","唯一")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IF(COUNTIF($R$6:$R$871,R654)&gt;1,"重复","唯一")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IF(COUNTIF($R$6:$R$871,R655)&gt;1,"重复","唯一")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IF(COUNTIF($R$6:$R$871,R656)&gt;1,"重复","唯一")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IF(COUNTIF($R$6:$R$871,R657)&gt;1,"重复","唯一")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IF(COUNTIF($R$6:$R$871,R658)&gt;1,"重复","唯一")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IF(COUNTIF($R$6:$R$871,R659)&gt;1,"重复","唯一")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IF(COUNTIF($R$6:$R$871,R660)&gt;1,"重复","唯一")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IF(COUNTIF($R$6:$R$871,R661)&gt;1,"重复","唯一")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IF(COUNTIF($R$6:$R$871,R662)&gt;1,"重复","唯一")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IF(COUNTIF($R$6:$R$871,R663)&gt;1,"重复","唯一")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IF(COUNTIF($R$6:$R$871,R664)&gt;1,"重复","唯一")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IF(COUNTIF($R$6:$R$871,R665)&gt;1,"重复","唯一")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IF(COUNTIF($R$6:$R$871,R666)&gt;1,"重复","唯一")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IF(COUNTIF($R$6:$R$871,R667)&gt;1,"重复","唯一")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IF(COUNTIF($R$6:$R$871,R668)&gt;1,"重复","唯一")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IF(COUNTIF($R$6:$R$871,R669)&gt;1,"重复","唯一")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IF(COUNTIF($R$6:$R$871,R670)&gt;1,"重复","唯一")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IF(COUNTIF($R$6:$R$871,R671)&gt;1,"重复","唯一")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IF(COUNTIF($R$6:$R$871,R672)&gt;1,"重复","唯一")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IF(COUNTIF($R$6:$R$871,R673)&gt;1,"重复","唯一")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IF(COUNTIF($R$6:$R$871,R674)&gt;1,"重复","唯一")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IF(COUNTIF($R$6:$R$871,R675)&gt;1,"重复","唯一")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IF(COUNTIF($R$6:$R$871,R676)&gt;1,"重复","唯一")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IF(COUNTIF($R$6:$R$871,R677)&gt;1,"重复","唯一")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IF(COUNTIF($R$6:$R$871,R678)&gt;1,"重复","唯一")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IF(COUNTIF($R$6:$R$871,R679)&gt;1,"重复","唯一")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IF(COUNTIF($R$6:$R$871,R680)&gt;1,"重复","唯一")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IF(COUNTIF($R$6:$R$871,R681)&gt;1,"重复","唯一")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IF(COUNTIF($R$6:$R$871,R682)&gt;1,"重复","唯一")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IF(COUNTIF($R$6:$R$871,R683)&gt;1,"重复","唯一")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IF(COUNTIF($R$6:$R$871,R684)&gt;1,"重复","唯一")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IF(COUNTIF($R$6:$R$871,R685)&gt;1,"重复","唯一")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IF(COUNTIF($R$6:$R$871,R686)&gt;1,"重复","唯一")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IF(COUNTIF($R$6:$R$871,R687)&gt;1,"重复","唯一")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IF(COUNTIF($R$6:$R$871,R688)&gt;1,"重复","唯一")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IF(COUNTIF($R$6:$R$871,R689)&gt;1,"重复","唯一")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IF(COUNTIF($R$6:$R$871,R690)&gt;1,"重复","唯一")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IF(COUNTIF($R$6:$R$871,R691)&gt;1,"重复","唯一")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IF(COUNTIF($R$6:$R$871,R692)&gt;1,"重复","唯一")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IF(COUNTIF($R$6:$R$871,R693)&gt;1,"重复","唯一")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IF(COUNTIF($R$6:$R$871,R694)&gt;1,"重复","唯一")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IF(COUNTIF($R$6:$R$871,R695)&gt;1,"重复","唯一")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IF(COUNTIF($R$6:$R$871,R696)&gt;1,"重复","唯一")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IF(COUNTIF($R$6:$R$871,R697)&gt;1,"重复","唯一")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IF(COUNTIF($R$6:$R$871,R698)&gt;1,"重复","唯一")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IF(COUNTIF($R$6:$R$871,R699)&gt;1,"重复","唯一")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IF(COUNTIF($R$6:$R$871,R700)&gt;1,"重复","唯一")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IF(COUNTIF($R$6:$R$871,R701)&gt;1,"重复","唯一")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IF(COUNTIF($R$6:$R$871,R702)&gt;1,"重复","唯一")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IF(COUNTIF($R$6:$R$871,R703)&gt;1,"重复","唯一")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IF(COUNTIF($R$6:$R$871,R704)&gt;1,"重复","唯一")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IF(COUNTIF($R$6:$R$871,R705)&gt;1,"重复","唯一")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IF(COUNTIF($R$6:$R$871,R706)&gt;1,"重复","唯一")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IF(COUNTIF($R$6:$R$871,R707)&gt;1,"重复","唯一")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IF(COUNTIF($R$6:$R$871,R708)&gt;1,"重复","唯一")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IF(COUNTIF($R$6:$R$871,R709)&gt;1,"重复","唯一")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IF(COUNTIF($R$6:$R$871,R710)&gt;1,"重复","唯一")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IF(COUNTIF($R$6:$R$871,R711)&gt;1,"重复","唯一")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IF(COUNTIF($R$6:$R$871,R712)&gt;1,"重复","唯一")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IF(COUNTIF($R$6:$R$871,R713)&gt;1,"重复","唯一")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IF(COUNTIF($R$6:$R$871,R714)&gt;1,"重复","唯一")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IF(COUNTIF($R$6:$R$871,R715)&gt;1,"重复","唯一")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IF(COUNTIF($R$6:$R$871,R716)&gt;1,"重复","唯一")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IF(COUNTIF($R$6:$R$871,R717)&gt;1,"重复","唯一")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IF(COUNTIF($R$6:$R$871,R718)&gt;1,"重复","唯一")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IF(COUNTIF($R$6:$R$871,R719)&gt;1,"重复","唯一")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IF(COUNTIF($R$6:$R$871,R720)&gt;1,"重复","唯一")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IF(COUNTIF($R$6:$R$871,R721)&gt;1,"重复","唯一")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IF(COUNTIF($R$6:$R$871,R722)&gt;1,"重复","唯一")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IF(COUNTIF($R$6:$R$871,R723)&gt;1,"重复","唯一")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IF(COUNTIF($R$6:$R$871,R724)&gt;1,"重复","唯一")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IF(COUNTIF($R$6:$R$871,R725)&gt;1,"重复","唯一")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IF(COUNTIF($R$6:$R$871,R726)&gt;1,"重复","唯一")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IF(COUNTIF($R$6:$R$871,R727)&gt;1,"重复","唯一")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IF(COUNTIF($R$6:$R$871,R728)&gt;1,"重复","唯一")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IF(COUNTIF($R$6:$R$871,R729)&gt;1,"重复","唯一")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IF(COUNTIF($R$6:$R$871,R730)&gt;1,"重复","唯一")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IF(COUNTIF($R$6:$R$871,R731)&gt;1,"重复","唯一")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IF(COUNTIF($R$6:$R$871,R732)&gt;1,"重复","唯一")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IF(COUNTIF($R$6:$R$871,R733)&gt;1,"重复","唯一")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IF(COUNTIF($R$6:$R$871,R734)&gt;1,"重复","唯一")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IF(COUNTIF($R$6:$R$871,R735)&gt;1,"重复","唯一")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IF(COUNTIF($R$6:$R$871,R736)&gt;1,"重复","唯一")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IF(COUNTIF($R$6:$R$871,R737)&gt;1,"重复","唯一")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IF(COUNTIF($R$6:$R$871,R738)&gt;1,"重复","唯一")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IF(COUNTIF($R$6:$R$871,R739)&gt;1,"重复","唯一")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IF(COUNTIF($R$6:$R$871,R740)&gt;1,"重复","唯一")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IF(COUNTIF($R$6:$R$871,R741)&gt;1,"重复","唯一")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IF(COUNTIF($R$6:$R$871,R742)&gt;1,"重复","唯一")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IF(COUNTIF($R$6:$R$871,R743)&gt;1,"重复","唯一")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IF(COUNTIF($R$6:$R$871,R744)&gt;1,"重复","唯一")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IF(COUNTIF($R$6:$R$871,R745)&gt;1,"重复","唯一")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IF(COUNTIF($R$6:$R$871,R746)&gt;1,"重复","唯一")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IF(COUNTIF($R$6:$R$871,R747)&gt;1,"重复","唯一")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IF(COUNTIF($R$6:$R$871,R748)&gt;1,"重复","唯一")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IF(COUNTIF($R$6:$R$871,R749)&gt;1,"重复","唯一")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IF(COUNTIF($R$6:$R$871,R750)&gt;1,"重复","唯一")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IF(COUNTIF($R$6:$R$871,R751)&gt;1,"重复","唯一")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IF(COUNTIF($R$6:$R$871,R752)&gt;1,"重复","唯一")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IF(COUNTIF($R$6:$R$871,R753)&gt;1,"重复","唯一")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IF(COUNTIF($R$6:$R$871,R754)&gt;1,"重复","唯一")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IF(COUNTIF($R$6:$R$871,R755)&gt;1,"重复","唯一")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IF(COUNTIF($R$6:$R$871,R756)&gt;1,"重复","唯一")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IF(COUNTIF($R$6:$R$871,R757)&gt;1,"重复","唯一")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IF(COUNTIF($R$6:$R$871,R758)&gt;1,"重复","唯一")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IF(COUNTIF($R$6:$R$871,R759)&gt;1,"重复","唯一")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IF(COUNTIF($R$6:$R$871,R760)&gt;1,"重复","唯一")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IF(COUNTIF($R$6:$R$871,R761)&gt;1,"重复","唯一")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IF(COUNTIF($R$6:$R$871,R762)&gt;1,"重复","唯一")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IF(COUNTIF($R$6:$R$871,R763)&gt;1,"重复","唯一")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IF(COUNTIF($R$6:$R$871,R764)&gt;1,"重复","唯一")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IF(COUNTIF($R$6:$R$871,R765)&gt;1,"重复","唯一")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IF(COUNTIF($R$6:$R$871,R766)&gt;1,"重复","唯一")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IF(COUNTIF($R$6:$R$871,R767)&gt;1,"重复","唯一")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IF(COUNTIF($R$6:$R$871,R768)&gt;1,"重复","唯一")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IF(COUNTIF($R$6:$R$871,R769)&gt;1,"重复","唯一")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IF(COUNTIF($R$6:$R$871,R770)&gt;1,"重复","唯一")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IF(COUNTIF($R$6:$R$871,R771)&gt;1,"重复","唯一")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IF(COUNTIF($R$6:$R$871,R772)&gt;1,"重复","唯一")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IF(COUNTIF($R$6:$R$871,R773)&gt;1,"重复","唯一")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IF(COUNTIF($R$6:$R$871,R774)&gt;1,"重复","唯一")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IF(COUNTIF($R$6:$R$871,R775)&gt;1,"重复","唯一")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IF(COUNTIF($R$6:$R$871,R776)&gt;1,"重复","唯一")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IF(COUNTIF($R$6:$R$871,R777)&gt;1,"重复","唯一")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IF(COUNTIF($R$6:$R$871,R778)&gt;1,"重复","唯一")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IF(COUNTIF($R$6:$R$871,R779)&gt;1,"重复","唯一")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IF(COUNTIF($R$6:$R$871,R780)&gt;1,"重复","唯一")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IF(COUNTIF($R$6:$R$871,R781)&gt;1,"重复","唯一")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IF(COUNTIF($R$6:$R$871,R782)&gt;1,"重复","唯一")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IF(COUNTIF($R$6:$R$871,R783)&gt;1,"重复","唯一")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IF(COUNTIF($R$6:$R$871,R784)&gt;1,"重复","唯一")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IF(COUNTIF($R$6:$R$871,R785)&gt;1,"重复","唯一")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IF(COUNTIF($R$6:$R$871,R786)&gt;1,"重复","唯一")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IF(COUNTIF($R$6:$R$871,R787)&gt;1,"重复","唯一")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IF(COUNTIF($R$6:$R$871,R788)&gt;1,"重复","唯一")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IF(COUNTIF($R$6:$R$871,R789)&gt;1,"重复","唯一")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IF(COUNTIF($R$6:$R$871,R790)&gt;1,"重复","唯一")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IF(COUNTIF($R$6:$R$871,R791)&gt;1,"重复","唯一")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IF(COUNTIF($R$6:$R$871,R792)&gt;1,"重复","唯一")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IF(COUNTIF($R$6:$R$871,R793)&gt;1,"重复","唯一")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IF(COUNTIF($R$6:$R$871,R794)&gt;1,"重复","唯一")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IF(COUNTIF($R$6:$R$871,R795)&gt;1,"重复","唯一")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IF(COUNTIF($R$6:$R$871,R796)&gt;1,"重复","唯一")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IF(COUNTIF($R$6:$R$871,R797)&gt;1,"重复","唯一")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IF(COUNTIF($R$6:$R$871,R798)&gt;1,"重复","唯一")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IF(COUNTIF($R$6:$R$871,R799)&gt;1,"重复","唯一")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IF(COUNTIF($R$6:$R$871,R800)&gt;1,"重复","唯一")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IF(COUNTIF($R$6:$R$871,R801)&gt;1,"重复","唯一")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IF(COUNTIF($R$6:$R$871,R802)&gt;1,"重复","唯一")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IF(COUNTIF($R$6:$R$871,R803)&gt;1,"重复","唯一")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IF(COUNTIF($R$6:$R$871,R804)&gt;1,"重复","唯一")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IF(COUNTIF($R$6:$R$871,R805)&gt;1,"重复","唯一")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IF(COUNTIF($R$6:$R$871,R806)&gt;1,"重复","唯一")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IF(COUNTIF($R$6:$R$871,R807)&gt;1,"重复","唯一")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IF(COUNTIF($R$6:$R$871,R808)&gt;1,"重复","唯一")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IF(COUNTIF($R$6:$R$871,R809)&gt;1,"重复","唯一")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IF(COUNTIF($R$6:$R$871,R810)&gt;1,"重复","唯一")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IF(COUNTIF($R$6:$R$871,R811)&gt;1,"重复","唯一")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IF(COUNTIF($R$6:$R$871,R812)&gt;1,"重复","唯一")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IF(COUNTIF($R$6:$R$871,R813)&gt;1,"重复","唯一")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IF(COUNTIF($R$6:$R$871,R814)&gt;1,"重复","唯一")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IF(COUNTIF($R$6:$R$871,R815)&gt;1,"重复","唯一")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IF(COUNTIF($R$6:$R$871,R816)&gt;1,"重复","唯一")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IF(COUNTIF($R$6:$R$871,R817)&gt;1,"重复","唯一")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IF(COUNTIF($R$6:$R$871,R818)&gt;1,"重复","唯一")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assets/art/environments/open_world/source/landscape_tower04/v003/景观建筑_塔4周边五组_倾斜断柱与塌板_v003.blend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IF(COUNTIF($R$6:$R$871,R819)&gt;1,"重复","唯一")</f>
        <v/>
      </c>
      <c r="T819" s="99" t="inlineStr">
        <is>
          <t>fe649aa8823b118b2c16661fd83ecbe0b79852e3d305666eb13af9361449ff1e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assets/art/environments/open_world/source/landscape_tower04/v003/景观建筑_塔4周边五组_倾斜断柱与塌板_v003.blend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IF(COUNTIF($R$6:$R$871,R820)&gt;1,"重复","唯一")</f>
        <v/>
      </c>
      <c r="T820" s="99" t="inlineStr">
        <is>
          <t>fe649aa8823b118b2c16661fd83ecbe0b79852e3d305666eb13af9361449ff1e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assets/art/environments/open_world/source/landscape_tower04/v003/景观建筑_塔4周边五组_倾斜断柱与塌板_v003.blend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IF(COUNTIF($R$6:$R$871,R821)&gt;1,"重复","唯一")</f>
        <v/>
      </c>
      <c r="T821" s="99" t="inlineStr">
        <is>
          <t>fe649aa8823b118b2c16661fd83ecbe0b79852e3d305666eb13af9361449ff1e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assets/art/environments/open_world/source/landscape_tower04/v003/景观建筑_塔4周边五组_倾斜断柱与塌板_v003.blend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IF(COUNTIF($R$6:$R$871,R822)&gt;1,"重复","唯一")</f>
        <v/>
      </c>
      <c r="T822" s="99" t="inlineStr">
        <is>
          <t>fe649aa8823b118b2c16661fd83ecbe0b79852e3d305666eb13af9361449ff1e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assets/art/environments/open_world/source/landscape_tower04/v003/景观建筑_塔4周边五组_倾斜断柱与塌板_v003.blend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IF(COUNTIF($R$6:$R$871,R823)&gt;1,"重复","唯一")</f>
        <v/>
      </c>
      <c r="T823" s="99" t="inlineStr">
        <is>
          <t>fe649aa8823b118b2c16661fd83ecbe0b79852e3d305666eb13af9361449ff1e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assets/art/environments/open_world/source/logistics_07/v005/env_logistics_07_source_v005.blend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IF(COUNTIF($R$6:$R$871,R824)&gt;1,"重复","唯一")</f>
        <v/>
      </c>
      <c r="T824" s="99" t="inlineStr">
        <is>
          <t>8c7ff538bfbe00d94cbd1f9a716644611496aed0522152c9f9c421e0f99c1168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IF(COUNTIF($R$6:$R$871,R825)&gt;1,"重复","唯一")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assets/art/environments/open_world/source/landscape_skyline20/v007/qa/qa_report.json; assets/art/environments/open_world/source/landscape_skyline20/v007/component_catalog.json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IF(COUNTIF($R$6:$R$871,R826)&gt;1,"重复","唯一")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assets/art/environments/open_world/source/landscape_skyline20/v007/qa/qa_report.json; assets/art/environments/open_world/source/landscape_skyline20/v007/component_catalog.json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IF(COUNTIF($R$6:$R$871,R827)&gt;1,"重复","唯一")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assets/art/environments/open_world/source/landscape_skyline20/v007/qa/qa_report.json; assets/art/environments/open_world/source/landscape_skyline20/v007/component_catalog.json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IF(COUNTIF($R$6:$R$871,R828)&gt;1,"重复","唯一")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assets/art/environments/open_world/source/landscape_skyline20/v007/qa/qa_report.json; assets/art/environments/open_world/source/landscape_skyline20/v007/component_catalog.json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IF(COUNTIF($R$6:$R$871,R829)&gt;1,"重复","唯一")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assets/art/environments/open_world/source/landscape_skyline20/v007/qa/qa_report.json; assets/art/environments/open_world/source/landscape_skyline20/v007/component_catalog.json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IF(COUNTIF($R$6:$R$871,R830)&gt;1,"重复","唯一")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assets/art/environments/open_world/source/landscape_skyline20/v007/qa/qa_report.json; assets/art/environments/open_world/source/landscape_skyline20/v007/component_catalog.json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IF(COUNTIF($R$6:$R$871,R831)&gt;1,"重复","唯一")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assets/art/environments/open_world/source/landscape_skyline20/v007/qa/qa_report.json; assets/art/environments/open_world/source/landscape_skyline20/v007/component_catalog.json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IF(COUNTIF($R$6:$R$871,R832)&gt;1,"重复","唯一")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assets/art/environments/open_world/source/landscape_skyline20/v007/qa/qa_report.json; assets/art/environments/open_world/source/landscape_skyline20/v007/component_catalog.json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IF(COUNTIF($R$6:$R$871,R833)&gt;1,"重复","唯一")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assets/art/environments/open_world/source/landscape_skyline20/v007/qa/qa_report.json; assets/art/environments/open_world/source/landscape_skyline20/v007/component_catalog.json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IF(COUNTIF($R$6:$R$871,R834)&gt;1,"重复","唯一")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assets/art/environments/rooftop_courtyard_3d/source/prp_rooftop_courtyard/prp_rooftop_courtyard_source_v002.blend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IF(COUNTIF($R$6:$R$871,R835)&gt;1,"重复","唯一")</f>
        <v/>
      </c>
      <c r="T835" s="99" t="inlineStr">
        <is>
          <t>88f6ac5df7e21d49bc66f923796c37a86b379fda3514886c6179703b2f90048b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assets/art/environments/master_office_3d/source/env_father_office/v002/env_father_office_source_v002.blend</t>
        </is>
      </c>
      <c r="P836" s="99" t="inlineStr">
        <is>
          <t>source/art/blender/master_office_layout/source/block_00_master_office_layout_v002.layout.json;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IF(COUNTIF($R$6:$R$871,R836)&gt;1,"重复","唯一")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assets/art/environments/mobile_landmark_3d/source/env_mobile_landmark_hotel_50m/env_mobile_landmark_hotel_50m_source_v001.blend; assets/art/environments/mobile_landmark_3d/source/env_mobile_landmark_hotel_50m/asset_manifest.json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IF(COUNTIF($R$6:$R$871,R837)&gt;1,"重复","唯一")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assets/art/environments/master_office_3d/source/env_block00_story_rooms/v001/env_block00_story_rooms_source_v001.blend</t>
        </is>
      </c>
      <c r="P838" s="99" t="inlineStr">
        <is>
          <t>source/art/blender/master_office_layout/source/block_00_master_office_layout_v002.layout.json;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IF(COUNTIF($R$6:$R$871,R838)&gt;1,"重复","唯一")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IF(COUNTIF($R$6:$R$871,R839)&gt;1,"重复","唯一")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IF(COUNTIF($R$6:$R$871,R840)&gt;1,"重复","唯一")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IF(COUNTIF($R$6:$R$871,R841)&gt;1,"重复","唯一")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IF(COUNTIF($R$6:$R$871,R842)&gt;1,"重复","唯一")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IF(COUNTIF($R$6:$R$871,R843)&gt;1,"重复","唯一")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IF(COUNTIF($R$6:$R$871,R844)&gt;1,"重复","唯一")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IF(COUNTIF($R$6:$R$871,R845)&gt;1,"重复","唯一")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IF(COUNTIF($R$6:$R$871,R846)&gt;1,"重复","唯一")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IF(COUNTIF($R$6:$R$871,R847)&gt;1,"重复","唯一")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IF(COUNTIF($R$6:$R$871,R848)&gt;1,"重复","唯一")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IF(COUNTIF($R$6:$R$871,R849)&gt;1,"重复","唯一")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IF(COUNTIF($R$6:$R$871,R850)&gt;1,"重复","唯一")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IF(COUNTIF($R$6:$R$871,R851)&gt;1,"重复","唯一")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IF(COUNTIF($R$6:$R$871,R852)&gt;1,"重复","唯一")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IF(COUNTIF($R$6:$R$871,R853)&gt;1,"重复","唯一")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IF(COUNTIF($R$6:$R$871,R854)&gt;1,"重复","唯一")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IF(COUNTIF($R$6:$R$871,R855)&gt;1,"重复","唯一")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IF(COUNTIF($R$6:$R$871,R856)&gt;1,"重复","唯一")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IF(COUNTIF($R$6:$R$871,R857)&gt;1,"重复","唯一")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IF(COUNTIF($R$6:$R$871,R858)&gt;1,"重复","唯一")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IF(COUNTIF($R$6:$R$871,R859)&gt;1,"重复","唯一")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IF(COUNTIF($R$6:$R$871,R860)&gt;1,"重复","唯一")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IF(COUNTIF($R$6:$R$871,R861)&gt;1,"重复","唯一")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IF(COUNTIF($R$6:$R$871,R862)&gt;1,"重复","唯一")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IF(COUNTIF($R$6:$R$871,R863)&gt;1,"重复","唯一")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IF(COUNTIF($R$6:$R$871,R864)&gt;1,"重复","唯一")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IF(COUNTIF($R$6:$R$871,R865)&gt;1,"重复","唯一")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IF(COUNTIF($R$6:$R$871,R866)&gt;1,"重复","唯一")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6.280000686645508]；visual_only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IF(COUNTIF($R$6:$R$871,R867)&gt;1,"重复","唯一")</f>
        <v/>
      </c>
      <c r="T867" s="80" t="inlineStr">
        <is>
          <t>5f02a05b2e72007ac90d084aaef7095aba817f6f6d4bc98bb04fe7f7ccd49a20</t>
        </is>
      </c>
      <c r="U867" s="80" t="inlineStr">
        <is>
          <t>Codex</t>
        </is>
      </c>
      <c r="V867" s="94" t="inlineStr">
        <is>
          <t>2026-10-09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IF(COUNTIF($R$6:$R$871,R868)&gt;1,"重复","唯一")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IF(COUNTIF($R$6:$R$871,R869)&gt;1,"重复","唯一")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IF(COUNTIF($R$6:$R$871,R870)&gt;1,"重复","唯一")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IF(COUNTIF($R$6:$R$871,R871)&gt;1,"重复","唯一")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</sheetData>
  <autoFilter ref="A5:Y871"/>
  <mergeCells count="2">
    <mergeCell ref="A1:X2"/>
    <mergeCell ref="A3:X3"/>
  </mergeCells>
  <conditionalFormatting sqref="S6:S835">
    <cfRule type="containsText" priority="1" operator="containsText" dxfId="0" text="重复"/>
  </conditionalFormatting>
  <conditionalFormatting sqref="K6:K835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36 C837:C871" showDropDown="0" showInputMessage="0" showErrorMessage="0" allowBlank="1" type="list">
      <formula1>"角色,敌人,武器,道具,场景,场景道具,基地资产包,UI,特效,音效,音乐"</formula1>
    </dataValidation>
    <dataValidation sqref="K6:K836 K837:K87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36 L837:L871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assets/art/environments/open_world/source/landscape_skyline20/v007/env_landscape_skyline20_source_v007.blend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assets/art/environments/open_world/source/landscape_skyline20/v007/env_landscape_skyline20_source_v007.blend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assets/art/environments/open_world/source/landscape_skyline20/v007/env_landscape_skyline20_source_v007.blend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assets/art/environments/open_world/source/landscape_skyline20/v007/env_landscape_skyline20_source_v007.blend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assets/art/environments/open_world/source/landscape_skyline20/v007/env_landscape_skyline20_source_v007.blend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assets/art/environments/open_world/source/landscape_skyline20/v007/env_landscape_skyline20_source_v007.blend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assets/art/environments/open_world/source/landscape_skyline20/v007/env_landscape_skyline20_source_v007.blend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assets/art/environments/open_world/source/landscape_skyline20/v007/env_landscape_skyline20_source_v007.blend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assets/art/environments/open_world/source/landscape_skyline20/v007/env_landscape_skyline20_source_v007.blend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assets/art/environments/mobile_landmark_3d/source/env_mobile_landmark_hotel_50m/env_mobile_landmark_hotel_50m_source_v001.blend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assets/art/environments/master_office_3d/source/env_father_office/v002/env_father_office_source_v002.blend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优化/保真/哈希与QA：assets/art/environments/master_office_3d/source/env_block00_story_rooms/export/v001/import_manifest.json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assets/art/environments/master_office_3d/source/env_block00_story_rooms/v001/env_block00_story_rooms_source_v001.blend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assets/art/environments/master_office_3d/source/env_block00_story_rooms/v001/env_block00_story_rooms_source_v001.blend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优化/保真/哈希与QA：assets/art/environments/master_office_3d/source/env_block00_story_rooms/export/v001/import_manifest.json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assets/art/environments/master_office_3d/source/env_block00_story_rooms/v001/env_block00_story_rooms_source_v001.blend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assets/art/environments/master_office_3d/source/env_block00_story_rooms/v001/env_block00_story_rooms_source_v001.blend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assets/art/environments/master_office_3d/source/env_father_office/v002/env_father_office_source_v002.blend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优化/保真/哈希与QA：assets/art/environments/master_office_3d/source/env_block00_story_rooms/export/v001/import_manifest.json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assets/art/environments/master_office_3d/source/env_father_office/v002/env_father_office_source_v002.blend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优化/保真/哈希与QA：assets/art/environments/master_office_3d/source/env_block00_story_rooms/export/v001/import_manifest.json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assets/art/environments/master_office_3d/source/env_father_office/v002/env_father_office_source_v002.blend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优化/保真/哈希与QA：assets/art/environments/master_office_3d/source/env_block00_story_rooms/export/v001/import_manifest.json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assets/art/environments/master_office_3d/source/env_father_office/v002/env_father_office_source_v002.blend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优化/保真/哈希与QA：assets/art/environments/master_office_3d/source/env_block00_story_rooms/export/v001/import_manifest.json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assets/art/environments/master_office_3d/source/env_father_office/v002/env_father_office_source_v002.blend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优化/保真/哈希与QA：assets/art/environments/master_office_3d/source/env_block00_story_rooms/export/v001/import_manifest.json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assets/art/environments/master_office_3d/source/env_father_office/v002/env_father_office_source_v002.blend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优化/保真/哈希与QA：assets/art/environments/master_office_3d/source/env_block00_story_rooms/export/v001/import_manifest.json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assets/art/environments/master_office_3d/source/env_father_office/v002/env_father_office_source_v002.blend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优化/保真/哈希与QA：assets/art/environments/master_office_3d/source/env_block00_story_rooms/export/v001/import_manifest.json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assets/art/environments/master_office_3d/source/env_father_office/v002/env_father_office_source_v002.blend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优化/保真/哈希与QA：assets/art/environments/master_office_3d/source/env_block00_story_rooms/export/v001/import_manifest.json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assets/art/environments/master_office_3d/source/env_father_office/v002/env_father_office_source_v002.blend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优化/保真/哈希与QA：assets/art/environments/master_office_3d/source/env_block00_story_rooms/export/v001/import_manifest.json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assets/art/environments/master_office_3d/source/env_father_office/v002/env_father_office_source_v002.blend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优化/保真/哈希与QA：assets/art/environments/master_office_3d/source/env_block00_story_rooms/export/v001/import_manifest.json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assets/art/environments/master_office_3d/source/env_father_office/v002/env_father_office_source_v002.blend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优化/保真/哈希与QA：assets/art/environments/master_office_3d/source/env_block00_story_rooms/export/v001/import_manifest.json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assets/art/environments/master_office_3d/source/env_father_office/v002/env_father_office_source_v002.blend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优化/保真/哈希与QA：assets/art/environments/master_office_3d/source/env_block00_story_rooms/export/v001/import_manifest.json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assets/art/environments/master_office_3d/source/env_father_office/v002/env_father_office_source_v002.blend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优化/保真/哈希与QA：assets/art/environments/master_office_3d/source/env_block00_story_rooms/export/v001/import_manifest.json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assets/art/environments/master_office_3d/source/env_father_office/v002/env_father_office_source_v002.blend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优化/保真/哈希与QA：assets/art/environments/master_office_3d/source/env_block00_story_rooms/export/v001/import_manifest.json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assets/art/environments/master_office_3d/source/env_father_office/v002/env_father_office_source_v002.blend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优化/保真/哈希与QA：assets/art/environments/master_office_3d/source/env_block00_story_rooms/export/v001/import_manifest.json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assets/art/environments/master_office_3d/source/env_father_office/v002/env_father_office_source_v002.blend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优化/保真/哈希与QA：assets/art/environments/master_office_3d/source/env_block00_story_rooms/export/v001/import_manifest.json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assets/art/environments/master_office_3d/source/env_father_office/v002/env_father_office_source_v002.blend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优化/保真/哈希与QA：assets/art/environments/master_office_3d/source/env_block00_story_rooms/export/v001/import_manifest.json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assets/art/environments/master_office_3d/source/env_father_office/v002/env_father_office_source_v002.blend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优化/保真/哈希与QA：assets/art/environments/master_office_3d/source/env_block00_story_rooms/export/v001/import_manifest.json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assets/art/environments/master_office_3d/source/env_father_office/v002/env_father_office_source_v002.blend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优化/保真/哈希与QA：assets/art/environments/master_office_3d/source/env_block00_story_rooms/export/v001/import_manifest.json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assets/art/environments/master_office_3d/source/env_block00_story_rooms/v001/env_block00_story_rooms_source_v001.blend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优化/保真/哈希与QA：assets/art/environments/master_office_3d/source/env_block00_story_rooms/export/v001/import_manifest.json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assets/art/environments/master_office_3d/source/env_block00_story_rooms/v001/env_block00_story_rooms_source_v001.blend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优化/保真/哈希与QA：assets/art/environments/master_office_3d/source/env_block00_story_rooms/export/v001/import_manifest.json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assets/art/environments/master_office_3d/source/env_block00_story_rooms/v001/env_block00_story_rooms_source_v001.blend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优化/保真/哈希与QA：assets/art/environments/master_office_3d/source/env_block00_story_rooms/export/v001/import_manifest.json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assets/art/environments/master_office_3d/source/env_block00_story_rooms/v001/env_block00_story_rooms_source_v001.blend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优化/保真/哈希与QA：assets/art/environments/master_office_3d/source/env_block00_story_rooms/export/v001/import_manifest.json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assets/art/environments/master_office_3d/source/env_block00_story_rooms/v001/env_block00_story_rooms_source_v001.blend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优化/保真/哈希与QA：assets/art/environments/master_office_3d/source/env_block00_story_rooms/export/v001/import_manifest.json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assets/art/environments/master_office_3d/source/env_block00_story_rooms/v001/env_block00_story_rooms_source_v001.blend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优化/保真/哈希与QA：assets/art/environments/master_office_3d/source/env_block00_story_rooms/export/v001/import_manifest.json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assets/art/environments/master_office_3d/source/env_block00_story_rooms/v001/env_block00_story_rooms_source_v001.blend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优化/保真/哈希与QA：assets/art/environments/master_office_3d/source/env_block00_story_rooms/export/v001/import_manifest.json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assets/art/environments/master_office_3d/source/env_block00_story_rooms/v001/env_block00_story_rooms_source_v001.blend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优化/保真/哈希与QA：assets/art/environments/master_office_3d/source/env_block00_story_rooms/export/v001/import_manifest.json</t>
        </is>
      </c>
    </row>
    <row r="55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assets/art/environments/master_office_3d/source/env_block00_story_rooms/v001/env_block00_story_rooms_source_v001.blend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无</t>
        </is>
      </c>
      <c r="I55" s="102" t="inlineStr">
        <is>
          <t>无</t>
        </is>
      </c>
      <c r="J55" s="103" t="inlineStr">
        <is>
          <t>visual_only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优化/保真/哈希与QA：assets/art/environments/master_office_3d/source/env_block00_story_rooms/export/v001/import_manifest.json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2026-10-09T15:28:19Z</dcterms:modified>
</cp:coreProperties>
</file>