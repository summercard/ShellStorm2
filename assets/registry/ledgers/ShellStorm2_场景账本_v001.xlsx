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'资产主表'!$A$5:$Y$248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_ * #,##0.00_ ;_ * -#,##0.00_ ;_ * &quot;-&quot;??_ ;_ @_ "/>
    <numFmt numFmtId="166" formatCode="_ * #,##0_ ;_ * -#,##0_ ;_ * &quot;-&quot;_ ;_ @_ "/>
    <numFmt numFmtId="167" formatCode="_ \¥* #,##0.00_ ;_ \¥* -#,##0.00_ ;_ \¥* &quot;-&quot;??_ ;_ @_ "/>
    <numFmt numFmtId="168" formatCode="_ \¥* #,##0_ ;_ \¥* -#,##0_ ;_ \¥* &quot;-&quot;_ ;_ @_ "/>
    <numFmt numFmtId="169" formatCode="yyyy-mm-dd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5" fontId="26" fillId="11" borderId="21"/>
    <xf numFmtId="166" fontId="26" fillId="11" borderId="21"/>
    <xf numFmtId="167" fontId="26" fillId="11" borderId="21"/>
    <xf numFmtId="168" fontId="26" fillId="11" borderId="21"/>
    <xf numFmtId="9" fontId="26" fillId="11" borderId="21"/>
  </cellStyleXfs>
  <cellXfs count="13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9" fontId="17" fillId="11" borderId="21" applyAlignment="1" pivotButton="0" quotePrefix="0" xfId="0">
      <alignment horizontal="general" vertical="bottom" wrapText="1"/>
    </xf>
    <xf numFmtId="169" fontId="0" fillId="0" borderId="0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COUNTA(资产主表!$A$6:$A$249)</f>
        <v/>
      </c>
      <c r="B6" s="72" t="inlineStr"/>
      <c r="C6" s="74">
        <f>COUNTIF(资产主表!$K$6:$K$249,"已完成")+COUNTIF(资产主表!$K$6:$K$249,"原型已接入")+COUNTIF(资产主表!$K$6:$K$249,"正式美术已接入")+COUNTIF(资产主表!$K$6:$K$249,"已优化并正式接入")+COUNTIF(资产主表!$K$6:$K$249,"Blender源已完成")+COUNTIF(资产主表!$K$6:$K$249,"已导入；优化完成")+COUNTIF(资产主表!$K$6:$K$249,"白模源已完成；QA PASS")</f>
        <v/>
      </c>
      <c r="D6" s="72" t="inlineStr"/>
      <c r="E6" s="74">
        <f>COUNTIF(资产主表!$K$6:$K$249,"待制作")+COUNTIF(资产主表!$K$6:$K$249,"程序占位")</f>
        <v/>
      </c>
      <c r="F6" s="72" t="inlineStr"/>
      <c r="G6" s="74">
        <f>COUNTIF(资产主表!$S$6:$S$249,"重复")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COUNTIF(资产主表!$C$6:$C$249,A10)</f>
        <v/>
      </c>
      <c r="C10" s="79">
        <f>SUMPRODUCT((资产主表!$C$6:$C$249=A10)*((资产主表!$K$6:$K$249="已完成")+(资产主表!$K$6:$K$249="原型已接入")+(资产主表!$K$6:$K$249="正式美术已接入")+(资产主表!$K$6:$K$249="已优化并正式接入")+(资产主表!$K$6:$K$249="Blender源已完成")+(资产主表!$K$6:$K$249="已导入；优化完成")+(资产主表!$K$6:$K$249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COUNTIF(资产主表!$C$6:$C$249,A11)</f>
        <v/>
      </c>
      <c r="C11" s="79">
        <f>SUMPRODUCT((资产主表!$C$6:$C$249=A11)*((资产主表!$K$6:$K$249="已完成")+(资产主表!$K$6:$K$249="原型已接入")+(资产主表!$K$6:$K$249="正式美术已接入")+(资产主表!$K$6:$K$249="已优化并正式接入")+(资产主表!$K$6:$K$249="Blender源已完成")+(资产主表!$K$6:$K$249="已导入；优化完成")+(资产主表!$K$6:$K$249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COUNTIF(资产主表!$C$6:$C$249,A12)</f>
        <v/>
      </c>
      <c r="C12" s="79">
        <f>SUMPRODUCT((资产主表!$C$6:$C$249=A12)*((资产主表!$K$6:$K$249="已完成")+(资产主表!$K$6:$K$249="原型已接入")+(资产主表!$K$6:$K$249="正式美术已接入")+(资产主表!$K$6:$K$249="已优化并正式接入")+(资产主表!$K$6:$K$249="Blender源已完成")+(资产主表!$K$6:$K$249="已导入；优化完成")+(资产主表!$K$6:$K$249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=COUNTIF(资产主表!$C$6:$C$248,A13)</f>
        <v/>
      </c>
      <c r="C13" s="75">
        <f>=SUMPRODUCT((资产主表!$C$6:$C$248=A13)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=COUNTA('3D-场景通用'!$A$5:$A$204)</f>
        <v/>
      </c>
      <c r="C17" s="79">
        <f>=COUNTIF('3D-场景通用'!$D$5:$D$204,"&lt;&gt;")</f>
        <v/>
      </c>
      <c r="D17" s="79">
        <f>=COUNTIF('3D-场景通用'!$G$5:$G$204,"&lt;&gt;")</f>
        <v/>
      </c>
      <c r="E17" s="79">
        <f>=COUNTIF('3D-场景通用'!$H$5:$H$204,"开")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IF(COUNTIF($R$6:$R$249,R6)&gt;1,"重复","唯一")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IF(COUNTIF($R$6:$R$249,R7)&gt;1,"重复","唯一")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IF(COUNTIF($R$6:$R$249,R8)&gt;1,"重复","唯一")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IF(COUNTIF($R$6:$R$249,R9)&gt;1,"重复","唯一")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IF(COUNTIF($R$6:$R$249,R10)&gt;1,"重复","唯一")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IF(COUNTIF($R$6:$R$249,R11)&gt;1,"重复","唯一")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IF(COUNTIF($R$6:$R$249,R12)&gt;1,"重复","唯一")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IF(COUNTIF($R$6:$R$249,R13)&gt;1,"重复","唯一")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IF(COUNTIF($R$6:$R$249,R14)&gt;1,"重复","唯一")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IF(COUNTIF($R$6:$R$249,R15)&gt;1,"重复","唯一")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IF(COUNTIF($R$6:$R$249,R16)&gt;1,"重复","唯一")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IF(COUNTIF($R$6:$R$249,R17)&gt;1,"重复","唯一")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IF(COUNTIF($R$6:$R$249,R18)&gt;1,"重复","唯一")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IF(COUNTIF($R$6:$R$249,R19)&gt;1,"重复","唯一")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IF(COUNTIF($R$6:$R$249,R20)&gt;1,"重复","唯一")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IF(COUNTIF($R$6:$R$249,R21)&gt;1,"重复","唯一")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IF(COUNTIF($R$6:$R$249,R22)&gt;1,"重复","唯一")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IF(COUNTIF($R$6:$R$249,R23)&gt;1,"重复","唯一")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IF(COUNTIF($R$6:$R$249,R24)&gt;1,"重复","唯一")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IF(COUNTIF($R$6:$R$249,R25)&gt;1,"重复","唯一")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IF(COUNTIF($R$6:$R$249,R26)&gt;1,"重复","唯一")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IF(COUNTIF($R$6:$R$249,R27)&gt;1,"重复","唯一")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IF(COUNTIF($R$6:$R$249,R28)&gt;1,"重复","唯一")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IF(COUNTIF($R$6:$R$249,R29)&gt;1,"重复","唯一")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IF(COUNTIF($R$6:$R$249,R30)&gt;1,"重复","唯一")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IF(COUNTIF($R$6:$R$249,R31)&gt;1,"重复","唯一")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IF(COUNTIF($R$6:$R$249,R32)&gt;1,"重复","唯一")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IF(COUNTIF($R$6:$R$249,R33)&gt;1,"重复","唯一")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IF(COUNTIF($R$6:$R$249,R34)&gt;1,"重复","唯一")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IF(COUNTIF($R$6:$R$249,R35)&gt;1,"重复","唯一")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IF(COUNTIF($R$6:$R$249,R36)&gt;1,"重复","唯一")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IF(COUNTIF($R$6:$R$249,R37)&gt;1,"重复","唯一")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IF(COUNTIF($R$6:$R$249,R38)&gt;1,"重复","唯一")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IF(COUNTIF($R$6:$R$249,R39)&gt;1,"重复","唯一")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IF(COUNTIF($R$6:$R$249,R40)&gt;1,"重复","唯一")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IF(COUNTIF($R$6:$R$249,R41)&gt;1,"重复","唯一")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IF(COUNTIF($R$6:$R$249,R42)&gt;1,"重复","唯一")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IF(COUNTIF($R$6:$R$249,R43)&gt;1,"重复","唯一")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IF(COUNTIF($R$6:$R$249,R44)&gt;1,"重复","唯一")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IF(COUNTIF($R$6:$R$249,R45)&gt;1,"重复","唯一")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IF(COUNTIF($R$6:$R$249,R46)&gt;1,"重复","唯一")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IF(COUNTIF($R$6:$R$249,R47)&gt;1,"重复","唯一")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IF(COUNTIF($R$6:$R$249,R48)&gt;1,"重复","唯一")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IF(COUNTIF($R$6:$R$249,R49)&gt;1,"重复","唯一")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IF(COUNTIF($R$6:$R$249,R50)&gt;1,"重复","唯一")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IF(COUNTIF($R$6:$R$249,R51)&gt;1,"重复","唯一")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IF(COUNTIF($R$6:$R$249,R52)&gt;1,"重复","唯一")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IF(COUNTIF($R$6:$R$249,R53)&gt;1,"重复","唯一")</f>
        <v/>
      </c>
      <c r="T53" s="96" t="inlineStr">
        <is>
          <t>374967bf92d12e54e390a3d8ec6b5c29f6444f63f8302e1a1aeed022f777d14e</t>
        </is>
      </c>
      <c r="U53" s="96" t="inlineStr">
        <is>
          <t>Codex</t>
        </is>
      </c>
      <c r="V53" s="98" t="n">
        <v>46279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IF(COUNTIF($R$6:$R$249,R54)&gt;1,"重复","唯一")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IF(COUNTIF($R$6:$R$249,R55)&gt;1,"重复","唯一")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IF(COUNTIF($R$6:$R$249,R56)&gt;1,"重复","唯一")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IF(COUNTIF($R$6:$R$249,R57)&gt;1,"重复","唯一")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IF(COUNTIF($R$6:$R$249,R58)&gt;1,"重复","唯一")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IF(COUNTIF($R$6:$R$249,R59)&gt;1,"重复","唯一")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IF(COUNTIF($R$6:$R$249,R60)&gt;1,"重复","唯一")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IF(COUNTIF($R$6:$R$249,R61)&gt;1,"重复","唯一")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IF(COUNTIF($R$6:$R$249,R62)&gt;1,"重复","唯一")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IF(COUNTIF($R$6:$R$249,R63)&gt;1,"重复","唯一")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IF(COUNTIF($R$6:$R$249,R64)&gt;1,"重复","唯一")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IF(COUNTIF($R$6:$R$249,R65)&gt;1,"重复","唯一")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IF(COUNTIF($R$6:$R$249,R66)&gt;1,"重复","唯一")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IF(COUNTIF($R$6:$R$249,R67)&gt;1,"重复","唯一")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IF(COUNTIF($R$6:$R$249,R68)&gt;1,"重复","唯一")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IF(COUNTIF($R$6:$R$249,R69)&gt;1,"重复","唯一")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IF(COUNTIF($R$6:$R$249,R70)&gt;1,"重复","唯一")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IF(COUNTIF($R$6:$R$249,R71)&gt;1,"重复","唯一")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IF(COUNTIF($R$6:$R$249,R72)&gt;1,"重复","唯一")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IF(COUNTIF($R$6:$R$249,R73)&gt;1,"重复","唯一")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IF(COUNTIF($R$6:$R$249,R74)&gt;1,"重复","唯一")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IF(COUNTIF($R$6:$R$249,R75)&gt;1,"重复","唯一")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IF(COUNTIF($R$6:$R$249,R76)&gt;1,"重复","唯一")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IF(COUNTIF($R$6:$R$249,R77)&gt;1,"重复","唯一")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IF(COUNTIF($R$6:$R$249,R78)&gt;1,"重复","唯一")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IF(COUNTIF($R$6:$R$249,R79)&gt;1,"重复","唯一")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IF(COUNTIF($R$6:$R$249,R80)&gt;1,"重复","唯一")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IF(COUNTIF($R$6:$R$249,R81)&gt;1,"重复","唯一")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IF(COUNTIF($R$6:$R$249,R82)&gt;1,"重复","唯一")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IF(COUNTIF($R$6:$R$249,R83)&gt;1,"重复","唯一")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IF(COUNTIF($R$6:$R$249,R84)&gt;1,"重复","唯一")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IF(COUNTIF($R$6:$R$249,R85)&gt;1,"重复","唯一")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IF(COUNTIF($R$6:$R$249,R86)&gt;1,"重复","唯一")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IF(COUNTIF($R$6:$R$249,R87)&gt;1,"重复","唯一")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IF(COUNTIF($R$6:$R$249,R88)&gt;1,"重复","唯一")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IF(COUNTIF($R$6:$R$249,R89)&gt;1,"重复","唯一")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IF(COUNTIF($R$6:$R$249,R90)&gt;1,"重复","唯一")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IF(COUNTIF($R$6:$R$249,R91)&gt;1,"重复","唯一")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IF(COUNTIF($R$6:$R$249,R92)&gt;1,"重复","唯一")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IF(COUNTIF($R$6:$R$249,R93)&gt;1,"重复","唯一")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IF(COUNTIF($R$6:$R$249,R94)&gt;1,"重复","唯一")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IF(COUNTIF($R$6:$R$249,R95)&gt;1,"重复","唯一")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IF(COUNTIF($R$6:$R$249,R96)&gt;1,"重复","唯一")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IF(COUNTIF($R$6:$R$249,R97)&gt;1,"重复","唯一")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IF(COUNTIF($R$6:$R$249,R98)&gt;1,"重复","唯一")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IF(COUNTIF($R$6:$R$249,R99)&gt;1,"重复","唯一")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IF(COUNTIF($R$6:$R$249,R100)&gt;1,"重复","唯一")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IF(COUNTIF($R$6:$R$249,R101)&gt;1,"重复","唯一")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IF(COUNTIF($R$6:$R$249,R102)&gt;1,"重复","唯一")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IF(COUNTIF($R$6:$R$249,R103)&gt;1,"重复","唯一")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IF(COUNTIF($R$6:$R$249,R104)&gt;1,"重复","唯一")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IF(COUNTIF($R$6:$R$249,R105)&gt;1,"重复","唯一")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IF(COUNTIF($R$6:$R$249,R106)&gt;1,"重复","唯一")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IF(COUNTIF($R$6:$R$249,R107)&gt;1,"重复","唯一")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IF(COUNTIF($R$6:$R$249,R108)&gt;1,"重复","唯一")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IF(COUNTIF($R$6:$R$249,R109)&gt;1,"重复","唯一")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IF(COUNTIF($R$6:$R$249,R110)&gt;1,"重复","唯一")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IF(COUNTIF($R$6:$R$249,R111)&gt;1,"重复","唯一")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IF(COUNTIF($R$6:$R$249,R112)&gt;1,"重复","唯一")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IF(COUNTIF($R$6:$R$249,R113)&gt;1,"重复","唯一")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IF(COUNTIF($R$6:$R$249,R114)&gt;1,"重复","唯一")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IF(COUNTIF($R$6:$R$249,R115)&gt;1,"重复","唯一")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IF(COUNTIF($R$6:$R$249,R116)&gt;1,"重复","唯一")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IF(COUNTIF($R$6:$R$249,R117)&gt;1,"重复","唯一")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IF(COUNTIF($R$6:$R$249,R118)&gt;1,"重复","唯一")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IF(COUNTIF($R$6:$R$249,R119)&gt;1,"重复","唯一")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IF(COUNTIF($R$6:$R$249,R120)&gt;1,"重复","唯一")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IF(COUNTIF($R$6:$R$249,R121)&gt;1,"重复","唯一")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IF(COUNTIF($R$6:$R$249,R122)&gt;1,"重复","唯一")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IF(COUNTIF($R$6:$R$249,R123)&gt;1,"重复","唯一")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IF(COUNTIF($R$6:$R$249,R124)&gt;1,"重复","唯一")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IF(COUNTIF($R$6:$R$249,R125)&gt;1,"重复","唯一")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IF(COUNTIF($R$6:$R$249,R126)&gt;1,"重复","唯一")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IF(COUNTIF($R$6:$R$249,R127)&gt;1,"重复","唯一")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IF(COUNTIF($R$6:$R$249,R128)&gt;1,"重复","唯一")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IF(COUNTIF($R$6:$R$249,R129)&gt;1,"重复","唯一")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IF(COUNTIF($R$6:$R$249,R130)&gt;1,"重复","唯一")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IF(COUNTIF($R$6:$R$249,R131)&gt;1,"重复","唯一")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IF(COUNTIF($R$6:$R$249,R132)&gt;1,"重复","唯一")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IF(COUNTIF($R$6:$R$249,R133)&gt;1,"重复","唯一")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IF(COUNTIF($R$6:$R$249,R134)&gt;1,"重复","唯一")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IF(COUNTIF($R$6:$R$249,R135)&gt;1,"重复","唯一")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IF(COUNTIF($R$6:$R$249,R136)&gt;1,"重复","唯一")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IF(COUNTIF($R$6:$R$249,R137)&gt;1,"重复","唯一")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IF(COUNTIF($R$6:$R$249,R138)&gt;1,"重复","唯一")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IF(COUNTIF($R$6:$R$249,R139)&gt;1,"重复","唯一")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IF(COUNTIF($R$6:$R$249,R140)&gt;1,"重复","唯一")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IF(COUNTIF($R$6:$R$249,R141)&gt;1,"重复","唯一")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IF(COUNTIF($R$6:$R$249,R142)&gt;1,"重复","唯一")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IF(COUNTIF($R$6:$R$249,R143)&gt;1,"重复","唯一")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IF(COUNTIF($R$6:$R$249,R144)&gt;1,"重复","唯一")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IF(COUNTIF($R$6:$R$249,R145)&gt;1,"重复","唯一")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IF(COUNTIF($R$6:$R$249,R146)&gt;1,"重复","唯一")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IF(COUNTIF($R$6:$R$249,R147)&gt;1,"重复","唯一")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IF(COUNTIF($R$6:$R$249,R148)&gt;1,"重复","唯一")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IF(COUNTIF($R$6:$R$249,R149)&gt;1,"重复","唯一")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IF(COUNTIF($R$6:$R$249,R150)&gt;1,"重复","唯一")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IF(COUNTIF($R$6:$R$249,R151)&gt;1,"重复","唯一")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IF(COUNTIF($R$6:$R$249,R152)&gt;1,"重复","唯一")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IF(COUNTIF($R$6:$R$249,R153)&gt;1,"重复","唯一")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IF(COUNTIF($R$6:$R$249,R154)&gt;1,"重复","唯一")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IF(COUNTIF($R$6:$R$249,R155)&gt;1,"重复","唯一")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IF(COUNTIF($R$6:$R$249,R156)&gt;1,"重复","唯一")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IF(COUNTIF($R$6:$R$249,R157)&gt;1,"重复","唯一")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IF(COUNTIF($R$6:$R$249,R158)&gt;1,"重复","唯一")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IF(COUNTIF($R$6:$R$249,R159)&gt;1,"重复","唯一")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IF(COUNTIF($R$6:$R$249,R160)&gt;1,"重复","唯一")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IF(COUNTIF($R$6:$R$249,R161)&gt;1,"重复","唯一")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IF(COUNTIF($R$6:$R$249,R162)&gt;1,"重复","唯一")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IF(COUNTIF($R$6:$R$249,R163)&gt;1,"重复","唯一")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IF(COUNTIF($R$6:$R$249,R164)&gt;1,"重复","唯一")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IF(COUNTIF($R$6:$R$249,R165)&gt;1,"重复","唯一")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IF(COUNTIF($R$6:$R$249,R166)&gt;1,"重复","唯一")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IF(COUNTIF($R$6:$R$249,R167)&gt;1,"重复","唯一")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IF(COUNTIF($R$6:$R$249,R168)&gt;1,"重复","唯一")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IF(COUNTIF($R$6:$R$249,R169)&gt;1,"重复","唯一")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IF(COUNTIF($R$6:$R$249,R170)&gt;1,"重复","唯一")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IF(COUNTIF($R$6:$R$249,R171)&gt;1,"重复","唯一")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IF(COUNTIF($R$6:$R$249,R172)&gt;1,"重复","唯一")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IF(COUNTIF($R$6:$R$249,R173)&gt;1,"重复","唯一")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IF(COUNTIF($R$6:$R$249,R174)&gt;1,"重复","唯一")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IF(COUNTIF($R$6:$R$249,R175)&gt;1,"重复","唯一")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IF(COUNTIF($R$6:$R$249,R176)&gt;1,"重复","唯一")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IF(COUNTIF($R$6:$R$249,R177)&gt;1,"重复","唯一")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IF(COUNTIF($R$6:$R$249,R178)&gt;1,"重复","唯一")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IF(COUNTIF($R$6:$R$249,R179)&gt;1,"重复","唯一")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IF(COUNTIF($R$6:$R$249,R180)&gt;1,"重复","唯一")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IF(COUNTIF($R$6:$R$249,R181)&gt;1,"重复","唯一")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IF(COUNTIF($R$6:$R$249,R182)&gt;1,"重复","唯一")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IF(COUNTIF($R$6:$R$249,R183)&gt;1,"重复","唯一")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IF(COUNTIF($R$6:$R$249,R184)&gt;1,"重复","唯一")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IF(COUNTIF($R$6:$R$249,R185)&gt;1,"重复","唯一")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IF(COUNTIF($R$6:$R$249,R186)&gt;1,"重复","唯一")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IF(COUNTIF($R$6:$R$249,R187)&gt;1,"重复","唯一")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IF(COUNTIF($R$6:$R$249,R188)&gt;1,"重复","唯一")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IF(COUNTIF($R$6:$R$249,R189)&gt;1,"重复","唯一")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IF(COUNTIF($R$6:$R$249,R190)&gt;1,"重复","唯一")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IF(COUNTIF($R$6:$R$249,R191)&gt;1,"重复","唯一")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IF(COUNTIF($R$6:$R$249,R192)&gt;1,"重复","唯一")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IF(COUNTIF($R$6:$R$249,R193)&gt;1,"重复","唯一")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IF(COUNTIF($R$6:$R$249,R194)&gt;1,"重复","唯一")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IF(COUNTIF($R$6:$R$249,R195)&gt;1,"重复","唯一")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IF(COUNTIF($R$6:$R$249,R196)&gt;1,"重复","唯一")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IF(COUNTIF($R$6:$R$249,R197)&gt;1,"重复","唯一")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IF(COUNTIF($R$6:$R$249,R198)&gt;1,"重复","唯一")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IF(COUNTIF($R$6:$R$249,R199)&gt;1,"重复","唯一")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IF(COUNTIF($R$6:$R$249,R200)&gt;1,"重复","唯一")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IF(COUNTIF($R$6:$R$249,R201)&gt;1,"重复","唯一")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IF(COUNTIF($R$6:$R$249,R202)&gt;1,"重复","唯一")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IF(COUNTIF($R$6:$R$249,R203)&gt;1,"重复","唯一")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IF(COUNTIF($R$6:$R$249,R204)&gt;1,"重复","唯一")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IF(COUNTIF($R$6:$R$249,R205)&gt;1,"重复","唯一")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IF(COUNTIF($R$6:$R$249,R206)&gt;1,"重复","唯一")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IF(COUNTIF($R$6:$R$249,R207)&gt;1,"重复","唯一")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IF(COUNTIF($R$6:$R$249,R208)&gt;1,"重复","唯一")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IF(COUNTIF($R$6:$R$249,R209)&gt;1,"重复","唯一")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IF(COUNTIF($R$6:$R$249,R210)&gt;1,"重复","唯一")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IF(COUNTIF($R$6:$R$249,R211)&gt;1,"重复","唯一")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IF(COUNTIF($R$6:$R$249,R212)&gt;1,"重复","唯一")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IF(COUNTIF($R$6:$R$249,R213)&gt;1,"重复","唯一")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IF(COUNTIF($R$6:$R$249,R214)&gt;1,"重复","唯一")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IF(COUNTIF($R$6:$R$249,R215)&gt;1,"重复","唯一")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IF(COUNTIF($R$6:$R$249,R216)&gt;1,"重复","唯一")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IF(COUNTIF($R$6:$R$249,R217)&gt;1,"重复","唯一")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IF(COUNTIF($R$6:$R$249,R218)&gt;1,"重复","唯一")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IF(COUNTIF($R$6:$R$249,R219)&gt;1,"重复","唯一")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IF(COUNTIF($R$6:$R$249,R220)&gt;1,"重复","唯一")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IF(COUNTIF($R$6:$R$249,R221)&gt;1,"重复","唯一")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IF(COUNTIF($R$6:$R$249,R222)&gt;1,"重复","唯一")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IF(COUNTIF($R$6:$R$249,R223)&gt;1,"重复","唯一")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IF(COUNTIF($R$6:$R$249,R224)&gt;1,"重复","唯一")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IF(COUNTIF($R$6:$R$249,R225)&gt;1,"重复","唯一")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IF(COUNTIF($R$6:$R$249,R226)&gt;1,"重复","唯一")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IF(COUNTIF($R$6:$R$249,R227)&gt;1,"重复","唯一")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IF(COUNTIF($R$6:$R$249,R228)&gt;1,"重复","唯一")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IF(COUNTIF($R$6:$R$249,R229)&gt;1,"重复","唯一")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IF(COUNTIF($R$6:$R$249,R230)&gt;1,"重复","唯一")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IF(COUNTIF($R$6:$R$249,R231)&gt;1,"重复","唯一")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IF(COUNTIF($R$6:$R$249,R232)&gt;1,"重复","唯一")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IF(COUNTIF($R$6:$R$249,R233)&gt;1,"重复","唯一")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IF(COUNTIF($R$6:$R$249,R234)&gt;1,"重复","唯一")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IF(COUNTIF($R$6:$R$249,R235)&gt;1,"重复","唯一")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IF(COUNTIF($R$6:$R$249,R236)&gt;1,"重复","唯一")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IF(COUNTIF($R$6:$R$249,R237)&gt;1,"重复","唯一")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IF(COUNTIF($R$6:$R$249,R238)&gt;1,"重复","唯一")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IF(COUNTIF($R$6:$R$249,R239)&gt;1,"重复","唯一")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IF(COUNTIF($R$6:$R$249,R240)&gt;1,"重复","唯一")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IF(COUNTIF($R$6:$R$249,R241)&gt;1,"重复","唯一")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IF(COUNTIF($R$6:$R$249,R242)&gt;1,"重复","唯一")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IF(COUNTIF($R$6:$R$249,R243)&gt;1,"重复","唯一")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IF(COUNTIF($R$6:$R$249,R244)&gt;1,"重复","唯一")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IF(COUNTIF($R$6:$R$249,R245)&gt;1,"重复","唯一")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IF(COUNTIF($R$6:$R$249,R246)&gt;1,"重复","唯一")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IF(COUNTIF($R$6:$R$249,R247)&gt;1,"重复","唯一")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building_source</t>
        </is>
      </c>
      <c r="G248" s="99" t="n"/>
      <c r="H248" s="99" t="inlineStr">
        <is>
          <t>Top3D / Blender Z-up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Blender源已完成</t>
        </is>
      </c>
      <c r="L248" s="99" t="inlineStr">
        <is>
          <t>P1</t>
        </is>
      </c>
      <c r="M248" s="99" t="inlineStr">
        <is>
          <t>v003</t>
        </is>
      </c>
      <c r="N248" s="99" t="inlineStr">
        <is>
          <t>主体70×50m；92独立资产包；灰色屋顶、错层楼板与高低立柱；3台塔吊各自独立合集，每台7组成件；4角色公共色盘</t>
        </is>
      </c>
      <c r="O248" s="99" t="inlineStr">
        <is>
          <t>assets/art/environments/open_world/source/tower_02/v003/塔2_施工高楼_70x50m_v003.blend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塔2;施工高楼;塔吊独立合集;错层屋顶;灰色顶面;v003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IF(COUNTIF($R$6:$R$249,R248)&gt;1,"重复","唯一")</f>
        <v/>
      </c>
      <c r="T248" s="99" t="inlineStr">
        <is>
          <t>9c56a7e489416230c460063c3b5a84b2cfed8d9c43cec05a20638e5e3d84b4c8</t>
        </is>
      </c>
      <c r="U248" s="72" t="inlineStr">
        <is>
          <t>Codex</t>
        </is>
      </c>
      <c r="V248" s="130" t="n">
        <v>46295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Blender原始文件已完成；3台塔吊为各自独立合集。未导出GLB、未接入Godot、未制作碰撞/LOD。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building_source</t>
        </is>
      </c>
      <c r="G249" s="99" t="n"/>
      <c r="H249" s="99" t="inlineStr">
        <is>
          <t>Top3D / Blender Z-up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Blender源已完成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主体70×44m；屋顶高40m、机房高8m；217独立资产包；天台双层机房、风机、风管、通信桅杆和卫星天线</t>
        </is>
      </c>
      <c r="O249" s="99" t="inlineStr">
        <is>
          <t>assets/art/environments/open_world/source/tower_03/v001/塔楼03_设备天台办公楼_v001.blend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IF(COUNTIF($R$6:$R$249,R249)&gt;1,"重复","唯一")</f>
        <v/>
      </c>
      <c r="T249" s="99" t="inlineStr">
        <is>
          <t>91b2f8f7d7ccfd483e76799e4b0a7573492b1741021eb3f7b34e5bfc24ec631e</t>
        </is>
      </c>
      <c r="U249" s="72" t="inlineStr">
        <is>
          <t>Codex</t>
        </is>
      </c>
      <c r="V249" s="130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仅Blender原始文件；按用户确认尺寸制作。未导出GLB、未接入Godot、未制作碰撞/LOD。</t>
        </is>
      </c>
    </row>
  </sheetData>
  <autoFilter ref="A5:Y248"/>
  <mergeCells count="2">
    <mergeCell ref="A1:X2"/>
    <mergeCell ref="A3:X3"/>
  </mergeCells>
  <conditionalFormatting sqref="S6:S240">
    <cfRule type="containsText" rank="0" priority="1" equalAverage="0" operator="containsText" aboveAverage="0" dxfId="0" text="重复" percent="0" bottom="0">
      <formula>NOT(ISERROR(SEARCH("重复",S6)))</formula>
      <formula>"重复"</formula>
    </cfRule>
  </conditionalFormatting>
  <conditionalFormatting sqref="K6:K240">
    <cfRule type="containsText" rank="0" priority="2" equalAverage="0" operator="containsText" aboveAverage="0" dxfId="1" text="已完成" percent="0" bottom="0">
      <formula>NOT(ISERROR(SEARCH("已完成",K6)))</formula>
      <formula>"已完成"</formula>
    </cfRule>
    <cfRule type="containsText" rank="0" priority="3" equalAverage="0" operator="containsText" aboveAverage="0" dxfId="2" text="待制作" percent="0" bottom="0">
      <formula>NOT(ISERROR(SEARCH("待制作",K6)))</formula>
      <formula>"待制作"</formula>
    </cfRule>
  </conditionalFormatting>
  <dataValidations count="3">
    <dataValidation sqref="C6:C249" showDropDown="0" showInputMessage="0" showErrorMessage="0" allowBlank="1" type="list">
      <formula1>"角色,敌人,武器,道具,场景,场景道具,基地资产包,UI,特效,音频"</formula1>
    </dataValidation>
    <dataValidation sqref="K6:K249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9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1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2026-09-29T19:35:01Z</dcterms:modified>
</cp:coreProperties>
</file>