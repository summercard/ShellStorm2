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* #,##0_ ;_ * -#,##0_ ;_ * &quot;-&quot;_ ;_ @_ "/>
    <numFmt numFmtId="167" formatCode="_ \¥* #,##0.00_ ;_ \¥* -#,##0.00_ ;_ \¥* &quot;-&quot;??_ ;_ @_ "/>
    <numFmt numFmtId="168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5" fontId="26" fillId="11" borderId="21"/>
    <xf numFmtId="166" fontId="26" fillId="11" borderId="21"/>
    <xf numFmtId="167" fontId="26" fillId="11" borderId="21"/>
    <xf numFmtId="168" fontId="26" fillId="11" borderId="21"/>
    <xf numFmtId="9" fontId="26" fillId="11" borderId="21"/>
  </cellStyleXfs>
  <cellXfs count="13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=COUNTA(资产主表!$A$6:$A$247)</f>
        <v/>
      </c>
      <c r="B6" s="72" t="inlineStr"/>
      <c r="C6" s="74">
        <f>=COUNTIF(资产主表!$K$6:$K$247,"已完成")+COUNTIF(资产主表!$K$6:$K$247,"原型已接入")+COUNTIF(资产主表!$K$6:$K$247,"正式美术已接入")+COUNTIF(资产主表!$K$6:$K$247,"已优化并正式接入")+COUNTIF(资产主表!$K$6:$K$247,"Blender源已完成")+COUNTIF(资产主表!$K$6:$K$247,"已导入；优化完成")+COUNTIF(资产主表!$K$6:$K$247,"白模源已完成；QA PASS")</f>
        <v/>
      </c>
      <c r="D6" s="72" t="inlineStr"/>
      <c r="E6" s="74">
        <f>=COUNTIF(资产主表!$K$6:$K$247,"待制作")+COUNTIF(资产主表!$K$6:$K$247,"程序占位")</f>
        <v/>
      </c>
      <c r="F6" s="72" t="inlineStr"/>
      <c r="G6" s="74">
        <f>=COUNTIF(资产主表!$S$6:$S$247,"重复")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=COUNTIF(资产主表!$C$6:$C$247,A10)</f>
        <v/>
      </c>
      <c r="C10" s="79">
        <f>=SUMPRODUCT((资产主表!$C$6:$C$247=A10)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=COUNTIF(资产主表!$C$6:$C$247,A11)</f>
        <v/>
      </c>
      <c r="C11" s="79">
        <f>=SUMPRODUCT((资产主表!$C$6:$C$247=A11)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=COUNTIF(资产主表!$C$6:$C$247,A12)</f>
        <v/>
      </c>
      <c r="C12" s="79">
        <f>=SUMPRODUCT((资产主表!$C$6:$C$247=A12)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=COUNTIF(资产主表!$C$6:$C$247,A13)</f>
        <v/>
      </c>
      <c r="C13" s="75">
        <f>=SUMPRODUCT((资产主表!$C$6:$C$247=A13)*((资产主表!$K$6:$K$247="已完成")+(资产主表!$K$6:$K$247="原型已接入")+(资产主表!$K$6:$K$247="正式美术已接入")+(资产主表!$K$6:$K$247="已优化并正式接入")+(资产主表!$K$6:$K$247="Blender源已完成")+(资产主表!$K$6:$K$247="已导入；优化完成")+(资产主表!$K$6:$K$247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IF(COUNTIF($R$6:$R$247,R6)&gt;1,"重复","唯一")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IF(COUNTIF($R$6:$R$247,R7)&gt;1,"重复","唯一")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IF(COUNTIF($R$6:$R$247,R8)&gt;1,"重复","唯一")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IF(COUNTIF($R$6:$R$247,R9)&gt;1,"重复","唯一")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IF(COUNTIF($R$6:$R$247,R10)&gt;1,"重复","唯一")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IF(COUNTIF($R$6:$R$247,R11)&gt;1,"重复","唯一")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IF(COUNTIF($R$6:$R$247,R12)&gt;1,"重复","唯一")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IF(COUNTIF($R$6:$R$247,R13)&gt;1,"重复","唯一")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IF(COUNTIF($R$6:$R$247,R14)&gt;1,"重复","唯一")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IF(COUNTIF($R$6:$R$247,R15)&gt;1,"重复","唯一")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IF(COUNTIF($R$6:$R$247,R16)&gt;1,"重复","唯一")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IF(COUNTIF($R$6:$R$247,R17)&gt;1,"重复","唯一")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IF(COUNTIF($R$6:$R$247,R18)&gt;1,"重复","唯一")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IF(COUNTIF($R$6:$R$247,R19)&gt;1,"重复","唯一")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IF(COUNTIF($R$6:$R$247,R20)&gt;1,"重复","唯一")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IF(COUNTIF($R$6:$R$247,R21)&gt;1,"重复","唯一")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IF(COUNTIF($R$6:$R$247,R22)&gt;1,"重复","唯一")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IF(COUNTIF($R$6:$R$247,R23)&gt;1,"重复","唯一")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IF(COUNTIF($R$6:$R$247,R24)&gt;1,"重复","唯一")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IF(COUNTIF($R$6:$R$247,R25)&gt;1,"重复","唯一")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IF(COUNTIF($R$6:$R$247,R26)&gt;1,"重复","唯一")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IF(COUNTIF($R$6:$R$247,R27)&gt;1,"重复","唯一")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IF(COUNTIF($R$6:$R$247,R28)&gt;1,"重复","唯一")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IF(COUNTIF($R$6:$R$247,R29)&gt;1,"重复","唯一")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IF(COUNTIF($R$6:$R$247,R30)&gt;1,"重复","唯一")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IF(COUNTIF($R$6:$R$247,R31)&gt;1,"重复","唯一")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IF(COUNTIF($R$6:$R$247,R32)&gt;1,"重复","唯一")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IF(COUNTIF($R$6:$R$247,R33)&gt;1,"重复","唯一")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IF(COUNTIF($R$6:$R$247,R34)&gt;1,"重复","唯一")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IF(COUNTIF($R$6:$R$247,R35)&gt;1,"重复","唯一")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IF(COUNTIF($R$6:$R$247,R36)&gt;1,"重复","唯一")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IF(COUNTIF($R$6:$R$247,R37)&gt;1,"重复","唯一")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IF(COUNTIF($R$6:$R$247,R38)&gt;1,"重复","唯一")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IF(COUNTIF($R$6:$R$247,R39)&gt;1,"重复","唯一")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IF(COUNTIF($R$6:$R$247,R40)&gt;1,"重复","唯一")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IF(COUNTIF($R$6:$R$247,R41)&gt;1,"重复","唯一")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IF(COUNTIF($R$6:$R$247,R42)&gt;1,"重复","唯一")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IF(COUNTIF($R$6:$R$247,R43)&gt;1,"重复","唯一")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IF(COUNTIF($R$6:$R$247,R44)&gt;1,"重复","唯一")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IF(COUNTIF($R$6:$R$247,R45)&gt;1,"重复","唯一")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IF(COUNTIF($R$6:$R$247,R46)&gt;1,"重复","唯一")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IF(COUNTIF($R$6:$R$247,R47)&gt;1,"重复","唯一")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IF(COUNTIF($R$6:$R$247,R48)&gt;1,"重复","唯一")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IF(COUNTIF($R$6:$R$247,R49)&gt;1,"重复","唯一")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IF(COUNTIF($R$6:$R$247,R50)&gt;1,"重复","唯一")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IF(COUNTIF($R$6:$R$247,R51)&gt;1,"重复","唯一")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IF(COUNTIF($R$6:$R$247,R52)&gt;1,"重复","唯一")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IF(COUNTIF($R$6:$R$247,R53)&gt;1,"重复","唯一")</f>
        <v/>
      </c>
      <c r="T53" s="96" t="inlineStr">
        <is>
          <t>374967bf92d12e54e390a3d8ec6b5c29f6444f63f8302e1a1aeed022f777d14e</t>
        </is>
      </c>
      <c r="U53" s="96" t="inlineStr">
        <is>
          <t>Codex</t>
        </is>
      </c>
      <c r="V53" s="98" t="n">
        <v>46279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IF(COUNTIF($R$6:$R$247,R54)&gt;1,"重复","唯一")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IF(COUNTIF($R$6:$R$247,R55)&gt;1,"重复","唯一")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IF(COUNTIF($R$6:$R$247,R56)&gt;1,"重复","唯一")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IF(COUNTIF($R$6:$R$247,R57)&gt;1,"重复","唯一")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IF(COUNTIF($R$6:$R$247,R58)&gt;1,"重复","唯一")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IF(COUNTIF($R$6:$R$247,R59)&gt;1,"重复","唯一")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IF(COUNTIF($R$6:$R$247,R60)&gt;1,"重复","唯一")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IF(COUNTIF($R$6:$R$247,R61)&gt;1,"重复","唯一")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IF(COUNTIF($R$6:$R$247,R62)&gt;1,"重复","唯一")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IF(COUNTIF($R$6:$R$247,R63)&gt;1,"重复","唯一")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IF(COUNTIF($R$6:$R$247,R64)&gt;1,"重复","唯一")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IF(COUNTIF($R$6:$R$247,R65)&gt;1,"重复","唯一")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IF(COUNTIF($R$6:$R$247,R66)&gt;1,"重复","唯一")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IF(COUNTIF($R$6:$R$247,R67)&gt;1,"重复","唯一")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IF(COUNTIF($R$6:$R$247,R68)&gt;1,"重复","唯一")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IF(COUNTIF($R$6:$R$247,R69)&gt;1,"重复","唯一")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IF(COUNTIF($R$6:$R$247,R70)&gt;1,"重复","唯一")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IF(COUNTIF($R$6:$R$247,R71)&gt;1,"重复","唯一")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IF(COUNTIF($R$6:$R$247,R72)&gt;1,"重复","唯一")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IF(COUNTIF($R$6:$R$247,R73)&gt;1,"重复","唯一")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IF(COUNTIF($R$6:$R$247,R74)&gt;1,"重复","唯一")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IF(COUNTIF($R$6:$R$247,R75)&gt;1,"重复","唯一")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IF(COUNTIF($R$6:$R$247,R76)&gt;1,"重复","唯一")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IF(COUNTIF($R$6:$R$247,R77)&gt;1,"重复","唯一")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IF(COUNTIF($R$6:$R$247,R78)&gt;1,"重复","唯一")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IF(COUNTIF($R$6:$R$247,R79)&gt;1,"重复","唯一")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IF(COUNTIF($R$6:$R$247,R80)&gt;1,"重复","唯一")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IF(COUNTIF($R$6:$R$247,R81)&gt;1,"重复","唯一")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IF(COUNTIF($R$6:$R$247,R82)&gt;1,"重复","唯一")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IF(COUNTIF($R$6:$R$247,R83)&gt;1,"重复","唯一")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IF(COUNTIF($R$6:$R$247,R84)&gt;1,"重复","唯一")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IF(COUNTIF($R$6:$R$247,R85)&gt;1,"重复","唯一")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IF(COUNTIF($R$6:$R$247,R86)&gt;1,"重复","唯一")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IF(COUNTIF($R$6:$R$247,R87)&gt;1,"重复","唯一")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IF(COUNTIF($R$6:$R$247,R88)&gt;1,"重复","唯一")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IF(COUNTIF($R$6:$R$247,R89)&gt;1,"重复","唯一")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IF(COUNTIF($R$6:$R$247,R90)&gt;1,"重复","唯一")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IF(COUNTIF($R$6:$R$247,R91)&gt;1,"重复","唯一")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IF(COUNTIF($R$6:$R$247,R92)&gt;1,"重复","唯一")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IF(COUNTIF($R$6:$R$247,R93)&gt;1,"重复","唯一")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IF(COUNTIF($R$6:$R$247,R94)&gt;1,"重复","唯一")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IF(COUNTIF($R$6:$R$247,R95)&gt;1,"重复","唯一")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IF(COUNTIF($R$6:$R$247,R96)&gt;1,"重复","唯一")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IF(COUNTIF($R$6:$R$247,R97)&gt;1,"重复","唯一")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IF(COUNTIF($R$6:$R$247,R98)&gt;1,"重复","唯一")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IF(COUNTIF($R$6:$R$247,R99)&gt;1,"重复","唯一")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IF(COUNTIF($R$6:$R$247,R100)&gt;1,"重复","唯一")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IF(COUNTIF($R$6:$R$247,R101)&gt;1,"重复","唯一")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IF(COUNTIF($R$6:$R$247,R102)&gt;1,"重复","唯一")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IF(COUNTIF($R$6:$R$247,R103)&gt;1,"重复","唯一")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IF(COUNTIF($R$6:$R$247,R104)&gt;1,"重复","唯一")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IF(COUNTIF($R$6:$R$247,R105)&gt;1,"重复","唯一")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IF(COUNTIF($R$6:$R$247,R106)&gt;1,"重复","唯一")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IF(COUNTIF($R$6:$R$247,R107)&gt;1,"重复","唯一")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IF(COUNTIF($R$6:$R$247,R108)&gt;1,"重复","唯一")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IF(COUNTIF($R$6:$R$247,R109)&gt;1,"重复","唯一")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IF(COUNTIF($R$6:$R$247,R110)&gt;1,"重复","唯一")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IF(COUNTIF($R$6:$R$247,R111)&gt;1,"重复","唯一")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IF(COUNTIF($R$6:$R$247,R112)&gt;1,"重复","唯一")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IF(COUNTIF($R$6:$R$247,R113)&gt;1,"重复","唯一")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IF(COUNTIF($R$6:$R$247,R114)&gt;1,"重复","唯一")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IF(COUNTIF($R$6:$R$247,R115)&gt;1,"重复","唯一")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IF(COUNTIF($R$6:$R$247,R116)&gt;1,"重复","唯一")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IF(COUNTIF($R$6:$R$247,R117)&gt;1,"重复","唯一")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已优化并正式接入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IF(COUNTIF($R$6:$R$247,R118)&gt;1,"重复","唯一")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46277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IF(COUNTIF($R$6:$R$247,R119)&gt;1,"重复","唯一")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IF(COUNTIF($R$6:$R$247,R120)&gt;1,"重复","唯一")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IF(COUNTIF($R$6:$R$247,R121)&gt;1,"重复","唯一")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IF(COUNTIF($R$6:$R$247,R122)&gt;1,"重复","唯一")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IF(COUNTIF($R$6:$R$247,R123)&gt;1,"重复","唯一")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IF(COUNTIF($R$6:$R$247,R124)&gt;1,"重复","唯一")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IF(COUNTIF($R$6:$R$247,R125)&gt;1,"重复","唯一")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IF(COUNTIF($R$6:$R$247,R126)&gt;1,"重复","唯一")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IF(COUNTIF($R$6:$R$247,R127)&gt;1,"重复","唯一")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IF(COUNTIF($R$6:$R$247,R128)&gt;1,"重复","唯一")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IF(COUNTIF($R$6:$R$247,R129)&gt;1,"重复","唯一")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IF(COUNTIF($R$6:$R$247,R130)&gt;1,"重复","唯一")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IF(COUNTIF($R$6:$R$247,R131)&gt;1,"重复","唯一")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IF(COUNTIF($R$6:$R$247,R132)&gt;1,"重复","唯一")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IF(COUNTIF($R$6:$R$247,R133)&gt;1,"重复","唯一")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IF(COUNTIF($R$6:$R$247,R134)&gt;1,"重复","唯一")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IF(COUNTIF($R$6:$R$247,R135)&gt;1,"重复","唯一")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IF(COUNTIF($R$6:$R$247,R136)&gt;1,"重复","唯一")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IF(COUNTIF($R$6:$R$247,R137)&gt;1,"重复","唯一")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IF(COUNTIF($R$6:$R$247,R138)&gt;1,"重复","唯一")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IF(COUNTIF($R$6:$R$247,R139)&gt;1,"重复","唯一")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IF(COUNTIF($R$6:$R$247,R140)&gt;1,"重复","唯一")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IF(COUNTIF($R$6:$R$247,R141)&gt;1,"重复","唯一")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IF(COUNTIF($R$6:$R$247,R142)&gt;1,"重复","唯一")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IF(COUNTIF($R$6:$R$247,R143)&gt;1,"重复","唯一")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IF(COUNTIF($R$6:$R$247,R144)&gt;1,"重复","唯一")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IF(COUNTIF($R$6:$R$247,R145)&gt;1,"重复","唯一")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IF(COUNTIF($R$6:$R$247,R146)&gt;1,"重复","唯一")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IF(COUNTIF($R$6:$R$247,R147)&gt;1,"重复","唯一")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IF(COUNTIF($R$6:$R$247,R148)&gt;1,"重复","唯一")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IF(COUNTIF($R$6:$R$247,R149)&gt;1,"重复","唯一")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IF(COUNTIF($R$6:$R$247,R150)&gt;1,"重复","唯一")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IF(COUNTIF($R$6:$R$247,R151)&gt;1,"重复","唯一")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IF(COUNTIF($R$6:$R$247,R152)&gt;1,"重复","唯一")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IF(COUNTIF($R$6:$R$247,R153)&gt;1,"重复","唯一")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IF(COUNTIF($R$6:$R$247,R154)&gt;1,"重复","唯一")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IF(COUNTIF($R$6:$R$247,R155)&gt;1,"重复","唯一")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IF(COUNTIF($R$6:$R$247,R156)&gt;1,"重复","唯一")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IF(COUNTIF($R$6:$R$247,R157)&gt;1,"重复","唯一")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IF(COUNTIF($R$6:$R$247,R158)&gt;1,"重复","唯一")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IF(COUNTIF($R$6:$R$247,R159)&gt;1,"重复","唯一")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IF(COUNTIF($R$6:$R$247,R160)&gt;1,"重复","唯一")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IF(COUNTIF($R$6:$R$247,R161)&gt;1,"重复","唯一")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IF(COUNTIF($R$6:$R$247,R162)&gt;1,"重复","唯一")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IF(COUNTIF($R$6:$R$247,R163)&gt;1,"重复","唯一")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IF(COUNTIF($R$6:$R$247,R164)&gt;1,"重复","唯一")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IF(COUNTIF($R$6:$R$247,R165)&gt;1,"重复","唯一")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IF(COUNTIF($R$6:$R$247,R166)&gt;1,"重复","唯一")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IF(COUNTIF($R$6:$R$247,R167)&gt;1,"重复","唯一")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IF(COUNTIF($R$6:$R$247,R168)&gt;1,"重复","唯一")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IF(COUNTIF($R$6:$R$247,R169)&gt;1,"重复","唯一")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IF(COUNTIF($R$6:$R$247,R170)&gt;1,"重复","唯一")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IF(COUNTIF($R$6:$R$247,R171)&gt;1,"重复","唯一")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IF(COUNTIF($R$6:$R$247,R172)&gt;1,"重复","唯一")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IF(COUNTIF($R$6:$R$247,R173)&gt;1,"重复","唯一")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IF(COUNTIF($R$6:$R$247,R174)&gt;1,"重复","唯一")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IF(COUNTIF($R$6:$R$247,R175)&gt;1,"重复","唯一")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IF(COUNTIF($R$6:$R$247,R176)&gt;1,"重复","唯一")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IF(COUNTIF($R$6:$R$247,R177)&gt;1,"重复","唯一")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IF(COUNTIF($R$6:$R$247,R178)&gt;1,"重复","唯一")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IF(COUNTIF($R$6:$R$247,R179)&gt;1,"重复","唯一")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IF(COUNTIF($R$6:$R$247,R180)&gt;1,"重复","唯一")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IF(COUNTIF($R$6:$R$247,R181)&gt;1,"重复","唯一")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IF(COUNTIF($R$6:$R$247,R182)&gt;1,"重复","唯一")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IF(COUNTIF($R$6:$R$247,R183)&gt;1,"重复","唯一")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IF(COUNTIF($R$6:$R$247,R184)&gt;1,"重复","唯一")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IF(COUNTIF($R$6:$R$247,R185)&gt;1,"重复","唯一")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IF(COUNTIF($R$6:$R$247,R186)&gt;1,"重复","唯一")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IF(COUNTIF($R$6:$R$247,R187)&gt;1,"重复","唯一")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IF(COUNTIF($R$6:$R$247,R188)&gt;1,"重复","唯一")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IF(COUNTIF($R$6:$R$247,R189)&gt;1,"重复","唯一")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IF(COUNTIF($R$6:$R$247,R190)&gt;1,"重复","唯一")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IF(COUNTIF($R$6:$R$247,R191)&gt;1,"重复","唯一")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IF(COUNTIF($R$6:$R$247,R192)&gt;1,"重复","唯一")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IF(COUNTIF($R$6:$R$247,R193)&gt;1,"重复","唯一")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IF(COUNTIF($R$6:$R$247,R194)&gt;1,"重复","唯一")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IF(COUNTIF($R$6:$R$247,R195)&gt;1,"重复","唯一")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IF(COUNTIF($R$6:$R$247,R196)&gt;1,"重复","唯一")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IF(COUNTIF($R$6:$R$247,R197)&gt;1,"重复","唯一")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IF(COUNTIF($R$6:$R$247,R198)&gt;1,"重复","唯一")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IF(COUNTIF($R$6:$R$247,R199)&gt;1,"重复","唯一")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IF(COUNTIF($R$6:$R$247,R200)&gt;1,"重复","唯一")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IF(COUNTIF($R$6:$R$247,R201)&gt;1,"重复","唯一")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IF(COUNTIF($R$6:$R$247,R202)&gt;1,"重复","唯一")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IF(COUNTIF($R$6:$R$247,R203)&gt;1,"重复","唯一")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IF(COUNTIF($R$6:$R$247,R204)&gt;1,"重复","唯一")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IF(COUNTIF($R$6:$R$247,R205)&gt;1,"重复","唯一")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IF(COUNTIF($R$6:$R$247,R206)&gt;1,"重复","唯一")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IF(COUNTIF($R$6:$R$247,R207)&gt;1,"重复","唯一")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IF(COUNTIF($R$6:$R$247,R208)&gt;1,"重复","唯一")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IF(COUNTIF($R$6:$R$247,R209)&gt;1,"重复","唯一")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IF(COUNTIF($R$6:$R$247,R210)&gt;1,"重复","唯一")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IF(COUNTIF($R$6:$R$247,R211)&gt;1,"重复","唯一")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IF(COUNTIF($R$6:$R$247,R212)&gt;1,"重复","唯一")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IF(COUNTIF($R$6:$R$247,R213)&gt;1,"重复","唯一")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IF(COUNTIF($R$6:$R$247,R214)&gt;1,"重复","唯一")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IF(COUNTIF($R$6:$R$247,R215)&gt;1,"重复","唯一")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IF(COUNTIF($R$6:$R$247,R216)&gt;1,"重复","唯一")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IF(COUNTIF($R$6:$R$247,R217)&gt;1,"重复","唯一")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IF(COUNTIF($R$6:$R$247,R218)&gt;1,"重复","唯一")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IF(COUNTIF($R$6:$R$247,R219)&gt;1,"重复","唯一")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IF(COUNTIF($R$6:$R$247,R220)&gt;1,"重复","唯一")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IF(COUNTIF($R$6:$R$247,R221)&gt;1,"重复","唯一")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IF(COUNTIF($R$6:$R$247,R222)&gt;1,"重复","唯一")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IF(COUNTIF($R$6:$R$247,R223)&gt;1,"重复","唯一")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IF(COUNTIF($R$6:$R$247,R224)&gt;1,"重复","唯一")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IF(COUNTIF($R$6:$R$247,R225)&gt;1,"重复","唯一")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IF(COUNTIF($R$6:$R$247,R226)&gt;1,"重复","唯一")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IF(COUNTIF($R$6:$R$247,R227)&gt;1,"重复","唯一")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IF(COUNTIF($R$6:$R$247,R228)&gt;1,"重复","唯一")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IF(COUNTIF($R$6:$R$247,R229)&gt;1,"重复","唯一")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IF(COUNTIF($R$6:$R$247,R230)&gt;1,"重复","唯一")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IF(COUNTIF($R$6:$R$247,R231)&gt;1,"重复","唯一")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IF(COUNTIF($R$6:$R$247,R232)&gt;1,"重复","唯一")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IF(COUNTIF($R$6:$R$247,R233)&gt;1,"重复","唯一")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IF(COUNTIF($R$6:$R$247,R234)&gt;1,"重复","唯一")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IF(COUNTIF($R$6:$R$247,R235)&gt;1,"重复","唯一")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IF(COUNTIF($R$6:$R$247,R236)&gt;1,"重复","唯一")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IF(COUNTIF($R$6:$R$247,R237)&gt;1,"重复","唯一")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IF(COUNTIF($R$6:$R$247,R238)&gt;1,"重复","唯一")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IF(COUNTIF($R$6:$R$247,R239)&gt;1,"重复","唯一")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IF(COUNTIF($R$6:$R$247,R240)&gt;1,"重复","唯一")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IF(COUNTIF($R$6:$R$247,R241)&gt;1,"重复","唯一")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IF(COUNTIF($R$6:$R$247,R242)&gt;1,"重复","唯一")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IF(COUNTIF($R$6:$R$247,R243)&gt;1,"重复","唯一")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IF(COUNTIF($R$6:$R$247,R244)&gt;1,"重复","唯一")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IF(COUNTIF($R$6:$R$247,R245)&gt;1,"重复","唯一")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IF(COUNTIF($R$6:$R$247,R246)&gt;1,"重复","唯一")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IF(COUNTIF($R$6:$R$247,R247)&gt;1,"重复","唯一")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247" showDropDown="0" showInputMessage="0" showErrorMessage="0" allowBlank="1" type="list" operator="between">
      <formula1>"角色,敌人,武器,道具,场景,场景道具,基地资产包,UI,特效,音频"</formula1>
    </dataValidation>
    <dataValidation sqref="K6:K247" showDropDown="0" showInputMessage="0" showErrorMessage="0" allowBlank="1" type="list" operator="between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7" showDropDown="0" showInputMessage="0" showErrorMessage="0" allowBlank="1" type="list" operator="between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4"/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2026-09-27T22:48:04Z</dcterms:created>
  <dcterms:modified xsi:type="dcterms:W3CDTF">2026-09-27T23:37:10Z</dcterms:modified>
</cp:coreProperties>
</file>