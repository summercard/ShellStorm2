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COUNTA('资产主表'!$A$6:$A$247)</f>
        <v/>
      </c>
      <c r="B6" s="63" t="n"/>
      <c r="C6" s="65">
        <f>COUNTIF('资产主表'!$K$6:$K$247,"已完成")+COUNTIF('资产主表'!$K$6:$K$247,"原型已接入")+COUNTIF('资产主表'!$K$6:$K$247,"正式美术已接入")+COUNTIF('资产主表'!$K$6:$K$247,"已优化并正式接入")+COUNTIF('资产主表'!$K$6:$K$247,"Blender源已完成")+COUNTIF('资产主表'!$K$6:$K$247,"已导入；优化完成")+COUNTIF('资产主表'!$K$6:$K$247,"白模源已完成；QA PASS")</f>
        <v/>
      </c>
      <c r="D6" s="63" t="n"/>
      <c r="E6" s="65">
        <f>COUNTIF('资产主表'!$K$6:$K$247,"待制作")+COUNTIF('资产主表'!$K$6:$K$247,"程序占位")</f>
        <v/>
      </c>
      <c r="F6" s="63" t="n"/>
      <c r="G6" s="65">
        <f>COUNTIF('资产主表'!$S$6:$S$247,"重复")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COUNTIF('资产主表'!$C$6:$C$247,A10)</f>
        <v/>
      </c>
      <c r="C10" s="70">
        <f>SUMPRODUCT(('资产主表'!$C$6:$C$247=A10)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COUNTIF('资产主表'!$C$6:$C$247,A11)</f>
        <v/>
      </c>
      <c r="C11" s="70">
        <f>SUMPRODUCT(('资产主表'!$C$6:$C$247=A11)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COUNTIF('资产主表'!$C$6:$C$247,A12)</f>
        <v/>
      </c>
      <c r="C12" s="70">
        <f>SUMPRODUCT(('资产主表'!$C$6:$C$247=A12)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COUNTIF('资产主表'!$C$6:$C$247,A13)</f>
        <v/>
      </c>
      <c r="C13" s="66">
        <f>SUMPRODUCT(('资产主表'!$C$6:$C$247=A13)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IF(COUNTIF($R$6:$R$247,R6)&gt;1,"重复","唯一")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IF(COUNTIF($R$6:$R$247,R7)&gt;1,"重复","唯一")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IF(COUNTIF($R$6:$R$247,R8)&gt;1,"重复","唯一")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IF(COUNTIF($R$6:$R$247,R9)&gt;1,"重复","唯一")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IF(COUNTIF($R$6:$R$247,R10)&gt;1,"重复","唯一")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IF(COUNTIF($R$6:$R$247,R11)&gt;1,"重复","唯一")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IF(COUNTIF($R$6:$R$247,R12)&gt;1,"重复","唯一")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IF(COUNTIF($R$6:$R$247,R13)&gt;1,"重复","唯一")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IF(COUNTIF($R$6:$R$247,R14)&gt;1,"重复","唯一")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IF(COUNTIF($R$6:$R$247,R15)&gt;1,"重复","唯一")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IF(COUNTIF($R$6:$R$247,R16)&gt;1,"重复","唯一")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IF(COUNTIF($R$6:$R$247,R17)&gt;1,"重复","唯一")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IF(COUNTIF($R$6:$R$247,R18)&gt;1,"重复","唯一")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IF(COUNTIF($R$6:$R$247,R19)&gt;1,"重复","唯一")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IF(COUNTIF($R$6:$R$247,R20)&gt;1,"重复","唯一")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IF(COUNTIF($R$6:$R$247,R21)&gt;1,"重复","唯一")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IF(COUNTIF($R$6:$R$247,R22)&gt;1,"重复","唯一")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IF(COUNTIF($R$6:$R$247,R23)&gt;1,"重复","唯一")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IF(COUNTIF($R$6:$R$247,R24)&gt;1,"重复","唯一")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IF(COUNTIF($R$6:$R$247,R25)&gt;1,"重复","唯一")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IF(COUNTIF($R$6:$R$247,R26)&gt;1,"重复","唯一")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IF(COUNTIF($R$6:$R$247,R27)&gt;1,"重复","唯一")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IF(COUNTIF($R$6:$R$247,R28)&gt;1,"重复","唯一")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IF(COUNTIF($R$6:$R$247,R29)&gt;1,"重复","唯一")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IF(COUNTIF($R$6:$R$247,R30)&gt;1,"重复","唯一")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IF(COUNTIF($R$6:$R$247,R31)&gt;1,"重复","唯一")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IF(COUNTIF($R$6:$R$247,R32)&gt;1,"重复","唯一")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IF(COUNTIF($R$6:$R$247,R33)&gt;1,"重复","唯一")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IF(COUNTIF($R$6:$R$247,R34)&gt;1,"重复","唯一")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IF(COUNTIF($R$6:$R$247,R35)&gt;1,"重复","唯一")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IF(COUNTIF($R$6:$R$247,R36)&gt;1,"重复","唯一")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IF(COUNTIF($R$6:$R$247,R37)&gt;1,"重复","唯一")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IF(COUNTIF($R$6:$R$247,R38)&gt;1,"重复","唯一")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IF(COUNTIF($R$6:$R$247,R39)&gt;1,"重复","唯一")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IF(COUNTIF($R$6:$R$247,R40)&gt;1,"重复","唯一")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IF(COUNTIF($R$6:$R$247,R41)&gt;1,"重复","唯一")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IF(COUNTIF($R$6:$R$247,R42)&gt;1,"重复","唯一")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IF(COUNTIF($R$6:$R$247,R43)&gt;1,"重复","唯一")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IF(COUNTIF($R$6:$R$247,R44)&gt;1,"重复","唯一")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IF(COUNTIF($R$6:$R$247,R45)&gt;1,"重复","唯一")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IF(COUNTIF($R$6:$R$247,R46)&gt;1,"重复","唯一")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IF(COUNTIF($R$6:$R$247,R47)&gt;1,"重复","唯一")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IF(COUNTIF($R$6:$R$247,R48)&gt;1,"重复","唯一")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IF(COUNTIF($R$6:$R$247,R49)&gt;1,"重复","唯一")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IF(COUNTIF($R$6:$R$247,R50)&gt;1,"重复","唯一")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IF(COUNTIF($R$6:$R$247,R51)&gt;1,"重复","唯一")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IF(COUNTIF($R$6:$R$247,R52)&gt;1,"重复","唯一")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IF(COUNTIF($R$6:$R$247,R53)&gt;1,"重复","唯一")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IF(COUNTIF($R$6:$R$247,R54)&gt;1,"重复","唯一")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IF(COUNTIF($R$6:$R$247,R55)&gt;1,"重复","唯一")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IF(COUNTIF($R$6:$R$247,R56)&gt;1,"重复","唯一")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IF(COUNTIF($R$6:$R$247,R57)&gt;1,"重复","唯一")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IF(COUNTIF($R$6:$R$247,R58)&gt;1,"重复","唯一")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IF(COUNTIF($R$6:$R$247,R59)&gt;1,"重复","唯一")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IF(COUNTIF($R$6:$R$247,R60)&gt;1,"重复","唯一")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IF(COUNTIF($R$6:$R$247,R61)&gt;1,"重复","唯一")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IF(COUNTIF($R$6:$R$247,R62)&gt;1,"重复","唯一")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IF(COUNTIF($R$6:$R$247,R63)&gt;1,"重复","唯一")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IF(COUNTIF($R$6:$R$247,R64)&gt;1,"重复","唯一")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IF(COUNTIF($R$6:$R$247,R65)&gt;1,"重复","唯一")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IF(COUNTIF($R$6:$R$247,R66)&gt;1,"重复","唯一")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IF(COUNTIF($R$6:$R$247,R67)&gt;1,"重复","唯一")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IF(COUNTIF($R$6:$R$247,R68)&gt;1,"重复","唯一")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IF(COUNTIF($R$6:$R$247,R69)&gt;1,"重复","唯一")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IF(COUNTIF($R$6:$R$247,R70)&gt;1,"重复","唯一")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IF(COUNTIF($R$6:$R$247,R71)&gt;1,"重复","唯一")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IF(COUNTIF($R$6:$R$247,R72)&gt;1,"重复","唯一")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IF(COUNTIF($R$6:$R$247,R73)&gt;1,"重复","唯一")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IF(COUNTIF($R$6:$R$247,R74)&gt;1,"重复","唯一")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IF(COUNTIF($R$6:$R$247,R75)&gt;1,"重复","唯一")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IF(COUNTIF($R$6:$R$247,R76)&gt;1,"重复","唯一")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IF(COUNTIF($R$6:$R$247,R77)&gt;1,"重复","唯一")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IF(COUNTIF($R$6:$R$247,R78)&gt;1,"重复","唯一")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IF(COUNTIF($R$6:$R$247,R79)&gt;1,"重复","唯一")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IF(COUNTIF($R$6:$R$247,R80)&gt;1,"重复","唯一")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IF(COUNTIF($R$6:$R$247,R81)&gt;1,"重复","唯一")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IF(COUNTIF($R$6:$R$247,R82)&gt;1,"重复","唯一")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IF(COUNTIF($R$6:$R$247,R83)&gt;1,"重复","唯一")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IF(COUNTIF($R$6:$R$247,R84)&gt;1,"重复","唯一")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IF(COUNTIF($R$6:$R$247,R85)&gt;1,"重复","唯一")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IF(COUNTIF($R$6:$R$247,R86)&gt;1,"重复","唯一")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IF(COUNTIF($R$6:$R$247,R87)&gt;1,"重复","唯一")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IF(COUNTIF($R$6:$R$247,R88)&gt;1,"重复","唯一")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IF(COUNTIF($R$6:$R$247,R89)&gt;1,"重复","唯一")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IF(COUNTIF($R$6:$R$247,R90)&gt;1,"重复","唯一")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IF(COUNTIF($R$6:$R$247,R91)&gt;1,"重复","唯一")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IF(COUNTIF($R$6:$R$247,R92)&gt;1,"重复","唯一")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IF(COUNTIF($R$6:$R$247,R93)&gt;1,"重复","唯一")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IF(COUNTIF($R$6:$R$247,R94)&gt;1,"重复","唯一")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IF(COUNTIF($R$6:$R$247,R95)&gt;1,"重复","唯一")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IF(COUNTIF($R$6:$R$247,R96)&gt;1,"重复","唯一")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IF(COUNTIF($R$6:$R$247,R97)&gt;1,"重复","唯一")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IF(COUNTIF($R$6:$R$247,R98)&gt;1,"重复","唯一")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IF(COUNTIF($R$6:$R$247,R99)&gt;1,"重复","唯一")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IF(COUNTIF($R$6:$R$247,R100)&gt;1,"重复","唯一")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IF(COUNTIF($R$6:$R$247,R101)&gt;1,"重复","唯一")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IF(COUNTIF($R$6:$R$247,R102)&gt;1,"重复","唯一")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IF(COUNTIF($R$6:$R$247,R103)&gt;1,"重复","唯一")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IF(COUNTIF($R$6:$R$247,R104)&gt;1,"重复","唯一")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IF(COUNTIF($R$6:$R$247,R105)&gt;1,"重复","唯一")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IF(COUNTIF($R$6:$R$247,R106)&gt;1,"重复","唯一")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IF(COUNTIF($R$6:$R$247,R107)&gt;1,"重复","唯一")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IF(COUNTIF($R$6:$R$247,R108)&gt;1,"重复","唯一")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IF(COUNTIF($R$6:$R$247,R109)&gt;1,"重复","唯一")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IF(COUNTIF($R$6:$R$247,R110)&gt;1,"重复","唯一")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IF(COUNTIF($R$6:$R$247,R111)&gt;1,"重复","唯一")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IF(COUNTIF($R$6:$R$247,R112)&gt;1,"重复","唯一")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IF(COUNTIF($R$6:$R$247,R113)&gt;1,"重复","唯一")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IF(COUNTIF($R$6:$R$247,R114)&gt;1,"重复","唯一")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IF(COUNTIF($R$6:$R$247,R115)&gt;1,"重复","唯一")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IF(COUNTIF($R$6:$R$247,R116)&gt;1,"重复","唯一")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IF(COUNTIF($R$6:$R$247,R117)&gt;1,"重复","唯一")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IF(COUNTIF($R$6:$R$247,R118)&gt;1,"重复","唯一")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IF(COUNTIF($R$6:$R$247,R119)&gt;1,"重复","唯一")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IF(COUNTIF($R$6:$R$247,R120)&gt;1,"重复","唯一")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IF(COUNTIF($R$6:$R$247,R121)&gt;1,"重复","唯一")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IF(COUNTIF($R$6:$R$247,R122)&gt;1,"重复","唯一")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IF(COUNTIF($R$6:$R$247,R123)&gt;1,"重复","唯一")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IF(COUNTIF($R$6:$R$247,R124)&gt;1,"重复","唯一")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IF(COUNTIF($R$6:$R$247,R125)&gt;1,"重复","唯一")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IF(COUNTIF($R$6:$R$247,R126)&gt;1,"重复","唯一")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IF(COUNTIF($R$6:$R$247,R127)&gt;1,"重复","唯一")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IF(COUNTIF($R$6:$R$247,R128)&gt;1,"重复","唯一")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IF(COUNTIF($R$6:$R$247,R129)&gt;1,"重复","唯一")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IF(COUNTIF($R$6:$R$247,R130)&gt;1,"重复","唯一")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IF(COUNTIF($R$6:$R$247,R131)&gt;1,"重复","唯一")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IF(COUNTIF($R$6:$R$247,R132)&gt;1,"重复","唯一")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IF(COUNTIF($R$6:$R$247,R133)&gt;1,"重复","唯一")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IF(COUNTIF($R$6:$R$247,R134)&gt;1,"重复","唯一")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IF(COUNTIF($R$6:$R$247,R135)&gt;1,"重复","唯一")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IF(COUNTIF($R$6:$R$247,R136)&gt;1,"重复","唯一")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IF(COUNTIF($R$6:$R$247,R137)&gt;1,"重复","唯一")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IF(COUNTIF($R$6:$R$247,R138)&gt;1,"重复","唯一")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IF(COUNTIF($R$6:$R$247,R139)&gt;1,"重复","唯一")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IF(COUNTIF($R$6:$R$247,R140)&gt;1,"重复","唯一")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IF(COUNTIF($R$6:$R$247,R141)&gt;1,"重复","唯一")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IF(COUNTIF($R$6:$R$247,R142)&gt;1,"重复","唯一")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IF(COUNTIF($R$6:$R$247,R143)&gt;1,"重复","唯一")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IF(COUNTIF($R$6:$R$247,R144)&gt;1,"重复","唯一")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IF(COUNTIF($R$6:$R$247,R145)&gt;1,"重复","唯一")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IF(COUNTIF($R$6:$R$247,R146)&gt;1,"重复","唯一")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IF(COUNTIF($R$6:$R$247,R147)&gt;1,"重复","唯一")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IF(COUNTIF($R$6:$R$247,R148)&gt;1,"重复","唯一")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IF(COUNTIF($R$6:$R$247,R149)&gt;1,"重复","唯一")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IF(COUNTIF($R$6:$R$247,R150)&gt;1,"重复","唯一")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IF(COUNTIF($R$6:$R$247,R151)&gt;1,"重复","唯一")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IF(COUNTIF($R$6:$R$247,R152)&gt;1,"重复","唯一")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IF(COUNTIF($R$6:$R$247,R153)&gt;1,"重复","唯一")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IF(COUNTIF($R$6:$R$247,R154)&gt;1,"重复","唯一")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IF(COUNTIF($R$6:$R$247,R155)&gt;1,"重复","唯一")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IF(COUNTIF($R$6:$R$247,R156)&gt;1,"重复","唯一")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IF(COUNTIF($R$6:$R$247,R157)&gt;1,"重复","唯一")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IF(COUNTIF($R$6:$R$247,R158)&gt;1,"重复","唯一")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IF(COUNTIF($R$6:$R$247,R159)&gt;1,"重复","唯一")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IF(COUNTIF($R$6:$R$247,R160)&gt;1,"重复","唯一")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IF(COUNTIF($R$6:$R$247,R161)&gt;1,"重复","唯一")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IF(COUNTIF($R$6:$R$247,R162)&gt;1,"重复","唯一")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IF(COUNTIF($R$6:$R$247,R163)&gt;1,"重复","唯一")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IF(COUNTIF($R$6:$R$247,R164)&gt;1,"重复","唯一")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IF(COUNTIF($R$6:$R$247,R165)&gt;1,"重复","唯一")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IF(COUNTIF($R$6:$R$247,R166)&gt;1,"重复","唯一")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IF(COUNTIF($R$6:$R$247,R167)&gt;1,"重复","唯一")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IF(COUNTIF($R$6:$R$247,R168)&gt;1,"重复","唯一")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IF(COUNTIF($R$6:$R$247,R169)&gt;1,"重复","唯一")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IF(COUNTIF($R$6:$R$247,R170)&gt;1,"重复","唯一")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IF(COUNTIF($R$6:$R$247,R171)&gt;1,"重复","唯一")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IF(COUNTIF($R$6:$R$247,R172)&gt;1,"重复","唯一")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IF(COUNTIF($R$6:$R$247,R173)&gt;1,"重复","唯一")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IF(COUNTIF($R$6:$R$247,R174)&gt;1,"重复","唯一")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IF(COUNTIF($R$6:$R$247,R175)&gt;1,"重复","唯一")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IF(COUNTIF($R$6:$R$247,R176)&gt;1,"重复","唯一")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IF(COUNTIF($R$6:$R$247,R177)&gt;1,"重复","唯一")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IF(COUNTIF($R$6:$R$247,R178)&gt;1,"重复","唯一")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IF(COUNTIF($R$6:$R$247,R179)&gt;1,"重复","唯一")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IF(COUNTIF($R$6:$R$247,R180)&gt;1,"重复","唯一")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IF(COUNTIF($R$6:$R$247,R181)&gt;1,"重复","唯一")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IF(COUNTIF($R$6:$R$247,R182)&gt;1,"重复","唯一")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IF(COUNTIF($R$6:$R$247,R183)&gt;1,"重复","唯一")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IF(COUNTIF($R$6:$R$247,R184)&gt;1,"重复","唯一")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IF(COUNTIF($R$6:$R$247,R185)&gt;1,"重复","唯一")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IF(COUNTIF($R$6:$R$247,R186)&gt;1,"重复","唯一")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IF(COUNTIF($R$6:$R$247,R187)&gt;1,"重复","唯一")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IF(COUNTIF($R$6:$R$247,R188)&gt;1,"重复","唯一")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IF(COUNTIF($R$6:$R$247,R189)&gt;1,"重复","唯一")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IF(COUNTIF($R$6:$R$247,R190)&gt;1,"重复","唯一")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IF(COUNTIF($R$6:$R$247,R191)&gt;1,"重复","唯一")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IF(COUNTIF($R$6:$R$247,R192)&gt;1,"重复","唯一")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IF(COUNTIF($R$6:$R$247,R193)&gt;1,"重复","唯一")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IF(COUNTIF($R$6:$R$247,R194)&gt;1,"重复","唯一")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IF(COUNTIF($R$6:$R$247,R195)&gt;1,"重复","唯一")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IF(COUNTIF($R$6:$R$247,R196)&gt;1,"重复","唯一")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IF(COUNTIF($R$6:$R$247,R197)&gt;1,"重复","唯一")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IF(COUNTIF($R$6:$R$247,R198)&gt;1,"重复","唯一")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IF(COUNTIF($R$6:$R$247,R199)&gt;1,"重复","唯一")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IF(COUNTIF($R$6:$R$247,R200)&gt;1,"重复","唯一")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IF(COUNTIF($R$6:$R$247,R201)&gt;1,"重复","唯一")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IF(COUNTIF($R$6:$R$247,R202)&gt;1,"重复","唯一")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IF(COUNTIF($R$6:$R$247,R203)&gt;1,"重复","唯一")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IF(COUNTIF($R$6:$R$247,R204)&gt;1,"重复","唯一")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IF(COUNTIF($R$6:$R$247,R205)&gt;1,"重复","唯一")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IF(COUNTIF($R$6:$R$247,R206)&gt;1,"重复","唯一")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IF(COUNTIF($R$6:$R$247,R207)&gt;1,"重复","唯一")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IF(COUNTIF($R$6:$R$247,R208)&gt;1,"重复","唯一")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IF(COUNTIF($R$6:$R$247,R209)&gt;1,"重复","唯一")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IF(COUNTIF($R$6:$R$247,R210)&gt;1,"重复","唯一")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IF(COUNTIF($R$6:$R$247,R211)&gt;1,"重复","唯一")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IF(COUNTIF($R$6:$R$247,R212)&gt;1,"重复","唯一")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IF(COUNTIF($R$6:$R$247,R213)&gt;1,"重复","唯一")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IF(COUNTIF($R$6:$R$247,R214)&gt;1,"重复","唯一")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IF(COUNTIF($R$6:$R$247,R215)&gt;1,"重复","唯一")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IF(COUNTIF($R$6:$R$247,R216)&gt;1,"重复","唯一")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IF(COUNTIF($R$6:$R$247,R217)&gt;1,"重复","唯一")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IF(COUNTIF($R$6:$R$247,R218)&gt;1,"重复","唯一")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IF(COUNTIF($R$6:$R$247,R219)&gt;1,"重复","唯一")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IF(COUNTIF($R$6:$R$247,R220)&gt;1,"重复","唯一")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IF(COUNTIF($R$6:$R$247,R221)&gt;1,"重复","唯一")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IF(COUNTIF($R$6:$R$247,R222)&gt;1,"重复","唯一")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IF(COUNTIF($R$6:$R$247,R223)&gt;1,"重复","唯一")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IF(COUNTIF($R$6:$R$247,R224)&gt;1,"重复","唯一")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IF(COUNTIF($R$6:$R$247,R225)&gt;1,"重复","唯一")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IF(COUNTIF($R$6:$R$247,R226)&gt;1,"重复","唯一")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IF(COUNTIF($R$6:$R$247,R227)&gt;1,"重复","唯一")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IF(COUNTIF($R$6:$R$247,R228)&gt;1,"重复","唯一")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IF(COUNTIF($R$6:$R$247,R229)&gt;1,"重复","唯一")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IF(COUNTIF($R$6:$R$247,R230)&gt;1,"重复","唯一")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IF(COUNTIF($R$6:$R$247,R231)&gt;1,"重复","唯一")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IF(COUNTIF($R$6:$R$247,R232)&gt;1,"重复","唯一")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IF(COUNTIF($R$6:$R$247,R233)&gt;1,"重复","唯一")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IF(COUNTIF($R$6:$R$247,R234)&gt;1,"重复","唯一")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IF(COUNTIF($R$6:$R$247,R235)&gt;1,"重复","唯一")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IF(COUNTIF($R$6:$R$247,R236)&gt;1,"重复","唯一")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IF(COUNTIF($R$6:$R$247,R237)&gt;1,"重复","唯一")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IF(COUNTIF($R$6:$R$247,R238)&gt;1,"重复","唯一")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IF(COUNTIF($R$6:$R$247,R239)&gt;1,"重复","唯一")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IF(COUNTIF($R$6:$R$247,R240)&gt;1,"重复","唯一")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IF(COUNTIF($R$6:$R$247,R241)&gt;1,"重复","唯一")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正式美术已接入</t>
        </is>
      </c>
      <c r="L242" s="90" t="inlineStr">
        <is>
          <t>P1</t>
        </is>
      </c>
      <c r="M242" s="90" t="inlineStr">
        <is>
          <t>v012</t>
        </is>
      </c>
      <c r="N242" s="90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0" t="inlineStr">
        <is>
          <t>assets/art/environments/tower_zones/expedition/source/room_types/l_corridor/v003/</t>
        </is>
      </c>
      <c r="P242" s="90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IF(COUNTIF($R$6:$R$247,R242)&gt;1,"重复","唯一")</f>
        <v/>
      </c>
      <c r="T242" s="90" t="inlineStr">
        <is>
          <t>1ec561cf6c9668c580e662a41ad947df8e94e017ce451b8e2c70857ae6912b33</t>
        </is>
      </c>
      <c r="U242" s="63" t="inlineStr">
        <is>
          <t>摩斯拉</t>
        </is>
      </c>
      <c r="V242" s="90" t="inlineStr">
        <is>
          <t>2026-09-27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2026-09-27：走廊 v012 已完成 27 个独立 GLB/PackedScene 导出并接入 Godot。room_01 / room_08 通过组件重放验收（121 实例、42 通用棋盘砖、49 普通组件、30 结构墙、unresolved=0、2 扇门）；room_04 的 u_turn 只复用组件库，差异实例布局仍待制作。</t>
        </is>
      </c>
    </row>
    <row r="243" ht="255" customHeight="1" s="60">
      <c r="A243" s="90" t="inlineStr">
        <is>
          <t>ENV-EXPEDITION-L01-OFFICE-ROOM</t>
        </is>
      </c>
      <c r="B243" s="63" t="inlineStr">
        <is>
          <t>远征关卡01 办公室 开放办公 30×40m 房间种类源</t>
        </is>
      </c>
      <c r="C243" s="63" t="inlineStr">
        <is>
          <t>场景</t>
        </is>
      </c>
      <c r="D243" s="90" t="inlineStr">
        <is>
          <t>office_room</t>
        </is>
      </c>
      <c r="E243" s="90" t="inlineStr">
        <is>
          <t>expedition_01_office_room</t>
        </is>
      </c>
      <c r="F243" s="90" t="inlineStr">
        <is>
          <t>room_type</t>
        </is>
      </c>
      <c r="G243" s="90" t="n"/>
      <c r="H243" s="90" t="inlineStr">
        <is>
          <t>Top3D / Blender Z-up</t>
        </is>
      </c>
      <c r="I243" s="90" t="inlineStr">
        <is>
          <t>scene_art / reference_derived</t>
        </is>
      </c>
      <c r="J243" s="63" t="inlineStr">
        <is>
          <t>远征关卡01 专用；room_03 与 room_09 两处实例共用同一房型源（同 office_60x70 模板）</t>
        </is>
      </c>
      <c r="K243" s="90" t="inlineStr">
        <is>
          <t>正式美术已接入</t>
        </is>
      </c>
      <c r="L243" s="90" t="inlineStr">
        <is>
          <t>P1</t>
        </is>
      </c>
      <c r="M243" s="90" t="inlineStr">
        <is>
          <t>v001</t>
        </is>
      </c>
      <c r="N243" s="90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0" t="inlineStr">
        <is>
          <t>assets/art/environments/tower_zones/expedition/source/room_types/office_room/v001/办公室房间种类_开放办公_30x40m_v001.blend</t>
        </is>
      </c>
      <c r="P243" s="90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63" t="inlineStr">
        <is>
          <t>远征关卡01;办公室;开放办公;房间种类;30×40m;工位;文件柜;白板;图腾;绿植</t>
        </is>
      </c>
      <c r="R243" s="90">
        <f>LOWER(TRIM(C243)&amp;"|"&amp;TRIM(D243)&amp;"|"&amp;TRIM(E243)&amp;"|"&amp;TRIM(F243)&amp;"|"&amp;TRIM(H243)&amp;"|"&amp;TRIM(I243))</f>
        <v/>
      </c>
      <c r="S243" s="90">
        <f>IF(COUNTIF($R$6:$R$247,R243)&gt;1,"重复","唯一")</f>
        <v/>
      </c>
      <c r="T243" s="90" t="inlineStr">
        <is>
          <t>4cf7138d0010405202d9cb9dd2aef0af9a676984ceeb90501b5a8d92304ed95f</t>
        </is>
      </c>
      <c r="U243" s="63" t="inlineStr">
        <is>
          <t>摩斯拉</t>
        </is>
      </c>
      <c r="V243" s="90" t="inlineStr">
        <is>
          <t>2026-09-27</t>
        </is>
      </c>
      <c r="W243" s="63" t="inlineStr">
        <is>
          <t>用户设计（参考图 docs/v0.1/design/refs/expedition01/办公室01.jpg）</t>
        </is>
      </c>
      <c r="X243" s="63" t="inlineStr">
        <is>
          <t>—</t>
        </is>
      </c>
      <c r="Y243" s="63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</t>
        </is>
      </c>
    </row>
    <row r="244" ht="255" customHeight="1" s="60">
      <c r="A244" s="90" t="inlineStr">
        <is>
          <t>ENV-EXPEDITION-L01-BRIDGE-ROOM</t>
        </is>
      </c>
      <c r="B244" s="63" t="inlineStr">
        <is>
          <t>远征关卡01 通道桥 工字型 30×60m 房间种类源</t>
        </is>
      </c>
      <c r="C244" s="63" t="inlineStr">
        <is>
          <t>场景</t>
        </is>
      </c>
      <c r="D244" s="90" t="inlineStr">
        <is>
          <t>bridge_room</t>
        </is>
      </c>
      <c r="E244" s="90" t="inlineStr">
        <is>
          <t>expedition_01_bridge_room</t>
        </is>
      </c>
      <c r="F244" s="90" t="inlineStr">
        <is>
          <t>room_type</t>
        </is>
      </c>
      <c r="G244" s="90" t="n"/>
      <c r="H244" s="90" t="inlineStr">
        <is>
          <t>Top3D / Blender Z-up</t>
        </is>
      </c>
      <c r="I244" s="90" t="inlineStr">
        <is>
          <t>scene_art / reference_derived</t>
        </is>
      </c>
      <c r="J244" s="63" t="inlineStr">
        <is>
          <t>远征关卡01 专用；room_05 通道桥房间（工字型）</t>
        </is>
      </c>
      <c r="K244" s="90" t="inlineStr">
        <is>
          <t>正式美术已接入</t>
        </is>
      </c>
      <c r="L244" s="90" t="inlineStr">
        <is>
          <t>P1</t>
        </is>
      </c>
      <c r="M244" s="90" t="inlineStr">
        <is>
          <t>v002</t>
        </is>
      </c>
      <c r="N244" s="90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0" t="inlineStr">
        <is>
          <t>assets/art/environments/tower_zones/expedition/source/room_types/bridge_room/v002/通道桥房间种类_工字型_30x60m_v002.blend</t>
        </is>
      </c>
      <c r="P244" s="90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63" t="inlineStr">
        <is>
          <t>远征关卡01;通道桥;工字型;房间种类;30×60m;跨桥;下沉区;多层几何</t>
        </is>
      </c>
      <c r="R244" s="90">
        <f>LOWER(TRIM(C244)&amp;"|"&amp;TRIM(D244)&amp;"|"&amp;TRIM(E244)&amp;"|"&amp;TRIM(F244)&amp;"|"&amp;TRIM(H244)&amp;"|"&amp;TRIM(I244))</f>
        <v/>
      </c>
      <c r="S244" s="90">
        <f>IF(COUNTIF($R$6:$R$247,R244)&gt;1,"重复","唯一")</f>
        <v/>
      </c>
      <c r="T244" s="90" t="inlineStr">
        <is>
          <t>7ba287e92a7a16fb7ee5234d027be6a969bdbccb4f12de5b741aaecfc7b2b59e</t>
        </is>
      </c>
      <c r="U244" s="63" t="inlineStr">
        <is>
          <t>摩斯拉</t>
        </is>
      </c>
      <c r="V244" s="90" t="inlineStr">
        <is>
          <t>2026-09-27</t>
        </is>
      </c>
      <c r="W244" s="63" t="inlineStr">
        <is>
          <t>用户设计（参考图见 room_type_manifest.json 的 reference_image）</t>
        </is>
      </c>
      <c r="X244" s="63" t="inlineStr">
        <is>
          <t>—</t>
        </is>
      </c>
      <c r="Y244" s="63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</t>
        </is>
      </c>
    </row>
    <row r="245" ht="255" customHeight="1" s="60">
      <c r="A245" s="90" t="inlineStr">
        <is>
          <t>ENV-EXPEDITION-L01-ROOM-STD-25X25</t>
        </is>
      </c>
      <c r="B245" s="63" t="inlineStr">
        <is>
          <t>远征关卡01 标准房间 四墙平房 25×25m 房间种类源</t>
        </is>
      </c>
      <c r="C245" s="63" t="inlineStr">
        <is>
          <t>场景</t>
        </is>
      </c>
      <c r="D245" s="90" t="inlineStr">
        <is>
          <t>std_25x25</t>
        </is>
      </c>
      <c r="E245" s="90" t="inlineStr">
        <is>
          <t>expedition_01_std_room</t>
        </is>
      </c>
      <c r="F245" s="90" t="inlineStr">
        <is>
          <t>room_type</t>
        </is>
      </c>
      <c r="G245" s="90" t="n"/>
      <c r="H245" s="90" t="inlineStr">
        <is>
          <t>Top3D / Blender Z-up</t>
        </is>
      </c>
      <c r="I245" s="90" t="inlineStr">
        <is>
          <t>scene_art / composed_from_linked_components</t>
        </is>
      </c>
      <c r="J245" s="63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0" t="inlineStr">
        <is>
          <t>Blender源已完成</t>
        </is>
      </c>
      <c r="L245" s="90" t="inlineStr">
        <is>
          <t>P1</t>
        </is>
      </c>
      <c r="M245" s="90" t="inlineStr">
        <is>
          <t>v001</t>
        </is>
      </c>
      <c r="N245" s="90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0" t="inlineStr">
        <is>
          <t>assets/art/environments/tower_zones/expedition/source/room_types/std_25x25/v001/标准房间种类_四墙平房_25x25m_v001.blend</t>
        </is>
      </c>
      <c r="P245" s="90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63" t="inlineStr">
        <is>
          <t>远征关卡01;标准房间;四墙平房;房间种类;25×25m;组件拼装;LibraryLink;西东对穿;office_room;bridge_room</t>
        </is>
      </c>
      <c r="R245" s="90">
        <f>LOWER(TRIM(C245)&amp;"|"&amp;TRIM(D245)&amp;"|"&amp;TRIM(E245)&amp;"|"&amp;TRIM(F245)&amp;"|"&amp;TRIM(H245)&amp;"|"&amp;TRIM(I245))</f>
        <v/>
      </c>
      <c r="S245" s="90">
        <f>IF(COUNTIF($R$6:$R$247,R245)&gt;1,"重复","唯一")</f>
        <v/>
      </c>
      <c r="T245" s="90" t="inlineStr">
        <is>
          <t>e5b69bef2804a6a46d44bef72b3b2e58f89bfe7440b4fa4a1551aa7ac7cf5974</t>
        </is>
      </c>
      <c r="U245" s="63" t="inlineStr">
        <is>
          <t>摩斯拉</t>
        </is>
      </c>
      <c r="V245" s="90" t="inlineStr">
        <is>
          <t>2026-09-26</t>
        </is>
      </c>
      <c r="W245" s="63" t="inlineStr">
        <is>
          <t>用户设计（组件拼装；组件来源 office_room/v001 与 bridge_room/v002 两批已验收房型源）</t>
        </is>
      </c>
      <c r="X245" s="63" t="inlineStr">
        <is>
          <t>—</t>
        </is>
      </c>
      <c r="Y245" s="63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    </is>
      </c>
    </row>
    <row r="246" ht="255" customHeight="1" s="60">
      <c r="A246" s="90" t="inlineStr">
        <is>
          <t>ENV-EXPEDITION-L01-ROOM-DB-70X50</t>
        </is>
      </c>
      <c r="B246" s="63" t="inlineStr">
        <is>
          <t>远征关卡01 数据库房间 数据机房 40×30m 房间种类源</t>
        </is>
      </c>
      <c r="C246" s="63" t="inlineStr">
        <is>
          <t>场景</t>
        </is>
      </c>
      <c r="D246" s="90" t="inlineStr">
        <is>
          <t>db_room</t>
        </is>
      </c>
      <c r="E246" s="90" t="inlineStr">
        <is>
          <t>expedition_01_db_room</t>
        </is>
      </c>
      <c r="F246" s="90" t="inlineStr">
        <is>
          <t>room_type</t>
        </is>
      </c>
      <c r="G246" s="90" t="n"/>
      <c r="H246" s="90" t="inlineStr">
        <is>
          <t>Top3D / Blender Z-up</t>
        </is>
      </c>
      <c r="I246" s="90" t="inlineStr">
        <is>
          <t>scene_art / reference_derived_with_linked_shell</t>
        </is>
      </c>
      <c r="J246" s="63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0" t="inlineStr">
        <is>
          <t>正式美术已接入</t>
        </is>
      </c>
      <c r="L246" s="90" t="inlineStr">
        <is>
          <t>P1</t>
        </is>
      </c>
      <c r="M246" s="90" t="inlineStr">
        <is>
          <t>v014</t>
        </is>
      </c>
      <c r="N246" s="90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0" t="inlineStr">
        <is>
          <t>assets/art/environments/tower_zones/expedition/source/room_types/db_room/v002/</t>
        </is>
      </c>
      <c r="P246" s="90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63" t="inlineStr">
        <is>
          <t>远征关卡01;数据库房间;数据机房;房间种类;40×30m;db_01;db_02;机柜;工作台;壁挂大屏;工具车;电缆盘;警示边带;LibraryLink;office_room</t>
        </is>
      </c>
      <c r="R246" s="90">
        <f>LOWER(TRIM(C246)&amp;"|"&amp;TRIM(D246)&amp;"|"&amp;TRIM(E246)&amp;"|"&amp;TRIM(F246)&amp;"|"&amp;TRIM(H246)&amp;"|"&amp;TRIM(I246))</f>
        <v/>
      </c>
      <c r="S246" s="90">
        <f>IF(COUNTIF($R$6:$R$247,R246)&gt;1,"重复","唯一")</f>
        <v/>
      </c>
      <c r="T246" s="90" t="inlineStr">
        <is>
          <t>ba0d29bcd4e89d901fa3102f66fa449ea6028bcb860c5be170bdc50fd31303c6</t>
        </is>
      </c>
      <c r="U246" s="63" t="inlineStr">
        <is>
          <t>摩斯拉</t>
        </is>
      </c>
      <c r="V246" s="90" t="inlineStr">
        <is>
          <t>2026-09-27</t>
        </is>
      </c>
      <c r="W246" s="63" t="inlineStr">
        <is>
          <t>用户设计（参考图 docs/v0.1/design/refs/expedition01/数据库房间01.jpg；墙件与地砖复用 office_room/v001 已验收组件）</t>
        </is>
      </c>
      <c r="X246" s="63" t="inlineStr">
        <is>
          <t>—</t>
        </is>
      </c>
      <c r="Y246" s="63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</t>
        </is>
      </c>
    </row>
    <row r="247" ht="255" customHeight="1" s="60">
      <c r="A247" s="90" t="inlineStr">
        <is>
          <t>ENV-EXPEDITION-L01-BOSS-ROOM</t>
        </is>
      </c>
      <c r="B247" s="63" t="inlineStr">
        <is>
          <t>远征关卡01 Boss竞技场 故障数据库 50×40m 房间种类源</t>
        </is>
      </c>
      <c r="C247" s="63" t="inlineStr">
        <is>
          <t>场景</t>
        </is>
      </c>
      <c r="D247" s="90" t="inlineStr">
        <is>
          <t>boss_room</t>
        </is>
      </c>
      <c r="E247" s="90" t="inlineStr">
        <is>
          <t>expedition_01_boss_room</t>
        </is>
      </c>
      <c r="F247" s="90" t="inlineStr">
        <is>
          <t>room_type</t>
        </is>
      </c>
      <c r="G247" s="90" t="n"/>
      <c r="H247" s="90" t="inlineStr">
        <is>
          <t>Top3D / Blender Z-up</t>
        </is>
      </c>
      <c r="I247" s="90" t="inlineStr">
        <is>
          <t>scene_art / reference_derived</t>
        </is>
      </c>
      <c r="J247" s="63" t="inlineStr">
        <is>
          <t>远征关卡01 专用；boss 房（boss_50x40，50×40m）。房型套件为独立一库（common_components/v011，与 office / bridge 两批不混用）</t>
        </is>
      </c>
      <c r="K247" s="90" t="inlineStr">
        <is>
          <t>正式美术已接入</t>
        </is>
      </c>
      <c r="L247" s="90" t="inlineStr">
        <is>
          <t>P1</t>
        </is>
      </c>
      <c r="M247" s="90" t="inlineStr">
        <is>
          <t>v002</t>
        </is>
      </c>
      <c r="N247" s="90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0" t="inlineStr">
        <is>
          <t>assets/art/environments/tower_zones/expedition/source/room_types/boss_room/v002/Boss房种类_故障数据库_50x40m_v002.blend</t>
        </is>
      </c>
      <c r="P247" s="90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63" t="inlineStr">
        <is>
          <t>远征关卡01;Boss竞技场;故障数据库;房间种类;50×40m;服务器机柜;主屏;桥架;组件库;v011</t>
        </is>
      </c>
      <c r="R247" s="90">
        <f>LOWER(TRIM(C247)&amp;"|"&amp;TRIM(D247)&amp;"|"&amp;TRIM(E247)&amp;"|"&amp;TRIM(F247)&amp;"|"&amp;TRIM(H247)&amp;"|"&amp;TRIM(I247))</f>
        <v/>
      </c>
      <c r="S247" s="90">
        <f>IF(COUNTIF($R$6:$R$247,R247)&gt;1,"重复","唯一")</f>
        <v/>
      </c>
      <c r="T247" s="90" t="inlineStr">
        <is>
          <t>e61a8ca0dcd5b133a09bc13d6567bbcba513838709ea77fbac951670b9ad0b29</t>
        </is>
      </c>
      <c r="U247" s="63" t="inlineStr">
        <is>
          <t>摩斯拉</t>
        </is>
      </c>
      <c r="V247" s="90" t="inlineStr">
        <is>
          <t>2026-09-27</t>
        </is>
      </c>
      <c r="W247" s="63" t="inlineStr">
        <is>
          <t>用户设计（参考图见 room_type_manifest.json 的 reference_image）</t>
        </is>
      </c>
      <c r="X247" s="63" t="inlineStr">
        <is>
          <t>—</t>
        </is>
      </c>
      <c r="Y247" s="63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7" showDropDown="0" showInputMessage="0" showErrorMessage="0" allowBlank="1" type="list">
      <formula1>"角色,敌人,武器,道具,场景,场景道具,基地资产包,UI,特效,音频"</formula1>
    </dataValidation>
    <dataValidation sqref="K6:K24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已完成</t>
        </is>
      </c>
      <c r="D148" s="119" t="inlineStr">
        <is>
          <t>已完成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正式美术已接入</t>
        </is>
      </c>
      <c r="O148" s="118" t="inlineStr">
        <is>
          <t>v012</t>
        </is>
      </c>
      <c r="P148" s="119" t="inlineStr">
        <is>
          <t>27 个唯一组件 / 121 条 l_turn 实例；room_01、room_08 已接入；u_turn 差异布局待制作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  <row r="20" s="60">
      <c r="A20" s="118" t="inlineStr">
        <is>
          <t>v0.1.14</t>
        </is>
      </c>
      <c r="B20" s="118" t="inlineStr">
        <is>
          <t>2026-09-25</t>
        </is>
      </c>
      <c r="C20" s="119" t="inlineStr">
        <is>
          <t>新增条目</t>
        </is>
      </c>
      <c r="D20" s="119" t="inlineStr">
        <is>
          <t>关卡场景 / 远征关卡01</t>
        </is>
      </c>
      <c r="E20" s="119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119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119" t="inlineStr">
        <is>
          <t>摩斯拉</t>
        </is>
      </c>
    </row>
    <row r="21" s="60">
      <c r="A21" s="118" t="inlineStr">
        <is>
          <t>v0.1.15</t>
        </is>
      </c>
      <c r="B21" s="118" t="inlineStr">
        <is>
          <t>2026-09-26</t>
        </is>
      </c>
      <c r="C21" s="119" t="inlineStr">
        <is>
          <t>新增条目</t>
        </is>
      </c>
      <c r="D21" s="119" t="inlineStr">
        <is>
          <t>关卡场景 / 远征关卡01</t>
        </is>
      </c>
      <c r="E21" s="119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119" t="inlineStr">
        <is>
          <t>摩斯拉</t>
        </is>
      </c>
    </row>
    <row r="22" s="60">
      <c r="A22" s="118" t="inlineStr">
        <is>
          <t>v0.1.16</t>
        </is>
      </c>
      <c r="B22" s="118" t="inlineStr">
        <is>
          <t>2026-09-26</t>
        </is>
      </c>
      <c r="C22" s="119" t="inlineStr">
        <is>
          <t>新增条目</t>
        </is>
      </c>
      <c r="D22" s="119" t="inlineStr">
        <is>
          <t>关卡场景 / 远征关卡01</t>
        </is>
      </c>
      <c r="E22" s="119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119" t="inlineStr">
        <is>
          <t>摩斯拉</t>
        </is>
      </c>
    </row>
    <row r="23" s="60">
      <c r="A23" s="118" t="inlineStr">
        <is>
          <t>v0.1.17</t>
        </is>
      </c>
      <c r="B23" s="118" t="inlineStr">
        <is>
          <t>2026-09-27</t>
        </is>
      </c>
      <c r="C23" s="119" t="inlineStr">
        <is>
          <t>状态转正 + 新增条目</t>
        </is>
      </c>
      <c r="D23" s="119" t="inlineStr">
        <is>
          <t>关卡场景 / 远征关卡01</t>
        </is>
      </c>
      <c r="E23" s="119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119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119" t="inlineStr">
        <is>
          <t>摩斯拉</t>
        </is>
      </c>
    </row>
    <row r="24" s="60">
      <c r="A24" s="118" t="inlineStr">
        <is>
          <t>v0.1.18</t>
        </is>
      </c>
      <c r="B24" s="118" t="inlineStr">
        <is>
          <t>2026-09-27</t>
        </is>
      </c>
      <c r="C24" s="119" t="inlineStr">
        <is>
          <t>条目修正</t>
        </is>
      </c>
      <c r="D24" s="119" t="inlineStr">
        <is>
          <t>关卡场景 / 远征关卡01</t>
        </is>
      </c>
      <c r="E24" s="119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119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119" t="inlineStr">
        <is>
          <t>摩斯拉</t>
        </is>
      </c>
    </row>
    <row r="25" s="60">
      <c r="A25" s="118" t="inlineStr">
        <is>
          <t>v0.1.19</t>
        </is>
      </c>
      <c r="B25" s="118" t="inlineStr">
        <is>
          <t>2026-09-27</t>
        </is>
      </c>
      <c r="C25" s="119" t="inlineStr">
        <is>
          <t>条目修正</t>
        </is>
      </c>
      <c r="D25" s="119" t="inlineStr">
        <is>
          <t>关卡场景 / 远征关卡01</t>
        </is>
      </c>
      <c r="E25" s="119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119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119" t="inlineStr">
        <is>
          <t>摩斯拉</t>
        </is>
      </c>
    </row>
    <row r="26" s="60">
      <c r="A26" s="118" t="inlineStr">
        <is>
          <t>v0.1.20</t>
        </is>
      </c>
      <c r="B26" s="118" t="inlineStr">
        <is>
          <t>2026-09-27</t>
        </is>
      </c>
      <c r="C26" s="119" t="inlineStr">
        <is>
          <t>条目修正</t>
        </is>
      </c>
      <c r="D26" s="119" t="inlineStr">
        <is>
          <t>关卡场景 / 远征关卡01</t>
        </is>
      </c>
      <c r="E26" s="119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119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119" t="inlineStr">
        <is>
          <t>摩斯拉</t>
        </is>
      </c>
    </row>
    <row r="27" s="60">
      <c r="A27" s="118" t="inlineStr">
        <is>
          <t>v0.1.21</t>
        </is>
      </c>
      <c r="B27" s="118" t="inlineStr">
        <is>
          <t>2026-09-27</t>
        </is>
      </c>
      <c r="C27" s="119" t="inlineStr">
        <is>
          <t>资产升版</t>
        </is>
      </c>
      <c r="D27" s="119" t="inlineStr">
        <is>
          <t>关卡场景 / 远征关卡01</t>
        </is>
      </c>
      <c r="E27" s="119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119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2026-09-18T15:37:56Z</dcterms:created>
  <dcterms:modified xsi:type="dcterms:W3CDTF">2026-09-27T13:09:08Z</dcterms:modified>
  <cp:revision>0</cp:revision>
</cp:coreProperties>
</file>