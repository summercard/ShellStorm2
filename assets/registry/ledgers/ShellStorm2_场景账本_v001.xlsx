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COUNTA('资产主表'!$A$6:$A$241)</f>
        <v/>
      </c>
      <c r="B6" s="63" t="n"/>
      <c r="C6" s="65">
        <f>COUNTIF('资产主表'!$K$6:$K$241,"已完成")+COUNTIF('资产主表'!$K$6:$K$241,"原型已接入")+COUNTIF('资产主表'!$K$6:$K$241,"正式美术已接入")+COUNTIF('资产主表'!$K$6:$K$241,"已优化并正式接入")+COUNTIF('资产主表'!$K$6:$K$241,"Blender源已完成")+COUNTIF('资产主表'!$K$6:$K$241,"已导入；优化完成")+COUNTIF('资产主表'!$K$6:$K$241,"白模源已完成；QA PASS")</f>
        <v/>
      </c>
      <c r="D6" s="63" t="n"/>
      <c r="E6" s="65">
        <f>COUNTIF('资产主表'!$K$6:$K$241,"待制作")+COUNTIF('资产主表'!$K$6:$K$241,"程序占位")</f>
        <v/>
      </c>
      <c r="F6" s="63" t="n"/>
      <c r="G6" s="65">
        <f>COUNTIF('资产主表'!$S$6:$S$241,"重复")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COUNTIF('资产主表'!$C$6:$C$241,A10)</f>
        <v/>
      </c>
      <c r="C10" s="70">
        <f>SUMPRODUCT(('资产主表'!$C$6:$C$241=A10)*(('资产主表'!$K$6:$K$241="已完成")+('资产主表'!$K$6:$K$241="原型已接入")+('资产主表'!$K$6:$K$241="正式美术已接入")+('资产主表'!$K$6:$K$241="已优化并正式接入")+('资产主表'!$K$6:$K$241="Blender源已完成")+('资产主表'!$K$6:$K$241="已导入；优化完成")+('资产主表'!$K$6:$K$241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COUNTIF('资产主表'!$C$6:$C$241,A11)</f>
        <v/>
      </c>
      <c r="C11" s="70">
        <f>SUMPRODUCT(('资产主表'!$C$6:$C$241=A11)*(('资产主表'!$K$6:$K$241="已完成")+('资产主表'!$K$6:$K$241="原型已接入")+('资产主表'!$K$6:$K$241="正式美术已接入")+('资产主表'!$K$6:$K$241="已优化并正式接入")+('资产主表'!$K$6:$K$241="Blender源已完成")+('资产主表'!$K$6:$K$241="已导入；优化完成")+('资产主表'!$K$6:$K$241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COUNTIF('资产主表'!$C$6:$C$241,A12)</f>
        <v/>
      </c>
      <c r="C12" s="70">
        <f>SUMPRODUCT(('资产主表'!$C$6:$C$241=A12)*(('资产主表'!$K$6:$K$241="已完成")+('资产主表'!$K$6:$K$241="原型已接入")+('资产主表'!$K$6:$K$241="正式美术已接入")+('资产主表'!$K$6:$K$241="已优化并正式接入")+('资产主表'!$K$6:$K$241="Blender源已完成")+('资产主表'!$K$6:$K$241="已导入；优化完成")+('资产主表'!$K$6:$K$241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COUNTIF('资产主表'!$C$6:$C$241,A13)</f>
        <v/>
      </c>
      <c r="C13" s="66">
        <f>SUMPRODUCT(('资产主表'!$C$6:$C$241=A13)*(('资产主表'!$K$6:$K$241="已完成")+('资产主表'!$K$6:$K$241="原型已接入")+('资产主表'!$K$6:$K$241="正式美术已接入")+('资产主表'!$K$6:$K$241="已优化并正式接入")+('资产主表'!$K$6:$K$241="Blender源已完成")+('资产主表'!$K$6:$K$241="已导入；优化完成")+('资产主表'!$K$6:$K$241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IF(COUNTIF($R$6:$R$241,R6)&gt;1,"重复","唯一")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IF(COUNTIF($R$6:$R$241,R7)&gt;1,"重复","唯一")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IF(COUNTIF($R$6:$R$241,R8)&gt;1,"重复","唯一")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IF(COUNTIF($R$6:$R$241,R9)&gt;1,"重复","唯一")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IF(COUNTIF($R$6:$R$241,R10)&gt;1,"重复","唯一")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IF(COUNTIF($R$6:$R$241,R11)&gt;1,"重复","唯一")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IF(COUNTIF($R$6:$R$241,R12)&gt;1,"重复","唯一")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IF(COUNTIF($R$6:$R$241,R13)&gt;1,"重复","唯一")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IF(COUNTIF($R$6:$R$241,R14)&gt;1,"重复","唯一")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IF(COUNTIF($R$6:$R$241,R15)&gt;1,"重复","唯一")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IF(COUNTIF($R$6:$R$241,R16)&gt;1,"重复","唯一")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IF(COUNTIF($R$6:$R$241,R17)&gt;1,"重复","唯一")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IF(COUNTIF($R$6:$R$241,R18)&gt;1,"重复","唯一")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IF(COUNTIF($R$6:$R$241,R19)&gt;1,"重复","唯一")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IF(COUNTIF($R$6:$R$241,R20)&gt;1,"重复","唯一")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IF(COUNTIF($R$6:$R$241,R21)&gt;1,"重复","唯一")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IF(COUNTIF($R$6:$R$241,R22)&gt;1,"重复","唯一")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IF(COUNTIF($R$6:$R$241,R23)&gt;1,"重复","唯一")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IF(COUNTIF($R$6:$R$241,R24)&gt;1,"重复","唯一")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IF(COUNTIF($R$6:$R$241,R25)&gt;1,"重复","唯一")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IF(COUNTIF($R$6:$R$241,R26)&gt;1,"重复","唯一")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IF(COUNTIF($R$6:$R$241,R27)&gt;1,"重复","唯一")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IF(COUNTIF($R$6:$R$241,R28)&gt;1,"重复","唯一")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IF(COUNTIF($R$6:$R$241,R29)&gt;1,"重复","唯一")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IF(COUNTIF($R$6:$R$241,R30)&gt;1,"重复","唯一")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IF(COUNTIF($R$6:$R$241,R31)&gt;1,"重复","唯一")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IF(COUNTIF($R$6:$R$241,R32)&gt;1,"重复","唯一")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IF(COUNTIF($R$6:$R$241,R33)&gt;1,"重复","唯一")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IF(COUNTIF($R$6:$R$241,R34)&gt;1,"重复","唯一")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IF(COUNTIF($R$6:$R$241,R35)&gt;1,"重复","唯一")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IF(COUNTIF($R$6:$R$241,R36)&gt;1,"重复","唯一")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IF(COUNTIF($R$6:$R$241,R37)&gt;1,"重复","唯一")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IF(COUNTIF($R$6:$R$241,R38)&gt;1,"重复","唯一")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IF(COUNTIF($R$6:$R$241,R39)&gt;1,"重复","唯一")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IF(COUNTIF($R$6:$R$241,R40)&gt;1,"重复","唯一")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IF(COUNTIF($R$6:$R$241,R41)&gt;1,"重复","唯一")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IF(COUNTIF($R$6:$R$241,R42)&gt;1,"重复","唯一")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IF(COUNTIF($R$6:$R$241,R43)&gt;1,"重复","唯一")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IF(COUNTIF($R$6:$R$241,R44)&gt;1,"重复","唯一")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IF(COUNTIF($R$6:$R$241,R45)&gt;1,"重复","唯一")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IF(COUNTIF($R$6:$R$241,R46)&gt;1,"重复","唯一")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IF(COUNTIF($R$6:$R$241,R47)&gt;1,"重复","唯一")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IF(COUNTIF($R$6:$R$241,R48)&gt;1,"重复","唯一")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IF(COUNTIF($R$6:$R$241,R49)&gt;1,"重复","唯一")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IF(COUNTIF($R$6:$R$241,R50)&gt;1,"重复","唯一")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IF(COUNTIF($R$6:$R$241,R51)&gt;1,"重复","唯一")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IF(COUNTIF($R$6:$R$241,R52)&gt;1,"重复","唯一")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IF(COUNTIF($R$6:$R$241,R53)&gt;1,"重复","唯一")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IF(COUNTIF($R$6:$R$241,R54)&gt;1,"重复","唯一")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IF(COUNTIF($R$6:$R$241,R55)&gt;1,"重复","唯一")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IF(COUNTIF($R$6:$R$241,R56)&gt;1,"重复","唯一")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IF(COUNTIF($R$6:$R$241,R57)&gt;1,"重复","唯一")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IF(COUNTIF($R$6:$R$241,R58)&gt;1,"重复","唯一")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IF(COUNTIF($R$6:$R$241,R59)&gt;1,"重复","唯一")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IF(COUNTIF($R$6:$R$241,R60)&gt;1,"重复","唯一")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IF(COUNTIF($R$6:$R$241,R61)&gt;1,"重复","唯一")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IF(COUNTIF($R$6:$R$241,R62)&gt;1,"重复","唯一")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IF(COUNTIF($R$6:$R$241,R63)&gt;1,"重复","唯一")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IF(COUNTIF($R$6:$R$241,R64)&gt;1,"重复","唯一")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IF(COUNTIF($R$6:$R$241,R65)&gt;1,"重复","唯一")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IF(COUNTIF($R$6:$R$241,R66)&gt;1,"重复","唯一")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IF(COUNTIF($R$6:$R$241,R67)&gt;1,"重复","唯一")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IF(COUNTIF($R$6:$R$241,R68)&gt;1,"重复","唯一")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IF(COUNTIF($R$6:$R$241,R69)&gt;1,"重复","唯一")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IF(COUNTIF($R$6:$R$241,R70)&gt;1,"重复","唯一")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IF(COUNTIF($R$6:$R$241,R71)&gt;1,"重复","唯一")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IF(COUNTIF($R$6:$R$241,R72)&gt;1,"重复","唯一")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IF(COUNTIF($R$6:$R$241,R73)&gt;1,"重复","唯一")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IF(COUNTIF($R$6:$R$241,R74)&gt;1,"重复","唯一")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IF(COUNTIF($R$6:$R$241,R75)&gt;1,"重复","唯一")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IF(COUNTIF($R$6:$R$241,R76)&gt;1,"重复","唯一")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IF(COUNTIF($R$6:$R$241,R77)&gt;1,"重复","唯一")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IF(COUNTIF($R$6:$R$241,R78)&gt;1,"重复","唯一")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IF(COUNTIF($R$6:$R$241,R79)&gt;1,"重复","唯一")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IF(COUNTIF($R$6:$R$241,R80)&gt;1,"重复","唯一")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IF(COUNTIF($R$6:$R$241,R81)&gt;1,"重复","唯一")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IF(COUNTIF($R$6:$R$241,R82)&gt;1,"重复","唯一")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IF(COUNTIF($R$6:$R$241,R83)&gt;1,"重复","唯一")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IF(COUNTIF($R$6:$R$241,R84)&gt;1,"重复","唯一")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IF(COUNTIF($R$6:$R$241,R85)&gt;1,"重复","唯一")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IF(COUNTIF($R$6:$R$241,R86)&gt;1,"重复","唯一")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IF(COUNTIF($R$6:$R$241,R87)&gt;1,"重复","唯一")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IF(COUNTIF($R$6:$R$241,R88)&gt;1,"重复","唯一")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IF(COUNTIF($R$6:$R$241,R89)&gt;1,"重复","唯一")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IF(COUNTIF($R$6:$R$241,R90)&gt;1,"重复","唯一")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IF(COUNTIF($R$6:$R$241,R91)&gt;1,"重复","唯一")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IF(COUNTIF($R$6:$R$241,R92)&gt;1,"重复","唯一")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IF(COUNTIF($R$6:$R$241,R93)&gt;1,"重复","唯一")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IF(COUNTIF($R$6:$R$241,R94)&gt;1,"重复","唯一")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IF(COUNTIF($R$6:$R$241,R95)&gt;1,"重复","唯一")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IF(COUNTIF($R$6:$R$241,R96)&gt;1,"重复","唯一")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IF(COUNTIF($R$6:$R$241,R97)&gt;1,"重复","唯一")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IF(COUNTIF($R$6:$R$241,R98)&gt;1,"重复","唯一")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IF(COUNTIF($R$6:$R$241,R99)&gt;1,"重复","唯一")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IF(COUNTIF($R$6:$R$241,R100)&gt;1,"重复","唯一")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IF(COUNTIF($R$6:$R$241,R101)&gt;1,"重复","唯一")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IF(COUNTIF($R$6:$R$241,R102)&gt;1,"重复","唯一")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IF(COUNTIF($R$6:$R$241,R103)&gt;1,"重复","唯一")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IF(COUNTIF($R$6:$R$241,R104)&gt;1,"重复","唯一")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IF(COUNTIF($R$6:$R$241,R105)&gt;1,"重复","唯一")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IF(COUNTIF($R$6:$R$241,R106)&gt;1,"重复","唯一")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IF(COUNTIF($R$6:$R$241,R107)&gt;1,"重复","唯一")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IF(COUNTIF($R$6:$R$241,R108)&gt;1,"重复","唯一")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IF(COUNTIF($R$6:$R$241,R109)&gt;1,"重复","唯一")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IF(COUNTIF($R$6:$R$241,R110)&gt;1,"重复","唯一")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IF(COUNTIF($R$6:$R$241,R111)&gt;1,"重复","唯一")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IF(COUNTIF($R$6:$R$241,R112)&gt;1,"重复","唯一")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IF(COUNTIF($R$6:$R$241,R113)&gt;1,"重复","唯一")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IF(COUNTIF($R$6:$R$241,R114)&gt;1,"重复","唯一")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IF(COUNTIF($R$6:$R$241,R115)&gt;1,"重复","唯一")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IF(COUNTIF($R$6:$R$241,R116)&gt;1,"重复","唯一")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IF(COUNTIF($R$6:$R$241,R117)&gt;1,"重复","唯一")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IF(COUNTIF($R$6:$R$241,R118)&gt;1,"重复","唯一")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IF(COUNTIF($R$6:$R$241,R119)&gt;1,"重复","唯一")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IF(COUNTIF($R$6:$R$241,R120)&gt;1,"重复","唯一")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IF(COUNTIF($R$6:$R$241,R121)&gt;1,"重复","唯一")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IF(COUNTIF($R$6:$R$241,R122)&gt;1,"重复","唯一")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IF(COUNTIF($R$6:$R$241,R123)&gt;1,"重复","唯一")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IF(COUNTIF($R$6:$R$241,R124)&gt;1,"重复","唯一")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IF(COUNTIF($R$6:$R$241,R125)&gt;1,"重复","唯一")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IF(COUNTIF($R$6:$R$241,R126)&gt;1,"重复","唯一")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IF(COUNTIF($R$6:$R$241,R127)&gt;1,"重复","唯一")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IF(COUNTIF($R$6:$R$241,R128)&gt;1,"重复","唯一")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IF(COUNTIF($R$6:$R$241,R129)&gt;1,"重复","唯一")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IF(COUNTIF($R$6:$R$241,R130)&gt;1,"重复","唯一")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IF(COUNTIF($R$6:$R$241,R131)&gt;1,"重复","唯一")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IF(COUNTIF($R$6:$R$241,R132)&gt;1,"重复","唯一")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IF(COUNTIF($R$6:$R$241,R133)&gt;1,"重复","唯一")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IF(COUNTIF($R$6:$R$241,R134)&gt;1,"重复","唯一")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IF(COUNTIF($R$6:$R$241,R135)&gt;1,"重复","唯一")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IF(COUNTIF($R$6:$R$241,R136)&gt;1,"重复","唯一")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IF(COUNTIF($R$6:$R$241,R137)&gt;1,"重复","唯一")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IF(COUNTIF($R$6:$R$241,R138)&gt;1,"重复","唯一")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IF(COUNTIF($R$6:$R$241,R139)&gt;1,"重复","唯一")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IF(COUNTIF($R$6:$R$241,R140)&gt;1,"重复","唯一")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IF(COUNTIF($R$6:$R$241,R141)&gt;1,"重复","唯一")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IF(COUNTIF($R$6:$R$241,R142)&gt;1,"重复","唯一")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IF(COUNTIF($R$6:$R$241,R143)&gt;1,"重复","唯一")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IF(COUNTIF($R$6:$R$241,R144)&gt;1,"重复","唯一")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IF(COUNTIF($R$6:$R$241,R145)&gt;1,"重复","唯一")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IF(COUNTIF($R$6:$R$241,R146)&gt;1,"重复","唯一")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IF(COUNTIF($R$6:$R$241,R147)&gt;1,"重复","唯一")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IF(COUNTIF($R$6:$R$241,R148)&gt;1,"重复","唯一")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IF(COUNTIF($R$6:$R$241,R149)&gt;1,"重复","唯一")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IF(COUNTIF($R$6:$R$241,R150)&gt;1,"重复","唯一")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IF(COUNTIF($R$6:$R$241,R151)&gt;1,"重复","唯一")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IF(COUNTIF($R$6:$R$241,R152)&gt;1,"重复","唯一")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IF(COUNTIF($R$6:$R$241,R153)&gt;1,"重复","唯一")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IF(COUNTIF($R$6:$R$241,R154)&gt;1,"重复","唯一")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IF(COUNTIF($R$6:$R$241,R155)&gt;1,"重复","唯一")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IF(COUNTIF($R$6:$R$241,R156)&gt;1,"重复","唯一")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IF(COUNTIF($R$6:$R$241,R157)&gt;1,"重复","唯一")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IF(COUNTIF($R$6:$R$241,R158)&gt;1,"重复","唯一")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IF(COUNTIF($R$6:$R$241,R159)&gt;1,"重复","唯一")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IF(COUNTIF($R$6:$R$241,R160)&gt;1,"重复","唯一")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IF(COUNTIF($R$6:$R$241,R161)&gt;1,"重复","唯一")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IF(COUNTIF($R$6:$R$241,R162)&gt;1,"重复","唯一")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IF(COUNTIF($R$6:$R$241,R163)&gt;1,"重复","唯一")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IF(COUNTIF($R$6:$R$241,R164)&gt;1,"重复","唯一")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IF(COUNTIF($R$6:$R$241,R165)&gt;1,"重复","唯一")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IF(COUNTIF($R$6:$R$241,R166)&gt;1,"重复","唯一")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IF(COUNTIF($R$6:$R$241,R167)&gt;1,"重复","唯一")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IF(COUNTIF($R$6:$R$241,R168)&gt;1,"重复","唯一")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IF(COUNTIF($R$6:$R$241,R169)&gt;1,"重复","唯一")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IF(COUNTIF($R$6:$R$241,R170)&gt;1,"重复","唯一")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IF(COUNTIF($R$6:$R$241,R171)&gt;1,"重复","唯一")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IF(COUNTIF($R$6:$R$241,R172)&gt;1,"重复","唯一")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IF(COUNTIF($R$6:$R$241,R173)&gt;1,"重复","唯一")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IF(COUNTIF($R$6:$R$241,R174)&gt;1,"重复","唯一")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IF(COUNTIF($R$6:$R$241,R175)&gt;1,"重复","唯一")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IF(COUNTIF($R$6:$R$241,R176)&gt;1,"重复","唯一")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IF(COUNTIF($R$6:$R$241,R177)&gt;1,"重复","唯一")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IF(COUNTIF($R$6:$R$241,R178)&gt;1,"重复","唯一")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IF(COUNTIF($R$6:$R$241,R179)&gt;1,"重复","唯一")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IF(COUNTIF($R$6:$R$241,R180)&gt;1,"重复","唯一")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IF(COUNTIF($R$6:$R$241,R181)&gt;1,"重复","唯一")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IF(COUNTIF($R$6:$R$241,R182)&gt;1,"重复","唯一")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IF(COUNTIF($R$6:$R$241,R183)&gt;1,"重复","唯一")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IF(COUNTIF($R$6:$R$241,R184)&gt;1,"重复","唯一")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IF(COUNTIF($R$6:$R$241,R185)&gt;1,"重复","唯一")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IF(COUNTIF($R$6:$R$241,R186)&gt;1,"重复","唯一")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IF(COUNTIF($R$6:$R$241,R187)&gt;1,"重复","唯一")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IF(COUNTIF($R$6:$R$241,R188)&gt;1,"重复","唯一")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IF(COUNTIF($R$6:$R$241,R189)&gt;1,"重复","唯一")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IF(COUNTIF($R$6:$R$241,R190)&gt;1,"重复","唯一")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IF(COUNTIF($R$6:$R$241,R191)&gt;1,"重复","唯一")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IF(COUNTIF($R$6:$R$241,R192)&gt;1,"重复","唯一")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IF(COUNTIF($R$6:$R$241,R193)&gt;1,"重复","唯一")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IF(COUNTIF($R$6:$R$241,R194)&gt;1,"重复","唯一")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IF(COUNTIF($R$6:$R$241,R195)&gt;1,"重复","唯一")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IF(COUNTIF($R$6:$R$241,R196)&gt;1,"重复","唯一")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IF(COUNTIF($R$6:$R$241,R197)&gt;1,"重复","唯一")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IF(COUNTIF($R$6:$R$241,R198)&gt;1,"重复","唯一")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IF(COUNTIF($R$6:$R$241,R199)&gt;1,"重复","唯一")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IF(COUNTIF($R$6:$R$241,R200)&gt;1,"重复","唯一")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IF(COUNTIF($R$6:$R$241,R201)&gt;1,"重复","唯一")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IF(COUNTIF($R$6:$R$241,R202)&gt;1,"重复","唯一")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IF(COUNTIF($R$6:$R$241,R203)&gt;1,"重复","唯一")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IF(COUNTIF($R$6:$R$241,R204)&gt;1,"重复","唯一")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IF(COUNTIF($R$6:$R$241,R205)&gt;1,"重复","唯一")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IF(COUNTIF($R$6:$R$241,R206)&gt;1,"重复","唯一")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IF(COUNTIF($R$6:$R$241,R207)&gt;1,"重复","唯一")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IF(COUNTIF($R$6:$R$241,R208)&gt;1,"重复","唯一")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IF(COUNTIF($R$6:$R$241,R209)&gt;1,"重复","唯一")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IF(COUNTIF($R$6:$R$241,R210)&gt;1,"重复","唯一")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IF(COUNTIF($R$6:$R$241,R211)&gt;1,"重复","唯一")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IF(COUNTIF($R$6:$R$241,R212)&gt;1,"重复","唯一")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IF(COUNTIF($R$6:$R$241,R213)&gt;1,"重复","唯一")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IF(COUNTIF($R$6:$R$241,R214)&gt;1,"重复","唯一")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IF(COUNTIF($R$6:$R$241,R215)&gt;1,"重复","唯一")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IF(COUNTIF($R$6:$R$241,R216)&gt;1,"重复","唯一")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IF(COUNTIF($R$6:$R$241,R217)&gt;1,"重复","唯一")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IF(COUNTIF($R$6:$R$241,R218)&gt;1,"重复","唯一")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IF(COUNTIF($R$6:$R$241,R219)&gt;1,"重复","唯一")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IF(COUNTIF($R$6:$R$241,R220)&gt;1,"重复","唯一")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IF(COUNTIF($R$6:$R$241,R221)&gt;1,"重复","唯一")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IF(COUNTIF($R$6:$R$241,R222)&gt;1,"重复","唯一")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IF(COUNTIF($R$6:$R$241,R223)&gt;1,"重复","唯一")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IF(COUNTIF($R$6:$R$241,R224)&gt;1,"重复","唯一")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IF(COUNTIF($R$6:$R$241,R225)&gt;1,"重复","唯一")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IF(COUNTIF($R$6:$R$241,R226)&gt;1,"重复","唯一")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IF(COUNTIF($R$6:$R$241,R227)&gt;1,"重复","唯一")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IF(COUNTIF($R$6:$R$241,R228)&gt;1,"重复","唯一")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IF(COUNTIF($R$6:$R$241,R229)&gt;1,"重复","唯一")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IF(COUNTIF($R$6:$R$241,R230)&gt;1,"重复","唯一")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IF(COUNTIF($R$6:$R$241,R231)&gt;1,"重复","唯一")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IF(COUNTIF($R$6:$R$241,R232)&gt;1,"重复","唯一")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IF(COUNTIF($R$6:$R$241,R233)&gt;1,"重复","唯一")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IF(COUNTIF($R$6:$R$241,R234)&gt;1,"重复","唯一")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IF(COUNTIF($R$6:$R$241,R235)&gt;1,"重复","唯一")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IF(COUNTIF($R$6:$R$241,R236)&gt;1,"重复","唯一")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IF(COUNTIF($R$6:$R$241,R237)&gt;1,"重复","唯一")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IF(COUNTIF($R$6:$R$241,R238)&gt;1,"重复","唯一")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IF(COUNTIF($R$6:$R$241,R239)&gt;1,"重复","唯一")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IF(COUNTIF($R$6:$R$241,R240)&gt;1,"重复","唯一")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IF(COUNTIF($R$6:$R$241,R241)&gt;1,"重复","唯一")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0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40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4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3"/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2026-09-18T15:37:56Z</dcterms:created>
  <dcterms:modified xsi:type="dcterms:W3CDTF">2026-09-23T07:56:55Z</dcterms:modified>
  <cp:revision>0</cp:revision>
</cp:coreProperties>
</file>