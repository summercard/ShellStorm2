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'资产主表'!$A$5:$X$872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COUNTA(资产主表!$A$6:$A$880)</f>
        <v/>
      </c>
      <c r="B6" s="72" t="inlineStr"/>
      <c r="C6" s="74">
        <f>COUNTIF(资产主表!$K$6:$K$880,"已完成")+COUNTIF(资产主表!$K$6:$K$880,"原型已接入")+COUNTIF(资产主表!$K$6:$K$880,"正式美术已接入")+COUNTIF(资产主表!$K$6:$K$880,"已优化并正式接入")+COUNTIF(资产主表!$K$6:$K$880,"Blender源已完成")+COUNTIF(资产主表!$K$6:$K$880,"已导入；优化完成")+COUNTIF(资产主表!$K$6:$K$880,"白模源已完成；QA PASS")</f>
        <v/>
      </c>
      <c r="D6" s="72" t="inlineStr"/>
      <c r="E6" s="74">
        <f>COUNTIF(资产主表!$K$6:$K$880,"待制作")+COUNTIF(资产主表!$K$6:$K$880,"程序占位")</f>
        <v/>
      </c>
      <c r="F6" s="72" t="inlineStr"/>
      <c r="G6" s="74">
        <f>COUNTIF(资产主表!$S$6:$S$880,"重复")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COUNTIF(资产主表!$C$6:$C$880,A10)</f>
        <v/>
      </c>
      <c r="C10" s="79">
        <f>SUMPRODUCT((资产主表!$C$6:$C$880=A10)*((资产主表!$K$6:$K$880="已完成")+(资产主表!$K$6:$K$880="原型已接入")+(资产主表!$K$6:$K$880="正式美术已接入")+(资产主表!$K$6:$K$880="已优化并正式接入")+(资产主表!$K$6:$K$880="Blender源已完成")+(资产主表!$K$6:$K$880="已导入；优化完成")+(资产主表!$K$6:$K$880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COUNTIF(资产主表!$C$6:$C$880,A11)</f>
        <v/>
      </c>
      <c r="C11" s="79">
        <f>SUMPRODUCT((资产主表!$C$6:$C$880=A11)*((资产主表!$K$6:$K$880="已完成")+(资产主表!$K$6:$K$880="原型已接入")+(资产主表!$K$6:$K$880="正式美术已接入")+(资产主表!$K$6:$K$880="已优化并正式接入")+(资产主表!$K$6:$K$880="Blender源已完成")+(资产主表!$K$6:$K$880="已导入；优化完成")+(资产主表!$K$6:$K$880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COUNTIF(资产主表!$C$6:$C$880,A12)</f>
        <v/>
      </c>
      <c r="C12" s="79">
        <f>SUMPRODUCT((资产主表!$C$6:$C$880=A12)*((资产主表!$K$6:$K$880="已完成")+(资产主表!$K$6:$K$880="原型已接入")+(资产主表!$K$6:$K$880="正式美术已接入")+(资产主表!$K$6:$K$880="已优化并正式接入")+(资产主表!$K$6:$K$880="Blender源已完成")+(资产主表!$K$6:$K$880="已导入；优化完成")+(资产主表!$K$6:$K$880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=COUNTIF(资产主表!$C$6:$C$880,A13)</f>
        <v/>
      </c>
      <c r="C13" s="75">
        <f>=SUMPRODUCT((资产主表!$C$6:$C$880=A13)*((资产主表!$K$6:$K$880="已完成")+(资产主表!$K$6:$K$880="原型已接入")+(资产主表!$K$6:$K$880="正式美术已接入")+(资产主表!$K$6:$K$880="已优化并正式接入")+(资产主表!$K$6:$K$880="Blender源已完成")+(资产主表!$K$6:$K$880="已导入；优化完成")+(资产主表!$K$6:$K$880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IF(COUNTIF($R$6:$R$880,R6)&gt;1,"重复","唯一")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IF(COUNTIF($R$6:$R$880,R7)&gt;1,"重复","唯一")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IF(COUNTIF($R$6:$R$880,R8)&gt;1,"重复","唯一")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IF(COUNTIF($R$6:$R$880,R9)&gt;1,"重复","唯一")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IF(COUNTIF($R$6:$R$880,R10)&gt;1,"重复","唯一")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IF(COUNTIF($R$6:$R$880,R11)&gt;1,"重复","唯一")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IF(COUNTIF($R$6:$R$880,R12)&gt;1,"重复","唯一")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IF(COUNTIF($R$6:$R$880,R13)&gt;1,"重复","唯一")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IF(COUNTIF($R$6:$R$880,R14)&gt;1,"重复","唯一")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IF(COUNTIF($R$6:$R$880,R15)&gt;1,"重复","唯一")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IF(COUNTIF($R$6:$R$880,R16)&gt;1,"重复","唯一")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IF(COUNTIF($R$6:$R$880,R17)&gt;1,"重复","唯一")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IF(COUNTIF($R$6:$R$880,R18)&gt;1,"重复","唯一")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IF(COUNTIF($R$6:$R$880,R19)&gt;1,"重复","唯一")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IF(COUNTIF($R$6:$R$880,R20)&gt;1,"重复","唯一")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IF(COUNTIF($R$6:$R$880,R21)&gt;1,"重复","唯一")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IF(COUNTIF($R$6:$R$880,R22)&gt;1,"重复","唯一")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IF(COUNTIF($R$6:$R$880,R23)&gt;1,"重复","唯一")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IF(COUNTIF($R$6:$R$880,R24)&gt;1,"重复","唯一")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IF(COUNTIF($R$6:$R$880,R25)&gt;1,"重复","唯一")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IF(COUNTIF($R$6:$R$880,R26)&gt;1,"重复","唯一")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IF(COUNTIF($R$6:$R$880,R27)&gt;1,"重复","唯一")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IF(COUNTIF($R$6:$R$880,R28)&gt;1,"重复","唯一")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IF(COUNTIF($R$6:$R$880,R29)&gt;1,"重复","唯一")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IF(COUNTIF($R$6:$R$880,R30)&gt;1,"重复","唯一")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IF(COUNTIF($R$6:$R$880,R31)&gt;1,"重复","唯一")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IF(COUNTIF($R$6:$R$880,R32)&gt;1,"重复","唯一")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IF(COUNTIF($R$6:$R$880,R33)&gt;1,"重复","唯一")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IF(COUNTIF($R$6:$R$880,R34)&gt;1,"重复","唯一")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IF(COUNTIF($R$6:$R$880,R35)&gt;1,"重复","唯一")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IF(COUNTIF($R$6:$R$880,R36)&gt;1,"重复","唯一")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IF(COUNTIF($R$6:$R$880,R37)&gt;1,"重复","唯一")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IF(COUNTIF($R$6:$R$880,R38)&gt;1,"重复","唯一")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IF(COUNTIF($R$6:$R$880,R39)&gt;1,"重复","唯一")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IF(COUNTIF($R$6:$R$880,R40)&gt;1,"重复","唯一")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IF(COUNTIF($R$6:$R$880,R41)&gt;1,"重复","唯一")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IF(COUNTIF($R$6:$R$880,R42)&gt;1,"重复","唯一")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IF(COUNTIF($R$6:$R$880,R43)&gt;1,"重复","唯一")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IF(COUNTIF($R$6:$R$880,R44)&gt;1,"重复","唯一")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IF(COUNTIF($R$6:$R$880,R45)&gt;1,"重复","唯一")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IF(COUNTIF($R$6:$R$880,R46)&gt;1,"重复","唯一")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IF(COUNTIF($R$6:$R$880,R47)&gt;1,"重复","唯一")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IF(COUNTIF($R$6:$R$880,R48)&gt;1,"重复","唯一")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IF(COUNTIF($R$6:$R$880,R49)&gt;1,"重复","唯一")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IF(COUNTIF($R$6:$R$880,R50)&gt;1,"重复","唯一")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IF(COUNTIF($R$6:$R$880,R51)&gt;1,"重复","唯一")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IF(COUNTIF($R$6:$R$880,R52)&gt;1,"重复","唯一")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IF(COUNTIF($R$6:$R$880,R53)&gt;1,"重复","唯一")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IF(COUNTIF($R$6:$R$880,R54)&gt;1,"重复","唯一")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IF(COUNTIF($R$6:$R$880,R55)&gt;1,"重复","唯一")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IF(COUNTIF($R$6:$R$880,R56)&gt;1,"重复","唯一")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IF(COUNTIF($R$6:$R$880,R57)&gt;1,"重复","唯一")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IF(COUNTIF($R$6:$R$880,R58)&gt;1,"重复","唯一")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IF(COUNTIF($R$6:$R$880,R59)&gt;1,"重复","唯一")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IF(COUNTIF($R$6:$R$880,R60)&gt;1,"重复","唯一")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IF(COUNTIF($R$6:$R$880,R61)&gt;1,"重复","唯一")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IF(COUNTIF($R$6:$R$880,R62)&gt;1,"重复","唯一")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IF(COUNTIF($R$6:$R$880,R63)&gt;1,"重复","唯一")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IF(COUNTIF($R$6:$R$880,R64)&gt;1,"重复","唯一")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IF(COUNTIF($R$6:$R$880,R65)&gt;1,"重复","唯一")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IF(COUNTIF($R$6:$R$880,R66)&gt;1,"重复","唯一")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IF(COUNTIF($R$6:$R$880,R67)&gt;1,"重复","唯一")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IF(COUNTIF($R$6:$R$880,R68)&gt;1,"重复","唯一")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IF(COUNTIF($R$6:$R$880,R69)&gt;1,"重复","唯一")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IF(COUNTIF($R$6:$R$880,R70)&gt;1,"重复","唯一")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IF(COUNTIF($R$6:$R$880,R71)&gt;1,"重复","唯一")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IF(COUNTIF($R$6:$R$880,R72)&gt;1,"重复","唯一")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IF(COUNTIF($R$6:$R$880,R73)&gt;1,"重复","唯一")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IF(COUNTIF($R$6:$R$880,R74)&gt;1,"重复","唯一")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IF(COUNTIF($R$6:$R$880,R75)&gt;1,"重复","唯一")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IF(COUNTIF($R$6:$R$880,R76)&gt;1,"重复","唯一")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IF(COUNTIF($R$6:$R$880,R77)&gt;1,"重复","唯一")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IF(COUNTIF($R$6:$R$880,R78)&gt;1,"重复","唯一")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IF(COUNTIF($R$6:$R$880,R79)&gt;1,"重复","唯一")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IF(COUNTIF($R$6:$R$880,R80)&gt;1,"重复","唯一")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IF(COUNTIF($R$6:$R$880,R81)&gt;1,"重复","唯一")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IF(COUNTIF($R$6:$R$880,R82)&gt;1,"重复","唯一")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IF(COUNTIF($R$6:$R$880,R83)&gt;1,"重复","唯一")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IF(COUNTIF($R$6:$R$880,R84)&gt;1,"重复","唯一")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IF(COUNTIF($R$6:$R$880,R85)&gt;1,"重复","唯一")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IF(COUNTIF($R$6:$R$880,R86)&gt;1,"重复","唯一")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IF(COUNTIF($R$6:$R$880,R87)&gt;1,"重复","唯一")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IF(COUNTIF($R$6:$R$880,R88)&gt;1,"重复","唯一")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IF(COUNTIF($R$6:$R$880,R89)&gt;1,"重复","唯一")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IF(COUNTIF($R$6:$R$880,R90)&gt;1,"重复","唯一")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IF(COUNTIF($R$6:$R$880,R91)&gt;1,"重复","唯一")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IF(COUNTIF($R$6:$R$880,R92)&gt;1,"重复","唯一")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IF(COUNTIF($R$6:$R$880,R93)&gt;1,"重复","唯一")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IF(COUNTIF($R$6:$R$880,R94)&gt;1,"重复","唯一")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IF(COUNTIF($R$6:$R$880,R95)&gt;1,"重复","唯一")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IF(COUNTIF($R$6:$R$880,R96)&gt;1,"重复","唯一")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IF(COUNTIF($R$6:$R$880,R97)&gt;1,"重复","唯一")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IF(COUNTIF($R$6:$R$880,R98)&gt;1,"重复","唯一")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IF(COUNTIF($R$6:$R$880,R99)&gt;1,"重复","唯一")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IF(COUNTIF($R$6:$R$880,R100)&gt;1,"重复","唯一")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IF(COUNTIF($R$6:$R$880,R101)&gt;1,"重复","唯一")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IF(COUNTIF($R$6:$R$880,R102)&gt;1,"重复","唯一")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IF(COUNTIF($R$6:$R$880,R103)&gt;1,"重复","唯一")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IF(COUNTIF($R$6:$R$880,R104)&gt;1,"重复","唯一")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IF(COUNTIF($R$6:$R$880,R105)&gt;1,"重复","唯一")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IF(COUNTIF($R$6:$R$880,R106)&gt;1,"重复","唯一")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IF(COUNTIF($R$6:$R$880,R107)&gt;1,"重复","唯一")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IF(COUNTIF($R$6:$R$880,R108)&gt;1,"重复","唯一")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IF(COUNTIF($R$6:$R$880,R109)&gt;1,"重复","唯一")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IF(COUNTIF($R$6:$R$880,R110)&gt;1,"重复","唯一")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IF(COUNTIF($R$6:$R$880,R111)&gt;1,"重复","唯一")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IF(COUNTIF($R$6:$R$880,R112)&gt;1,"重复","唯一")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IF(COUNTIF($R$6:$R$880,R113)&gt;1,"重复","唯一")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IF(COUNTIF($R$6:$R$880,R114)&gt;1,"重复","唯一")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IF(COUNTIF($R$6:$R$880,R115)&gt;1,"重复","唯一")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IF(COUNTIF($R$6:$R$880,R116)&gt;1,"重复","唯一")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IF(COUNTIF($R$6:$R$880,R117)&gt;1,"重复","唯一")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IF(COUNTIF($R$6:$R$880,R118)&gt;1,"重复","唯一")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IF(COUNTIF($R$6:$R$880,R119)&gt;1,"重复","唯一")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IF(COUNTIF($R$6:$R$880,R120)&gt;1,"重复","唯一")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IF(COUNTIF($R$6:$R$880,R121)&gt;1,"重复","唯一")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IF(COUNTIF($R$6:$R$880,R122)&gt;1,"重复","唯一")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IF(COUNTIF($R$6:$R$880,R123)&gt;1,"重复","唯一")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IF(COUNTIF($R$6:$R$880,R124)&gt;1,"重复","唯一")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IF(COUNTIF($R$6:$R$880,R125)&gt;1,"重复","唯一")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IF(COUNTIF($R$6:$R$880,R126)&gt;1,"重复","唯一")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IF(COUNTIF($R$6:$R$880,R127)&gt;1,"重复","唯一")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IF(COUNTIF($R$6:$R$880,R128)&gt;1,"重复","唯一")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IF(COUNTIF($R$6:$R$880,R129)&gt;1,"重复","唯一")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IF(COUNTIF($R$6:$R$880,R130)&gt;1,"重复","唯一")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IF(COUNTIF($R$6:$R$880,R131)&gt;1,"重复","唯一")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IF(COUNTIF($R$6:$R$880,R132)&gt;1,"重复","唯一")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IF(COUNTIF($R$6:$R$880,R133)&gt;1,"重复","唯一")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IF(COUNTIF($R$6:$R$880,R134)&gt;1,"重复","唯一")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IF(COUNTIF($R$6:$R$880,R135)&gt;1,"重复","唯一")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IF(COUNTIF($R$6:$R$880,R136)&gt;1,"重复","唯一")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IF(COUNTIF($R$6:$R$880,R137)&gt;1,"重复","唯一")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IF(COUNTIF($R$6:$R$880,R138)&gt;1,"重复","唯一")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IF(COUNTIF($R$6:$R$880,R139)&gt;1,"重复","唯一")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IF(COUNTIF($R$6:$R$880,R140)&gt;1,"重复","唯一")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IF(COUNTIF($R$6:$R$880,R141)&gt;1,"重复","唯一")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IF(COUNTIF($R$6:$R$880,R142)&gt;1,"重复","唯一")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IF(COUNTIF($R$6:$R$880,R143)&gt;1,"重复","唯一")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IF(COUNTIF($R$6:$R$880,R144)&gt;1,"重复","唯一")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IF(COUNTIF($R$6:$R$880,R145)&gt;1,"重复","唯一")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IF(COUNTIF($R$6:$R$880,R146)&gt;1,"重复","唯一")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IF(COUNTIF($R$6:$R$880,R147)&gt;1,"重复","唯一")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IF(COUNTIF($R$6:$R$880,R148)&gt;1,"重复","唯一")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IF(COUNTIF($R$6:$R$880,R149)&gt;1,"重复","唯一")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IF(COUNTIF($R$6:$R$880,R150)&gt;1,"重复","唯一")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IF(COUNTIF($R$6:$R$880,R151)&gt;1,"重复","唯一")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IF(COUNTIF($R$6:$R$880,R152)&gt;1,"重复","唯一")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IF(COUNTIF($R$6:$R$880,R153)&gt;1,"重复","唯一")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IF(COUNTIF($R$6:$R$880,R154)&gt;1,"重复","唯一")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IF(COUNTIF($R$6:$R$880,R155)&gt;1,"重复","唯一")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IF(COUNTIF($R$6:$R$880,R156)&gt;1,"重复","唯一")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IF(COUNTIF($R$6:$R$880,R157)&gt;1,"重复","唯一")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IF(COUNTIF($R$6:$R$880,R158)&gt;1,"重复","唯一")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IF(COUNTIF($R$6:$R$880,R159)&gt;1,"重复","唯一")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IF(COUNTIF($R$6:$R$880,R160)&gt;1,"重复","唯一")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IF(COUNTIF($R$6:$R$880,R161)&gt;1,"重复","唯一")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IF(COUNTIF($R$6:$R$880,R162)&gt;1,"重复","唯一")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IF(COUNTIF($R$6:$R$880,R163)&gt;1,"重复","唯一")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IF(COUNTIF($R$6:$R$880,R164)&gt;1,"重复","唯一")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IF(COUNTIF($R$6:$R$880,R165)&gt;1,"重复","唯一")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IF(COUNTIF($R$6:$R$880,R166)&gt;1,"重复","唯一")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IF(COUNTIF($R$6:$R$880,R167)&gt;1,"重复","唯一")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IF(COUNTIF($R$6:$R$880,R168)&gt;1,"重复","唯一")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IF(COUNTIF($R$6:$R$880,R169)&gt;1,"重复","唯一")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IF(COUNTIF($R$6:$R$880,R170)&gt;1,"重复","唯一")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IF(COUNTIF($R$6:$R$880,R171)&gt;1,"重复","唯一")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IF(COUNTIF($R$6:$R$880,R172)&gt;1,"重复","唯一")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IF(COUNTIF($R$6:$R$880,R173)&gt;1,"重复","唯一")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IF(COUNTIF($R$6:$R$880,R174)&gt;1,"重复","唯一")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IF(COUNTIF($R$6:$R$880,R175)&gt;1,"重复","唯一")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IF(COUNTIF($R$6:$R$880,R176)&gt;1,"重复","唯一")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IF(COUNTIF($R$6:$R$880,R177)&gt;1,"重复","唯一")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IF(COUNTIF($R$6:$R$880,R178)&gt;1,"重复","唯一")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IF(COUNTIF($R$6:$R$880,R179)&gt;1,"重复","唯一")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IF(COUNTIF($R$6:$R$880,R180)&gt;1,"重复","唯一")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IF(COUNTIF($R$6:$R$880,R181)&gt;1,"重复","唯一")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IF(COUNTIF($R$6:$R$880,R182)&gt;1,"重复","唯一")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IF(COUNTIF($R$6:$R$880,R183)&gt;1,"重复","唯一")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IF(COUNTIF($R$6:$R$880,R184)&gt;1,"重复","唯一")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IF(COUNTIF($R$6:$R$880,R185)&gt;1,"重复","唯一")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IF(COUNTIF($R$6:$R$880,R186)&gt;1,"重复","唯一")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IF(COUNTIF($R$6:$R$880,R187)&gt;1,"重复","唯一")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IF(COUNTIF($R$6:$R$880,R188)&gt;1,"重复","唯一")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IF(COUNTIF($R$6:$R$880,R189)&gt;1,"重复","唯一")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IF(COUNTIF($R$6:$R$880,R190)&gt;1,"重复","唯一")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IF(COUNTIF($R$6:$R$880,R191)&gt;1,"重复","唯一")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IF(COUNTIF($R$6:$R$880,R192)&gt;1,"重复","唯一")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IF(COUNTIF($R$6:$R$880,R193)&gt;1,"重复","唯一")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IF(COUNTIF($R$6:$R$880,R194)&gt;1,"重复","唯一")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IF(COUNTIF($R$6:$R$880,R195)&gt;1,"重复","唯一")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IF(COUNTIF($R$6:$R$880,R196)&gt;1,"重复","唯一")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IF(COUNTIF($R$6:$R$880,R197)&gt;1,"重复","唯一")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IF(COUNTIF($R$6:$R$880,R198)&gt;1,"重复","唯一")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IF(COUNTIF($R$6:$R$880,R199)&gt;1,"重复","唯一")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IF(COUNTIF($R$6:$R$880,R200)&gt;1,"重复","唯一")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IF(COUNTIF($R$6:$R$880,R201)&gt;1,"重复","唯一")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IF(COUNTIF($R$6:$R$880,R202)&gt;1,"重复","唯一")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IF(COUNTIF($R$6:$R$880,R203)&gt;1,"重复","唯一")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IF(COUNTIF($R$6:$R$880,R204)&gt;1,"重复","唯一")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IF(COUNTIF($R$6:$R$880,R205)&gt;1,"重复","唯一")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IF(COUNTIF($R$6:$R$880,R206)&gt;1,"重复","唯一")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IF(COUNTIF($R$6:$R$880,R207)&gt;1,"重复","唯一")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IF(COUNTIF($R$6:$R$880,R208)&gt;1,"重复","唯一")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IF(COUNTIF($R$6:$R$880,R209)&gt;1,"重复","唯一")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IF(COUNTIF($R$6:$R$880,R210)&gt;1,"重复","唯一")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IF(COUNTIF($R$6:$R$880,R211)&gt;1,"重复","唯一")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IF(COUNTIF($R$6:$R$880,R212)&gt;1,"重复","唯一")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IF(COUNTIF($R$6:$R$880,R213)&gt;1,"重复","唯一")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IF(COUNTIF($R$6:$R$880,R214)&gt;1,"重复","唯一")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IF(COUNTIF($R$6:$R$880,R215)&gt;1,"重复","唯一")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IF(COUNTIF($R$6:$R$880,R216)&gt;1,"重复","唯一")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IF(COUNTIF($R$6:$R$880,R217)&gt;1,"重复","唯一")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IF(COUNTIF($R$6:$R$880,R218)&gt;1,"重复","唯一")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IF(COUNTIF($R$6:$R$880,R219)&gt;1,"重复","唯一")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IF(COUNTIF($R$6:$R$880,R220)&gt;1,"重复","唯一")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IF(COUNTIF($R$6:$R$880,R221)&gt;1,"重复","唯一")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IF(COUNTIF($R$6:$R$880,R222)&gt;1,"重复","唯一")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IF(COUNTIF($R$6:$R$880,R223)&gt;1,"重复","唯一")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IF(COUNTIF($R$6:$R$880,R224)&gt;1,"重复","唯一")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IF(COUNTIF($R$6:$R$880,R225)&gt;1,"重复","唯一")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IF(COUNTIF($R$6:$R$880,R226)&gt;1,"重复","唯一")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IF(COUNTIF($R$6:$R$880,R227)&gt;1,"重复","唯一")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IF(COUNTIF($R$6:$R$880,R228)&gt;1,"重复","唯一")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IF(COUNTIF($R$6:$R$880,R229)&gt;1,"重复","唯一")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IF(COUNTIF($R$6:$R$880,R230)&gt;1,"重复","唯一")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IF(COUNTIF($R$6:$R$880,R231)&gt;1,"重复","唯一")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IF(COUNTIF($R$6:$R$880,R232)&gt;1,"重复","唯一")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IF(COUNTIF($R$6:$R$880,R233)&gt;1,"重复","唯一")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IF(COUNTIF($R$6:$R$880,R234)&gt;1,"重复","唯一")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IF(COUNTIF($R$6:$R$880,R235)&gt;1,"重复","唯一")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IF(COUNTIF($R$6:$R$880,R236)&gt;1,"重复","唯一")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IF(COUNTIF($R$6:$R$880,R237)&gt;1,"重复","唯一")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IF(COUNTIF($R$6:$R$880,R238)&gt;1,"重复","唯一")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IF(COUNTIF($R$6:$R$880,R239)&gt;1,"重复","唯一")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IF(COUNTIF($R$6:$R$880,R240)&gt;1,"重复","唯一")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IF(COUNTIF($R$6:$R$880,R241)&gt;1,"重复","唯一")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IF(COUNTIF($R$6:$R$880,R242)&gt;1,"重复","唯一")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IF(COUNTIF($R$6:$R$880,R243)&gt;1,"重复","唯一")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IF(COUNTIF($R$6:$R$880,R244)&gt;1,"重复","唯一")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IF(COUNTIF($R$6:$R$880,R245)&gt;1,"重复","唯一")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IF(COUNTIF($R$6:$R$880,R246)&gt;1,"重复","唯一")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IF(COUNTIF($R$6:$R$880,R247)&gt;1,"重复","唯一")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IF(COUNTIF($R$6:$R$880,R248)&gt;1,"重复","唯一")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IF(COUNTIF($R$6:$R$880,R249)&gt;1,"重复","唯一")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IF(COUNTIF($R$6:$R$880,R250)&gt;1,"重复","唯一")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IF(COUNTIF($R$6:$R$880,R251)&gt;1,"重复","唯一")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IF(COUNTIF($R$6:$R$880,R252)&gt;1,"重复","唯一")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IF(COUNTIF($R$6:$R$880,R253)&gt;1,"重复","唯一")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IF(COUNTIF($R$6:$R$880,R254)&gt;1,"重复","唯一")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IF(COUNTIF($R$6:$R$880,R255)&gt;1,"重复","唯一")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IF(COUNTIF($R$6:$R$880,R256)&gt;1,"重复","唯一")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IF(COUNTIF($R$6:$R$880,R257)&gt;1,"重复","唯一")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IF(COUNTIF($R$6:$R$880,R258)&gt;1,"重复","唯一")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IF(COUNTIF($R$6:$R$880,R259)&gt;1,"重复","唯一")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IF(COUNTIF($R$6:$R$880,R260)&gt;1,"重复","唯一")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IF(COUNTIF($R$6:$R$880,R261)&gt;1,"重复","唯一")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IF(COUNTIF($R$6:$R$880,R262)&gt;1,"重复","唯一")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IF(COUNTIF($R$6:$R$880,R263)&gt;1,"重复","唯一")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IF(COUNTIF($R$6:$R$880,R264)&gt;1,"重复","唯一")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IF(COUNTIF($R$6:$R$880,R265)&gt;1,"重复","唯一")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IF(COUNTIF($R$6:$R$880,R266)&gt;1,"重复","唯一")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IF(COUNTIF($R$6:$R$880,R267)&gt;1,"重复","唯一")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IF(COUNTIF($R$6:$R$880,R268)&gt;1,"重复","唯一")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IF(COUNTIF($R$6:$R$880,R269)&gt;1,"重复","唯一")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IF(COUNTIF($R$6:$R$880,R270)&gt;1,"重复","唯一")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IF(COUNTIF($R$6:$R$880,R271)&gt;1,"重复","唯一")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IF(COUNTIF($R$6:$R$880,R272)&gt;1,"重复","唯一")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IF(COUNTIF($R$6:$R$880,R273)&gt;1,"重复","唯一")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IF(COUNTIF($R$6:$R$880,R274)&gt;1,"重复","唯一")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IF(COUNTIF($R$6:$R$880,R275)&gt;1,"重复","唯一")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IF(COUNTIF($R$6:$R$880,R276)&gt;1,"重复","唯一")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IF(COUNTIF($R$6:$R$880,R277)&gt;1,"重复","唯一")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IF(COUNTIF($R$6:$R$880,R278)&gt;1,"重复","唯一")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IF(COUNTIF($R$6:$R$880,R279)&gt;1,"重复","唯一")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IF(COUNTIF($R$6:$R$880,R280)&gt;1,"重复","唯一")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IF(COUNTIF($R$6:$R$880,R281)&gt;1,"重复","唯一")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IF(COUNTIF($R$6:$R$880,R282)&gt;1,"重复","唯一")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IF(COUNTIF($R$6:$R$880,R283)&gt;1,"重复","唯一")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IF(COUNTIF($R$6:$R$880,R284)&gt;1,"重复","唯一")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IF(COUNTIF($R$6:$R$880,R285)&gt;1,"重复","唯一")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IF(COUNTIF($R$6:$R$880,R286)&gt;1,"重复","唯一")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IF(COUNTIF($R$6:$R$880,R287)&gt;1,"重复","唯一")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IF(COUNTIF($R$6:$R$880,R288)&gt;1,"重复","唯一")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IF(COUNTIF($R$6:$R$880,R289)&gt;1,"重复","唯一")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IF(COUNTIF($R$6:$R$880,R290)&gt;1,"重复","唯一")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IF(COUNTIF($R$6:$R$880,R291)&gt;1,"重复","唯一")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IF(COUNTIF($R$6:$R$880,R292)&gt;1,"重复","唯一")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IF(COUNTIF($R$6:$R$880,R293)&gt;1,"重复","唯一")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IF(COUNTIF($R$6:$R$880,R294)&gt;1,"重复","唯一")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IF(COUNTIF($R$6:$R$880,R295)&gt;1,"重复","唯一")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IF(COUNTIF($R$6:$R$880,R296)&gt;1,"重复","唯一")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IF(COUNTIF($R$6:$R$880,R297)&gt;1,"重复","唯一")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IF(COUNTIF($R$6:$R$880,R298)&gt;1,"重复","唯一")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IF(COUNTIF($R$6:$R$880,R299)&gt;1,"重复","唯一")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IF(COUNTIF($R$6:$R$880,R300)&gt;1,"重复","唯一")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IF(COUNTIF($R$6:$R$880,R301)&gt;1,"重复","唯一")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IF(COUNTIF($R$6:$R$880,R302)&gt;1,"重复","唯一")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IF(COUNTIF($R$6:$R$880,R303)&gt;1,"重复","唯一")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IF(COUNTIF($R$6:$R$880,R304)&gt;1,"重复","唯一")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IF(COUNTIF($R$6:$R$880,R305)&gt;1,"重复","唯一")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IF(COUNTIF($R$6:$R$880,R306)&gt;1,"重复","唯一")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IF(COUNTIF($R$6:$R$880,R307)&gt;1,"重复","唯一")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IF(COUNTIF($R$6:$R$880,R308)&gt;1,"重复","唯一")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IF(COUNTIF($R$6:$R$880,R309)&gt;1,"重复","唯一")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IF(COUNTIF($R$6:$R$880,R310)&gt;1,"重复","唯一")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IF(COUNTIF($R$6:$R$880,R311)&gt;1,"重复","唯一")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IF(COUNTIF($R$6:$R$880,R312)&gt;1,"重复","唯一")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IF(COUNTIF($R$6:$R$880,R313)&gt;1,"重复","唯一")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IF(COUNTIF($R$6:$R$880,R314)&gt;1,"重复","唯一")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IF(COUNTIF($R$6:$R$880,R315)&gt;1,"重复","唯一")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IF(COUNTIF($R$6:$R$880,R316)&gt;1,"重复","唯一")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IF(COUNTIF($R$6:$R$880,R317)&gt;1,"重复","唯一")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IF(COUNTIF($R$6:$R$880,R318)&gt;1,"重复","唯一")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IF(COUNTIF($R$6:$R$880,R319)&gt;1,"重复","唯一")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IF(COUNTIF($R$6:$R$880,R320)&gt;1,"重复","唯一")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IF(COUNTIF($R$6:$R$880,R321)&gt;1,"重复","唯一")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IF(COUNTIF($R$6:$R$880,R322)&gt;1,"重复","唯一")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IF(COUNTIF($R$6:$R$880,R323)&gt;1,"重复","唯一")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IF(COUNTIF($R$6:$R$880,R324)&gt;1,"重复","唯一")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IF(COUNTIF($R$6:$R$880,R325)&gt;1,"重复","唯一")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IF(COUNTIF($R$6:$R$880,R326)&gt;1,"重复","唯一")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IF(COUNTIF($R$6:$R$880,R327)&gt;1,"重复","唯一")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IF(COUNTIF($R$6:$R$880,R328)&gt;1,"重复","唯一")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IF(COUNTIF($R$6:$R$880,R329)&gt;1,"重复","唯一")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IF(COUNTIF($R$6:$R$880,R330)&gt;1,"重复","唯一")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IF(COUNTIF($R$6:$R$880,R331)&gt;1,"重复","唯一")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IF(COUNTIF($R$6:$R$880,R332)&gt;1,"重复","唯一")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IF(COUNTIF($R$6:$R$880,R333)&gt;1,"重复","唯一")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IF(COUNTIF($R$6:$R$880,R334)&gt;1,"重复","唯一")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IF(COUNTIF($R$6:$R$880,R335)&gt;1,"重复","唯一")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IF(COUNTIF($R$6:$R$880,R336)&gt;1,"重复","唯一")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IF(COUNTIF($R$6:$R$880,R337)&gt;1,"重复","唯一")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IF(COUNTIF($R$6:$R$880,R338)&gt;1,"重复","唯一")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IF(COUNTIF($R$6:$R$880,R339)&gt;1,"重复","唯一")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IF(COUNTIF($R$6:$R$880,R340)&gt;1,"重复","唯一")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IF(COUNTIF($R$6:$R$880,R341)&gt;1,"重复","唯一")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IF(COUNTIF($R$6:$R$880,R342)&gt;1,"重复","唯一")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IF(COUNTIF($R$6:$R$880,R343)&gt;1,"重复","唯一")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IF(COUNTIF($R$6:$R$880,R344)&gt;1,"重复","唯一")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IF(COUNTIF($R$6:$R$880,R345)&gt;1,"重复","唯一")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IF(COUNTIF($R$6:$R$880,R346)&gt;1,"重复","唯一")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IF(COUNTIF($R$6:$R$880,R347)&gt;1,"重复","唯一")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IF(COUNTIF($R$6:$R$880,R348)&gt;1,"重复","唯一")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IF(COUNTIF($R$6:$R$880,R349)&gt;1,"重复","唯一")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IF(COUNTIF($R$6:$R$880,R350)&gt;1,"重复","唯一")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IF(COUNTIF($R$6:$R$880,R351)&gt;1,"重复","唯一")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IF(COUNTIF($R$6:$R$880,R352)&gt;1,"重复","唯一")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IF(COUNTIF($R$6:$R$880,R353)&gt;1,"重复","唯一")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IF(COUNTIF($R$6:$R$880,R354)&gt;1,"重复","唯一")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IF(COUNTIF($R$6:$R$880,R355)&gt;1,"重复","唯一")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IF(COUNTIF($R$6:$R$880,R356)&gt;1,"重复","唯一")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IF(COUNTIF($R$6:$R$880,R357)&gt;1,"重复","唯一")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IF(COUNTIF($R$6:$R$880,R358)&gt;1,"重复","唯一")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IF(COUNTIF($R$6:$R$880,R359)&gt;1,"重复","唯一")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IF(COUNTIF($R$6:$R$880,R360)&gt;1,"重复","唯一")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IF(COUNTIF($R$6:$R$880,R361)&gt;1,"重复","唯一")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IF(COUNTIF($R$6:$R$880,R362)&gt;1,"重复","唯一")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IF(COUNTIF($R$6:$R$880,R363)&gt;1,"重复","唯一")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IF(COUNTIF($R$6:$R$880,R364)&gt;1,"重复","唯一")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IF(COUNTIF($R$6:$R$880,R365)&gt;1,"重复","唯一")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IF(COUNTIF($R$6:$R$880,R366)&gt;1,"重复","唯一")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IF(COUNTIF($R$6:$R$880,R367)&gt;1,"重复","唯一")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IF(COUNTIF($R$6:$R$880,R368)&gt;1,"重复","唯一")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IF(COUNTIF($R$6:$R$880,R369)&gt;1,"重复","唯一")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IF(COUNTIF($R$6:$R$880,R370)&gt;1,"重复","唯一")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IF(COUNTIF($R$6:$R$880,R371)&gt;1,"重复","唯一")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IF(COUNTIF($R$6:$R$880,R372)&gt;1,"重复","唯一")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IF(COUNTIF($R$6:$R$880,R373)&gt;1,"重复","唯一")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IF(COUNTIF($R$6:$R$880,R374)&gt;1,"重复","唯一")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IF(COUNTIF($R$6:$R$880,R375)&gt;1,"重复","唯一")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IF(COUNTIF($R$6:$R$880,R376)&gt;1,"重复","唯一")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IF(COUNTIF($R$6:$R$880,R377)&gt;1,"重复","唯一")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IF(COUNTIF($R$6:$R$880,R378)&gt;1,"重复","唯一")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IF(COUNTIF($R$6:$R$880,R379)&gt;1,"重复","唯一")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IF(COUNTIF($R$6:$R$880,R380)&gt;1,"重复","唯一")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IF(COUNTIF($R$6:$R$880,R381)&gt;1,"重复","唯一")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IF(COUNTIF($R$6:$R$880,R382)&gt;1,"重复","唯一")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IF(COUNTIF($R$6:$R$880,R383)&gt;1,"重复","唯一")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IF(COUNTIF($R$6:$R$880,R384)&gt;1,"重复","唯一")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IF(COUNTIF($R$6:$R$880,R385)&gt;1,"重复","唯一")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IF(COUNTIF($R$6:$R$880,R386)&gt;1,"重复","唯一")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IF(COUNTIF($R$6:$R$880,R387)&gt;1,"重复","唯一")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IF(COUNTIF($R$6:$R$880,R388)&gt;1,"重复","唯一")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IF(COUNTIF($R$6:$R$880,R389)&gt;1,"重复","唯一")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IF(COUNTIF($R$6:$R$880,R390)&gt;1,"重复","唯一")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IF(COUNTIF($R$6:$R$880,R391)&gt;1,"重复","唯一")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IF(COUNTIF($R$6:$R$880,R392)&gt;1,"重复","唯一")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IF(COUNTIF($R$6:$R$880,R393)&gt;1,"重复","唯一")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IF(COUNTIF($R$6:$R$880,R394)&gt;1,"重复","唯一")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IF(COUNTIF($R$6:$R$880,R395)&gt;1,"重复","唯一")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IF(COUNTIF($R$6:$R$880,R396)&gt;1,"重复","唯一")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IF(COUNTIF($R$6:$R$880,R397)&gt;1,"重复","唯一")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IF(COUNTIF($R$6:$R$880,R398)&gt;1,"重复","唯一")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IF(COUNTIF($R$6:$R$880,R399)&gt;1,"重复","唯一")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IF(COUNTIF($R$6:$R$880,R400)&gt;1,"重复","唯一")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IF(COUNTIF($R$6:$R$880,R401)&gt;1,"重复","唯一")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IF(COUNTIF($R$6:$R$880,R402)&gt;1,"重复","唯一")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IF(COUNTIF($R$6:$R$880,R403)&gt;1,"重复","唯一")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IF(COUNTIF($R$6:$R$880,R404)&gt;1,"重复","唯一")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IF(COUNTIF($R$6:$R$880,R405)&gt;1,"重复","唯一")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IF(COUNTIF($R$6:$R$880,R406)&gt;1,"重复","唯一")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IF(COUNTIF($R$6:$R$880,R407)&gt;1,"重复","唯一")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IF(COUNTIF($R$6:$R$880,R408)&gt;1,"重复","唯一")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IF(COUNTIF($R$6:$R$880,R409)&gt;1,"重复","唯一")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IF(COUNTIF($R$6:$R$880,R410)&gt;1,"重复","唯一")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IF(COUNTIF($R$6:$R$880,R411)&gt;1,"重复","唯一")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IF(COUNTIF($R$6:$R$880,R412)&gt;1,"重复","唯一")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IF(COUNTIF($R$6:$R$880,R413)&gt;1,"重复","唯一")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IF(COUNTIF($R$6:$R$880,R414)&gt;1,"重复","唯一")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IF(COUNTIF($R$6:$R$880,R415)&gt;1,"重复","唯一")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IF(COUNTIF($R$6:$R$880,R416)&gt;1,"重复","唯一")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IF(COUNTIF($R$6:$R$880,R417)&gt;1,"重复","唯一")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IF(COUNTIF($R$6:$R$880,R418)&gt;1,"重复","唯一")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IF(COUNTIF($R$6:$R$880,R419)&gt;1,"重复","唯一")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IF(COUNTIF($R$6:$R$880,R420)&gt;1,"重复","唯一")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IF(COUNTIF($R$6:$R$880,R421)&gt;1,"重复","唯一")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IF(COUNTIF($R$6:$R$880,R422)&gt;1,"重复","唯一")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IF(COUNTIF($R$6:$R$880,R423)&gt;1,"重复","唯一")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IF(COUNTIF($R$6:$R$880,R424)&gt;1,"重复","唯一")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IF(COUNTIF($R$6:$R$880,R425)&gt;1,"重复","唯一")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IF(COUNTIF($R$6:$R$880,R426)&gt;1,"重复","唯一")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IF(COUNTIF($R$6:$R$880,R427)&gt;1,"重复","唯一")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IF(COUNTIF($R$6:$R$880,R428)&gt;1,"重复","唯一")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IF(COUNTIF($R$6:$R$880,R429)&gt;1,"重复","唯一")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IF(COUNTIF($R$6:$R$880,R430)&gt;1,"重复","唯一")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IF(COUNTIF($R$6:$R$880,R431)&gt;1,"重复","唯一")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IF(COUNTIF($R$6:$R$880,R432)&gt;1,"重复","唯一")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IF(COUNTIF($R$6:$R$880,R433)&gt;1,"重复","唯一")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IF(COUNTIF($R$6:$R$880,R434)&gt;1,"重复","唯一")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IF(COUNTIF($R$6:$R$880,R435)&gt;1,"重复","唯一")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IF(COUNTIF($R$6:$R$880,R436)&gt;1,"重复","唯一")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IF(COUNTIF($R$6:$R$880,R437)&gt;1,"重复","唯一")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IF(COUNTIF($R$6:$R$880,R438)&gt;1,"重复","唯一")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IF(COUNTIF($R$6:$R$880,R439)&gt;1,"重复","唯一")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IF(COUNTIF($R$6:$R$880,R440)&gt;1,"重复","唯一")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IF(COUNTIF($R$6:$R$880,R441)&gt;1,"重复","唯一")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IF(COUNTIF($R$6:$R$880,R442)&gt;1,"重复","唯一")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IF(COUNTIF($R$6:$R$880,R443)&gt;1,"重复","唯一")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IF(COUNTIF($R$6:$R$880,R444)&gt;1,"重复","唯一")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IF(COUNTIF($R$6:$R$880,R445)&gt;1,"重复","唯一")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IF(COUNTIF($R$6:$R$880,R446)&gt;1,"重复","唯一")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IF(COUNTIF($R$6:$R$880,R447)&gt;1,"重复","唯一")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IF(COUNTIF($R$6:$R$880,R448)&gt;1,"重复","唯一")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IF(COUNTIF($R$6:$R$880,R449)&gt;1,"重复","唯一")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IF(COUNTIF($R$6:$R$880,R450)&gt;1,"重复","唯一")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IF(COUNTIF($R$6:$R$880,R451)&gt;1,"重复","唯一")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IF(COUNTIF($R$6:$R$880,R452)&gt;1,"重复","唯一")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IF(COUNTIF($R$6:$R$880,R453)&gt;1,"重复","唯一")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IF(COUNTIF($R$6:$R$880,R454)&gt;1,"重复","唯一")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IF(COUNTIF($R$6:$R$880,R455)&gt;1,"重复","唯一")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IF(COUNTIF($R$6:$R$880,R456)&gt;1,"重复","唯一")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IF(COUNTIF($R$6:$R$880,R457)&gt;1,"重复","唯一")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IF(COUNTIF($R$6:$R$880,R458)&gt;1,"重复","唯一")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IF(COUNTIF($R$6:$R$880,R459)&gt;1,"重复","唯一")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IF(COUNTIF($R$6:$R$880,R460)&gt;1,"重复","唯一")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IF(COUNTIF($R$6:$R$880,R461)&gt;1,"重复","唯一")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IF(COUNTIF($R$6:$R$880,R462)&gt;1,"重复","唯一")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IF(COUNTIF($R$6:$R$880,R463)&gt;1,"重复","唯一")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IF(COUNTIF($R$6:$R$880,R464)&gt;1,"重复","唯一")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IF(COUNTIF($R$6:$R$880,R465)&gt;1,"重复","唯一")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IF(COUNTIF($R$6:$R$880,R466)&gt;1,"重复","唯一")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IF(COUNTIF($R$6:$R$880,R467)&gt;1,"重复","唯一")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IF(COUNTIF($R$6:$R$880,R468)&gt;1,"重复","唯一")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IF(COUNTIF($R$6:$R$880,R469)&gt;1,"重复","唯一")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IF(COUNTIF($R$6:$R$880,R470)&gt;1,"重复","唯一")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IF(COUNTIF($R$6:$R$880,R471)&gt;1,"重复","唯一")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IF(COUNTIF($R$6:$R$880,R472)&gt;1,"重复","唯一")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IF(COUNTIF($R$6:$R$880,R473)&gt;1,"重复","唯一")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IF(COUNTIF($R$6:$R$880,R474)&gt;1,"重复","唯一")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IF(COUNTIF($R$6:$R$880,R475)&gt;1,"重复","唯一")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IF(COUNTIF($R$6:$R$880,R476)&gt;1,"重复","唯一")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IF(COUNTIF($R$6:$R$880,R477)&gt;1,"重复","唯一")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IF(COUNTIF($R$6:$R$880,R478)&gt;1,"重复","唯一")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IF(COUNTIF($R$6:$R$880,R479)&gt;1,"重复","唯一")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IF(COUNTIF($R$6:$R$880,R480)&gt;1,"重复","唯一")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IF(COUNTIF($R$6:$R$880,R481)&gt;1,"重复","唯一")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IF(COUNTIF($R$6:$R$880,R482)&gt;1,"重复","唯一")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IF(COUNTIF($R$6:$R$880,R483)&gt;1,"重复","唯一")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IF(COUNTIF($R$6:$R$880,R484)&gt;1,"重复","唯一")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IF(COUNTIF($R$6:$R$880,R485)&gt;1,"重复","唯一")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IF(COUNTIF($R$6:$R$880,R486)&gt;1,"重复","唯一")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IF(COUNTIF($R$6:$R$880,R487)&gt;1,"重复","唯一")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IF(COUNTIF($R$6:$R$880,R488)&gt;1,"重复","唯一")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IF(COUNTIF($R$6:$R$880,R489)&gt;1,"重复","唯一")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IF(COUNTIF($R$6:$R$880,R490)&gt;1,"重复","唯一")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IF(COUNTIF($R$6:$R$880,R491)&gt;1,"重复","唯一")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IF(COUNTIF($R$6:$R$880,R492)&gt;1,"重复","唯一")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IF(COUNTIF($R$6:$R$880,R493)&gt;1,"重复","唯一")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IF(COUNTIF($R$6:$R$880,R494)&gt;1,"重复","唯一")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IF(COUNTIF($R$6:$R$880,R495)&gt;1,"重复","唯一")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IF(COUNTIF($R$6:$R$880,R496)&gt;1,"重复","唯一")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IF(COUNTIF($R$6:$R$880,R497)&gt;1,"重复","唯一")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IF(COUNTIF($R$6:$R$880,R498)&gt;1,"重复","唯一")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IF(COUNTIF($R$6:$R$880,R499)&gt;1,"重复","唯一")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IF(COUNTIF($R$6:$R$880,R500)&gt;1,"重复","唯一")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IF(COUNTIF($R$6:$R$880,R501)&gt;1,"重复","唯一")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IF(COUNTIF($R$6:$R$880,R502)&gt;1,"重复","唯一")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IF(COUNTIF($R$6:$R$880,R503)&gt;1,"重复","唯一")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IF(COUNTIF($R$6:$R$880,R504)&gt;1,"重复","唯一")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IF(COUNTIF($R$6:$R$880,R505)&gt;1,"重复","唯一")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IF(COUNTIF($R$6:$R$880,R506)&gt;1,"重复","唯一")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IF(COUNTIF($R$6:$R$880,R507)&gt;1,"重复","唯一")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IF(COUNTIF($R$6:$R$880,R508)&gt;1,"重复","唯一")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IF(COUNTIF($R$6:$R$880,R509)&gt;1,"重复","唯一")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IF(COUNTIF($R$6:$R$880,R510)&gt;1,"重复","唯一")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IF(COUNTIF($R$6:$R$880,R511)&gt;1,"重复","唯一")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IF(COUNTIF($R$6:$R$880,R512)&gt;1,"重复","唯一")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IF(COUNTIF($R$6:$R$880,R513)&gt;1,"重复","唯一")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IF(COUNTIF($R$6:$R$880,R514)&gt;1,"重复","唯一")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IF(COUNTIF($R$6:$R$880,R515)&gt;1,"重复","唯一")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IF(COUNTIF($R$6:$R$880,R516)&gt;1,"重复","唯一")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IF(COUNTIF($R$6:$R$880,R517)&gt;1,"重复","唯一")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IF(COUNTIF($R$6:$R$880,R518)&gt;1,"重复","唯一")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IF(COUNTIF($R$6:$R$880,R519)&gt;1,"重复","唯一")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IF(COUNTIF($R$6:$R$880,R520)&gt;1,"重复","唯一")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IF(COUNTIF($R$6:$R$880,R521)&gt;1,"重复","唯一")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IF(COUNTIF($R$6:$R$880,R522)&gt;1,"重复","唯一")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IF(COUNTIF($R$6:$R$880,R523)&gt;1,"重复","唯一")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IF(COUNTIF($R$6:$R$880,R524)&gt;1,"重复","唯一")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IF(COUNTIF($R$6:$R$880,R525)&gt;1,"重复","唯一")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IF(COUNTIF($R$6:$R$880,R526)&gt;1,"重复","唯一")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IF(COUNTIF($R$6:$R$880,R527)&gt;1,"重复","唯一")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IF(COUNTIF($R$6:$R$880,R528)&gt;1,"重复","唯一")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IF(COUNTIF($R$6:$R$880,R529)&gt;1,"重复","唯一")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IF(COUNTIF($R$6:$R$880,R530)&gt;1,"重复","唯一")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IF(COUNTIF($R$6:$R$880,R531)&gt;1,"重复","唯一")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IF(COUNTIF($R$6:$R$880,R532)&gt;1,"重复","唯一")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IF(COUNTIF($R$6:$R$880,R533)&gt;1,"重复","唯一")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IF(COUNTIF($R$6:$R$880,R534)&gt;1,"重复","唯一")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IF(COUNTIF($R$6:$R$880,R535)&gt;1,"重复","唯一")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IF(COUNTIF($R$6:$R$880,R536)&gt;1,"重复","唯一")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IF(COUNTIF($R$6:$R$880,R537)&gt;1,"重复","唯一")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IF(COUNTIF($R$6:$R$880,R538)&gt;1,"重复","唯一")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IF(COUNTIF($R$6:$R$880,R539)&gt;1,"重复","唯一")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IF(COUNTIF($R$6:$R$880,R540)&gt;1,"重复","唯一")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IF(COUNTIF($R$6:$R$880,R541)&gt;1,"重复","唯一")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IF(COUNTIF($R$6:$R$880,R542)&gt;1,"重复","唯一")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IF(COUNTIF($R$6:$R$880,R543)&gt;1,"重复","唯一")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IF(COUNTIF($R$6:$R$880,R544)&gt;1,"重复","唯一")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IF(COUNTIF($R$6:$R$880,R545)&gt;1,"重复","唯一")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IF(COUNTIF($R$6:$R$880,R546)&gt;1,"重复","唯一")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IF(COUNTIF($R$6:$R$880,R547)&gt;1,"重复","唯一")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IF(COUNTIF($R$6:$R$880,R548)&gt;1,"重复","唯一")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IF(COUNTIF($R$6:$R$880,R549)&gt;1,"重复","唯一")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IF(COUNTIF($R$6:$R$880,R550)&gt;1,"重复","唯一")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IF(COUNTIF($R$6:$R$880,R551)&gt;1,"重复","唯一")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IF(COUNTIF($R$6:$R$880,R552)&gt;1,"重复","唯一")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IF(COUNTIF($R$6:$R$880,R553)&gt;1,"重复","唯一")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IF(COUNTIF($R$6:$R$880,R554)&gt;1,"重复","唯一")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IF(COUNTIF($R$6:$R$880,R555)&gt;1,"重复","唯一")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IF(COUNTIF($R$6:$R$880,R556)&gt;1,"重复","唯一")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IF(COUNTIF($R$6:$R$880,R557)&gt;1,"重复","唯一")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IF(COUNTIF($R$6:$R$880,R558)&gt;1,"重复","唯一")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IF(COUNTIF($R$6:$R$880,R559)&gt;1,"重复","唯一")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IF(COUNTIF($R$6:$R$880,R560)&gt;1,"重复","唯一")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IF(COUNTIF($R$6:$R$880,R561)&gt;1,"重复","唯一")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IF(COUNTIF($R$6:$R$880,R562)&gt;1,"重复","唯一")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IF(COUNTIF($R$6:$R$880,R563)&gt;1,"重复","唯一")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IF(COUNTIF($R$6:$R$880,R564)&gt;1,"重复","唯一")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IF(COUNTIF($R$6:$R$880,R565)&gt;1,"重复","唯一")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IF(COUNTIF($R$6:$R$880,R566)&gt;1,"重复","唯一")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IF(COUNTIF($R$6:$R$880,R567)&gt;1,"重复","唯一")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IF(COUNTIF($R$6:$R$880,R568)&gt;1,"重复","唯一")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IF(COUNTIF($R$6:$R$880,R569)&gt;1,"重复","唯一")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IF(COUNTIF($R$6:$R$880,R570)&gt;1,"重复","唯一")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IF(COUNTIF($R$6:$R$880,R571)&gt;1,"重复","唯一")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IF(COUNTIF($R$6:$R$880,R572)&gt;1,"重复","唯一")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IF(COUNTIF($R$6:$R$880,R573)&gt;1,"重复","唯一")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IF(COUNTIF($R$6:$R$880,R574)&gt;1,"重复","唯一")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IF(COUNTIF($R$6:$R$880,R575)&gt;1,"重复","唯一")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IF(COUNTIF($R$6:$R$880,R576)&gt;1,"重复","唯一")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IF(COUNTIF($R$6:$R$880,R577)&gt;1,"重复","唯一")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IF(COUNTIF($R$6:$R$880,R578)&gt;1,"重复","唯一")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IF(COUNTIF($R$6:$R$880,R579)&gt;1,"重复","唯一")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IF(COUNTIF($R$6:$R$880,R580)&gt;1,"重复","唯一")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IF(COUNTIF($R$6:$R$880,R581)&gt;1,"重复","唯一")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IF(COUNTIF($R$6:$R$880,R582)&gt;1,"重复","唯一")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IF(COUNTIF($R$6:$R$880,R583)&gt;1,"重复","唯一")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IF(COUNTIF($R$6:$R$880,R584)&gt;1,"重复","唯一")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IF(COUNTIF($R$6:$R$880,R585)&gt;1,"重复","唯一")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IF(COUNTIF($R$6:$R$880,R586)&gt;1,"重复","唯一")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IF(COUNTIF($R$6:$R$880,R587)&gt;1,"重复","唯一")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IF(COUNTIF($R$6:$R$880,R588)&gt;1,"重复","唯一")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IF(COUNTIF($R$6:$R$880,R589)&gt;1,"重复","唯一")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IF(COUNTIF($R$6:$R$880,R590)&gt;1,"重复","唯一")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IF(COUNTIF($R$6:$R$880,R591)&gt;1,"重复","唯一")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IF(COUNTIF($R$6:$R$880,R592)&gt;1,"重复","唯一")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IF(COUNTIF($R$6:$R$880,R593)&gt;1,"重复","唯一")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IF(COUNTIF($R$6:$R$880,R594)&gt;1,"重复","唯一")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IF(COUNTIF($R$6:$R$880,R595)&gt;1,"重复","唯一")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IF(COUNTIF($R$6:$R$880,R596)&gt;1,"重复","唯一")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IF(COUNTIF($R$6:$R$880,R597)&gt;1,"重复","唯一")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IF(COUNTIF($R$6:$R$880,R598)&gt;1,"重复","唯一")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IF(COUNTIF($R$6:$R$880,R599)&gt;1,"重复","唯一")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IF(COUNTIF($R$6:$R$880,R600)&gt;1,"重复","唯一")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IF(COUNTIF($R$6:$R$880,R601)&gt;1,"重复","唯一")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IF(COUNTIF($R$6:$R$880,R602)&gt;1,"重复","唯一")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IF(COUNTIF($R$6:$R$880,R603)&gt;1,"重复","唯一")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IF(COUNTIF($R$6:$R$880,R604)&gt;1,"重复","唯一")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IF(COUNTIF($R$6:$R$880,R605)&gt;1,"重复","唯一")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IF(COUNTIF($R$6:$R$880,R606)&gt;1,"重复","唯一")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IF(COUNTIF($R$6:$R$880,R607)&gt;1,"重复","唯一")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IF(COUNTIF($R$6:$R$880,R608)&gt;1,"重复","唯一")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IF(COUNTIF($R$6:$R$880,R609)&gt;1,"重复","唯一")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IF(COUNTIF($R$6:$R$880,R610)&gt;1,"重复","唯一")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IF(COUNTIF($R$6:$R$880,R611)&gt;1,"重复","唯一")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IF(COUNTIF($R$6:$R$880,R612)&gt;1,"重复","唯一")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IF(COUNTIF($R$6:$R$880,R613)&gt;1,"重复","唯一")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IF(COUNTIF($R$6:$R$880,R614)&gt;1,"重复","唯一")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IF(COUNTIF($R$6:$R$880,R615)&gt;1,"重复","唯一")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IF(COUNTIF($R$6:$R$880,R616)&gt;1,"重复","唯一")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IF(COUNTIF($R$6:$R$880,R617)&gt;1,"重复","唯一")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IF(COUNTIF($R$6:$R$880,R618)&gt;1,"重复","唯一")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IF(COUNTIF($R$6:$R$880,R619)&gt;1,"重复","唯一")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IF(COUNTIF($R$6:$R$880,R620)&gt;1,"重复","唯一")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IF(COUNTIF($R$6:$R$880,R621)&gt;1,"重复","唯一")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IF(COUNTIF($R$6:$R$880,R622)&gt;1,"重复","唯一")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IF(COUNTIF($R$6:$R$880,R623)&gt;1,"重复","唯一")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IF(COUNTIF($R$6:$R$880,R624)&gt;1,"重复","唯一")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IF(COUNTIF($R$6:$R$880,R625)&gt;1,"重复","唯一")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IF(COUNTIF($R$6:$R$880,R626)&gt;1,"重复","唯一")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IF(COUNTIF($R$6:$R$880,R627)&gt;1,"重复","唯一")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IF(COUNTIF($R$6:$R$880,R628)&gt;1,"重复","唯一")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IF(COUNTIF($R$6:$R$880,R629)&gt;1,"重复","唯一")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IF(COUNTIF($R$6:$R$880,R630)&gt;1,"重复","唯一")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IF(COUNTIF($R$6:$R$880,R631)&gt;1,"重复","唯一")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IF(COUNTIF($R$6:$R$880,R632)&gt;1,"重复","唯一")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IF(COUNTIF($R$6:$R$880,R633)&gt;1,"重复","唯一")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IF(COUNTIF($R$6:$R$880,R634)&gt;1,"重复","唯一")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IF(COUNTIF($R$6:$R$880,R635)&gt;1,"重复","唯一")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IF(COUNTIF($R$6:$R$880,R636)&gt;1,"重复","唯一")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IF(COUNTIF($R$6:$R$880,R637)&gt;1,"重复","唯一")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IF(COUNTIF($R$6:$R$880,R638)&gt;1,"重复","唯一")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IF(COUNTIF($R$6:$R$880,R639)&gt;1,"重复","唯一")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IF(COUNTIF($R$6:$R$880,R640)&gt;1,"重复","唯一")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IF(COUNTIF($R$6:$R$880,R641)&gt;1,"重复","唯一")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IF(COUNTIF($R$6:$R$880,R642)&gt;1,"重复","唯一")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IF(COUNTIF($R$6:$R$880,R643)&gt;1,"重复","唯一")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IF(COUNTIF($R$6:$R$880,R644)&gt;1,"重复","唯一")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IF(COUNTIF($R$6:$R$880,R645)&gt;1,"重复","唯一")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IF(COUNTIF($R$6:$R$880,R646)&gt;1,"重复","唯一")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IF(COUNTIF($R$6:$R$880,R647)&gt;1,"重复","唯一")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IF(COUNTIF($R$6:$R$880,R648)&gt;1,"重复","唯一")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IF(COUNTIF($R$6:$R$880,R649)&gt;1,"重复","唯一")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IF(COUNTIF($R$6:$R$880,R650)&gt;1,"重复","唯一")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IF(COUNTIF($R$6:$R$880,R651)&gt;1,"重复","唯一")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IF(COUNTIF($R$6:$R$880,R652)&gt;1,"重复","唯一")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IF(COUNTIF($R$6:$R$880,R653)&gt;1,"重复","唯一")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IF(COUNTIF($R$6:$R$880,R654)&gt;1,"重复","唯一")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IF(COUNTIF($R$6:$R$880,R655)&gt;1,"重复","唯一")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IF(COUNTIF($R$6:$R$880,R656)&gt;1,"重复","唯一")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IF(COUNTIF($R$6:$R$880,R657)&gt;1,"重复","唯一")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IF(COUNTIF($R$6:$R$880,R658)&gt;1,"重复","唯一")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IF(COUNTIF($R$6:$R$880,R659)&gt;1,"重复","唯一")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IF(COUNTIF($R$6:$R$880,R660)&gt;1,"重复","唯一")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IF(COUNTIF($R$6:$R$880,R661)&gt;1,"重复","唯一")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IF(COUNTIF($R$6:$R$880,R662)&gt;1,"重复","唯一")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IF(COUNTIF($R$6:$R$880,R663)&gt;1,"重复","唯一")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IF(COUNTIF($R$6:$R$880,R664)&gt;1,"重复","唯一")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IF(COUNTIF($R$6:$R$880,R665)&gt;1,"重复","唯一")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IF(COUNTIF($R$6:$R$880,R666)&gt;1,"重复","唯一")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IF(COUNTIF($R$6:$R$880,R667)&gt;1,"重复","唯一")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IF(COUNTIF($R$6:$R$880,R668)&gt;1,"重复","唯一")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IF(COUNTIF($R$6:$R$880,R669)&gt;1,"重复","唯一")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IF(COUNTIF($R$6:$R$880,R670)&gt;1,"重复","唯一")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IF(COUNTIF($R$6:$R$880,R671)&gt;1,"重复","唯一")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IF(COUNTIF($R$6:$R$880,R672)&gt;1,"重复","唯一")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IF(COUNTIF($R$6:$R$880,R673)&gt;1,"重复","唯一")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IF(COUNTIF($R$6:$R$880,R674)&gt;1,"重复","唯一")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IF(COUNTIF($R$6:$R$880,R675)&gt;1,"重复","唯一")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IF(COUNTIF($R$6:$R$880,R676)&gt;1,"重复","唯一")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IF(COUNTIF($R$6:$R$880,R677)&gt;1,"重复","唯一")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IF(COUNTIF($R$6:$R$880,R678)&gt;1,"重复","唯一")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IF(COUNTIF($R$6:$R$880,R679)&gt;1,"重复","唯一")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IF(COUNTIF($R$6:$R$880,R680)&gt;1,"重复","唯一")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IF(COUNTIF($R$6:$R$880,R681)&gt;1,"重复","唯一")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IF(COUNTIF($R$6:$R$880,R682)&gt;1,"重复","唯一")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IF(COUNTIF($R$6:$R$880,R683)&gt;1,"重复","唯一")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IF(COUNTIF($R$6:$R$880,R684)&gt;1,"重复","唯一")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IF(COUNTIF($R$6:$R$880,R685)&gt;1,"重复","唯一")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IF(COUNTIF($R$6:$R$880,R686)&gt;1,"重复","唯一")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IF(COUNTIF($R$6:$R$880,R687)&gt;1,"重复","唯一")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IF(COUNTIF($R$6:$R$880,R688)&gt;1,"重复","唯一")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IF(COUNTIF($R$6:$R$880,R689)&gt;1,"重复","唯一")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IF(COUNTIF($R$6:$R$880,R690)&gt;1,"重复","唯一")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IF(COUNTIF($R$6:$R$880,R691)&gt;1,"重复","唯一")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IF(COUNTIF($R$6:$R$880,R692)&gt;1,"重复","唯一")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IF(COUNTIF($R$6:$R$880,R693)&gt;1,"重复","唯一")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IF(COUNTIF($R$6:$R$880,R694)&gt;1,"重复","唯一")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IF(COUNTIF($R$6:$R$880,R695)&gt;1,"重复","唯一")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IF(COUNTIF($R$6:$R$880,R696)&gt;1,"重复","唯一")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IF(COUNTIF($R$6:$R$880,R697)&gt;1,"重复","唯一")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IF(COUNTIF($R$6:$R$880,R698)&gt;1,"重复","唯一")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IF(COUNTIF($R$6:$R$880,R699)&gt;1,"重复","唯一")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IF(COUNTIF($R$6:$R$880,R700)&gt;1,"重复","唯一")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IF(COUNTIF($R$6:$R$880,R701)&gt;1,"重复","唯一")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IF(COUNTIF($R$6:$R$880,R702)&gt;1,"重复","唯一")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IF(COUNTIF($R$6:$R$880,R703)&gt;1,"重复","唯一")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IF(COUNTIF($R$6:$R$880,R704)&gt;1,"重复","唯一")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IF(COUNTIF($R$6:$R$880,R705)&gt;1,"重复","唯一")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IF(COUNTIF($R$6:$R$880,R706)&gt;1,"重复","唯一")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IF(COUNTIF($R$6:$R$880,R707)&gt;1,"重复","唯一")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IF(COUNTIF($R$6:$R$880,R708)&gt;1,"重复","唯一")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IF(COUNTIF($R$6:$R$880,R709)&gt;1,"重复","唯一")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IF(COUNTIF($R$6:$R$880,R710)&gt;1,"重复","唯一")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IF(COUNTIF($R$6:$R$880,R711)&gt;1,"重复","唯一")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IF(COUNTIF($R$6:$R$880,R712)&gt;1,"重复","唯一")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IF(COUNTIF($R$6:$R$880,R713)&gt;1,"重复","唯一")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IF(COUNTIF($R$6:$R$880,R714)&gt;1,"重复","唯一")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IF(COUNTIF($R$6:$R$880,R715)&gt;1,"重复","唯一")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IF(COUNTIF($R$6:$R$880,R716)&gt;1,"重复","唯一")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IF(COUNTIF($R$6:$R$880,R717)&gt;1,"重复","唯一")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IF(COUNTIF($R$6:$R$880,R718)&gt;1,"重复","唯一")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IF(COUNTIF($R$6:$R$880,R719)&gt;1,"重复","唯一")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IF(COUNTIF($R$6:$R$880,R720)&gt;1,"重复","唯一")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IF(COUNTIF($R$6:$R$880,R721)&gt;1,"重复","唯一")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IF(COUNTIF($R$6:$R$880,R722)&gt;1,"重复","唯一")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IF(COUNTIF($R$6:$R$880,R723)&gt;1,"重复","唯一")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IF(COUNTIF($R$6:$R$880,R724)&gt;1,"重复","唯一")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IF(COUNTIF($R$6:$R$880,R725)&gt;1,"重复","唯一")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IF(COUNTIF($R$6:$R$880,R726)&gt;1,"重复","唯一")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IF(COUNTIF($R$6:$R$880,R727)&gt;1,"重复","唯一")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IF(COUNTIF($R$6:$R$880,R728)&gt;1,"重复","唯一")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IF(COUNTIF($R$6:$R$880,R729)&gt;1,"重复","唯一")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IF(COUNTIF($R$6:$R$880,R730)&gt;1,"重复","唯一")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IF(COUNTIF($R$6:$R$880,R731)&gt;1,"重复","唯一")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IF(COUNTIF($R$6:$R$880,R732)&gt;1,"重复","唯一")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IF(COUNTIF($R$6:$R$880,R733)&gt;1,"重复","唯一")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IF(COUNTIF($R$6:$R$880,R734)&gt;1,"重复","唯一")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IF(COUNTIF($R$6:$R$880,R735)&gt;1,"重复","唯一")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IF(COUNTIF($R$6:$R$880,R736)&gt;1,"重复","唯一")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IF(COUNTIF($R$6:$R$880,R737)&gt;1,"重复","唯一")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IF(COUNTIF($R$6:$R$880,R738)&gt;1,"重复","唯一")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IF(COUNTIF($R$6:$R$880,R739)&gt;1,"重复","唯一")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IF(COUNTIF($R$6:$R$880,R740)&gt;1,"重复","唯一")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IF(COUNTIF($R$6:$R$880,R741)&gt;1,"重复","唯一")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IF(COUNTIF($R$6:$R$880,R742)&gt;1,"重复","唯一")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IF(COUNTIF($R$6:$R$880,R743)&gt;1,"重复","唯一")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IF(COUNTIF($R$6:$R$880,R744)&gt;1,"重复","唯一")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IF(COUNTIF($R$6:$R$880,R745)&gt;1,"重复","唯一")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IF(COUNTIF($R$6:$R$880,R746)&gt;1,"重复","唯一")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IF(COUNTIF($R$6:$R$880,R747)&gt;1,"重复","唯一")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IF(COUNTIF($R$6:$R$880,R748)&gt;1,"重复","唯一")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IF(COUNTIF($R$6:$R$880,R749)&gt;1,"重复","唯一")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IF(COUNTIF($R$6:$R$880,R750)&gt;1,"重复","唯一")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IF(COUNTIF($R$6:$R$880,R751)&gt;1,"重复","唯一")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IF(COUNTIF($R$6:$R$880,R752)&gt;1,"重复","唯一")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IF(COUNTIF($R$6:$R$880,R753)&gt;1,"重复","唯一")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IF(COUNTIF($R$6:$R$880,R754)&gt;1,"重复","唯一")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IF(COUNTIF($R$6:$R$880,R755)&gt;1,"重复","唯一")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IF(COUNTIF($R$6:$R$880,R756)&gt;1,"重复","唯一")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IF(COUNTIF($R$6:$R$880,R757)&gt;1,"重复","唯一")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IF(COUNTIF($R$6:$R$880,R758)&gt;1,"重复","唯一")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IF(COUNTIF($R$6:$R$880,R759)&gt;1,"重复","唯一")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IF(COUNTIF($R$6:$R$880,R760)&gt;1,"重复","唯一")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IF(COUNTIF($R$6:$R$880,R761)&gt;1,"重复","唯一")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IF(COUNTIF($R$6:$R$880,R762)&gt;1,"重复","唯一")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IF(COUNTIF($R$6:$R$880,R763)&gt;1,"重复","唯一")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IF(COUNTIF($R$6:$R$880,R764)&gt;1,"重复","唯一")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IF(COUNTIF($R$6:$R$880,R765)&gt;1,"重复","唯一")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IF(COUNTIF($R$6:$R$880,R766)&gt;1,"重复","唯一")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IF(COUNTIF($R$6:$R$880,R767)&gt;1,"重复","唯一")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IF(COUNTIF($R$6:$R$880,R768)&gt;1,"重复","唯一")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IF(COUNTIF($R$6:$R$880,R769)&gt;1,"重复","唯一")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IF(COUNTIF($R$6:$R$880,R770)&gt;1,"重复","唯一")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IF(COUNTIF($R$6:$R$880,R771)&gt;1,"重复","唯一")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IF(COUNTIF($R$6:$R$880,R772)&gt;1,"重复","唯一")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IF(COUNTIF($R$6:$R$880,R773)&gt;1,"重复","唯一")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IF(COUNTIF($R$6:$R$880,R774)&gt;1,"重复","唯一")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IF(COUNTIF($R$6:$R$880,R775)&gt;1,"重复","唯一")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IF(COUNTIF($R$6:$R$880,R776)&gt;1,"重复","唯一")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IF(COUNTIF($R$6:$R$880,R777)&gt;1,"重复","唯一")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IF(COUNTIF($R$6:$R$880,R778)&gt;1,"重复","唯一")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IF(COUNTIF($R$6:$R$880,R779)&gt;1,"重复","唯一")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IF(COUNTIF($R$6:$R$880,R780)&gt;1,"重复","唯一")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IF(COUNTIF($R$6:$R$880,R781)&gt;1,"重复","唯一")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IF(COUNTIF($R$6:$R$880,R782)&gt;1,"重复","唯一")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IF(COUNTIF($R$6:$R$880,R783)&gt;1,"重复","唯一")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IF(COUNTIF($R$6:$R$880,R784)&gt;1,"重复","唯一")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IF(COUNTIF($R$6:$R$880,R785)&gt;1,"重复","唯一")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IF(COUNTIF($R$6:$R$880,R786)&gt;1,"重复","唯一")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IF(COUNTIF($R$6:$R$880,R787)&gt;1,"重复","唯一")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IF(COUNTIF($R$6:$R$880,R788)&gt;1,"重复","唯一")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IF(COUNTIF($R$6:$R$880,R789)&gt;1,"重复","唯一")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IF(COUNTIF($R$6:$R$880,R790)&gt;1,"重复","唯一")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IF(COUNTIF($R$6:$R$880,R791)&gt;1,"重复","唯一")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IF(COUNTIF($R$6:$R$880,R792)&gt;1,"重复","唯一")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IF(COUNTIF($R$6:$R$880,R793)&gt;1,"重复","唯一")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IF(COUNTIF($R$6:$R$880,R794)&gt;1,"重复","唯一")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IF(COUNTIF($R$6:$R$880,R795)&gt;1,"重复","唯一")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IF(COUNTIF($R$6:$R$880,R796)&gt;1,"重复","唯一")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IF(COUNTIF($R$6:$R$880,R797)&gt;1,"重复","唯一")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IF(COUNTIF($R$6:$R$880,R798)&gt;1,"重复","唯一")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IF(COUNTIF($R$6:$R$880,R799)&gt;1,"重复","唯一")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IF(COUNTIF($R$6:$R$880,R800)&gt;1,"重复","唯一")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IF(COUNTIF($R$6:$R$880,R801)&gt;1,"重复","唯一")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IF(COUNTIF($R$6:$R$880,R802)&gt;1,"重复","唯一")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IF(COUNTIF($R$6:$R$880,R803)&gt;1,"重复","唯一")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IF(COUNTIF($R$6:$R$880,R804)&gt;1,"重复","唯一")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IF(COUNTIF($R$6:$R$880,R805)&gt;1,"重复","唯一")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IF(COUNTIF($R$6:$R$880,R806)&gt;1,"重复","唯一")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IF(COUNTIF($R$6:$R$880,R807)&gt;1,"重复","唯一")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IF(COUNTIF($R$6:$R$880,R808)&gt;1,"重复","唯一")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IF(COUNTIF($R$6:$R$880,R809)&gt;1,"重复","唯一")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IF(COUNTIF($R$6:$R$880,R810)&gt;1,"重复","唯一")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IF(COUNTIF($R$6:$R$880,R811)&gt;1,"重复","唯一")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IF(COUNTIF($R$6:$R$880,R812)&gt;1,"重复","唯一")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IF(COUNTIF($R$6:$R$880,R813)&gt;1,"重复","唯一")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IF(COUNTIF($R$6:$R$880,R814)&gt;1,"重复","唯一")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IF(COUNTIF($R$6:$R$880,R815)&gt;1,"重复","唯一")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IF(COUNTIF($R$6:$R$880,R816)&gt;1,"重复","唯一")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IF(COUNTIF($R$6:$R$880,R817)&gt;1,"重复","唯一")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IF(COUNTIF($R$6:$R$880,R818)&gt;1,"重复","唯一")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IF(COUNTIF($R$6:$R$880,R819)&gt;1,"重复","唯一")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IF(COUNTIF($R$6:$R$880,R820)&gt;1,"重复","唯一")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IF(COUNTIF($R$6:$R$880,R821)&gt;1,"重复","唯一")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IF(COUNTIF($R$6:$R$880,R822)&gt;1,"重复","唯一")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IF(COUNTIF($R$6:$R$880,R823)&gt;1,"重复","唯一")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IF(COUNTIF($R$6:$R$880,R824)&gt;1,"重复","唯一")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IF(COUNTIF($R$6:$R$880,R825)&gt;1,"重复","唯一")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IF(COUNTIF($R$6:$R$880,R826)&gt;1,"重复","唯一")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IF(COUNTIF($R$6:$R$880,R827)&gt;1,"重复","唯一")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IF(COUNTIF($R$6:$R$880,R828)&gt;1,"重复","唯一")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IF(COUNTIF($R$6:$R$880,R829)&gt;1,"重复","唯一")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IF(COUNTIF($R$6:$R$880,R830)&gt;1,"重复","唯一")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IF(COUNTIF($R$6:$R$880,R831)&gt;1,"重复","唯一")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IF(COUNTIF($R$6:$R$880,R832)&gt;1,"重复","唯一")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IF(COUNTIF($R$6:$R$880,R833)&gt;1,"重复","唯一")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IF(COUNTIF($R$6:$R$880,R834)&gt;1,"重复","唯一")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IF(COUNTIF($R$6:$R$880,R835)&gt;1,"重复","唯一")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IF(COUNTIF($R$6:$R$880,R836)&gt;1,"重复","唯一")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IF(COUNTIF($R$6:$R$880,R837)&gt;1,"重复","唯一")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IF(COUNTIF($R$6:$R$880,R838)&gt;1,"重复","唯一")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IF(COUNTIF($R$6:$R$880,R839)&gt;1,"重复","唯一")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IF(COUNTIF($R$6:$R$880,R840)&gt;1,"重复","唯一")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IF(COUNTIF($R$6:$R$880,R841)&gt;1,"重复","唯一")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IF(COUNTIF($R$6:$R$880,R842)&gt;1,"重复","唯一")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IF(COUNTIF($R$6:$R$880,R843)&gt;1,"重复","唯一")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IF(COUNTIF($R$6:$R$880,R844)&gt;1,"重复","唯一")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IF(COUNTIF($R$6:$R$880,R845)&gt;1,"重复","唯一")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IF(COUNTIF($R$6:$R$880,R846)&gt;1,"重复","唯一")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IF(COUNTIF($R$6:$R$880,R847)&gt;1,"重复","唯一")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IF(COUNTIF($R$6:$R$880,R848)&gt;1,"重复","唯一")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IF(COUNTIF($R$6:$R$880,R849)&gt;1,"重复","唯一")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IF(COUNTIF($R$6:$R$880,R850)&gt;1,"重复","唯一")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IF(COUNTIF($R$6:$R$880,R851)&gt;1,"重复","唯一")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IF(COUNTIF($R$6:$R$880,R852)&gt;1,"重复","唯一")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IF(COUNTIF($R$6:$R$880,R853)&gt;1,"重复","唯一")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IF(COUNTIF($R$6:$R$880,R854)&gt;1,"重复","唯一")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IF(COUNTIF($R$6:$R$880,R855)&gt;1,"重复","唯一")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IF(COUNTIF($R$6:$R$880,R856)&gt;1,"重复","唯一")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IF(COUNTIF($R$6:$R$880,R857)&gt;1,"重复","唯一")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IF(COUNTIF($R$6:$R$880,R858)&gt;1,"重复","唯一")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IF(COUNTIF($R$6:$R$880,R859)&gt;1,"重复","唯一")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IF(COUNTIF($R$6:$R$880,R860)&gt;1,"重复","唯一")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IF(COUNTIF($R$6:$R$880,R861)&gt;1,"重复","唯一")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IF(COUNTIF($R$6:$R$880,R862)&gt;1,"重复","唯一")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IF(COUNTIF($R$6:$R$880,R863)&gt;1,"重复","唯一")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IF(COUNTIF($R$6:$R$880,R864)&gt;1,"重复","唯一")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IF(COUNTIF($R$6:$R$880,R865)&gt;1,"重复","唯一")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IF(COUNTIF($R$6:$R$880,R866)&gt;1,"重复","唯一")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IF(COUNTIF($R$6:$R$880,R867)&gt;1,"重复","唯一")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IF(COUNTIF($R$6:$R$880,R868)&gt;1,"重复","唯一")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IF(COUNTIF($R$6:$R$880,R869)&gt;1,"重复","唯一")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IF(COUNTIF($R$6:$R$880,R870)&gt;1,"重复","唯一")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IF(COUNTIF($R$6:$R$880,R871)&gt;1,"重复","唯一")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IF(COUNTIF($R$6:$R$880,R872)&gt;1,"重复","唯一")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IF(COUNTIF($R$6:$R$880,R873)&gt;1,"重复","唯一")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IF(COUNTIF($R$6:$R$880,R874)&gt;1,"重复","唯一")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IF(COUNTIF($R$6:$R$880,R875)&gt;1,"重复","唯一")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IF(COUNTIF($R$6:$R$880,R876)&gt;1,"重复","唯一")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IF(COUNTIF($R$6:$R$880,R877)&gt;1,"重复","唯一")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IF(COUNTIF($R$6:$R$880,R878)&gt;1,"重复","唯一")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IF(COUNTIF($R$6:$R$880,R879)&gt;1,"重复","唯一")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IF(COUNTIF($R$6:$R$880,R880)&gt;1,"重复","唯一")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</sheetData>
  <autoFilter ref="A5:X872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72" showDropDown="0" showInputMessage="0" showErrorMessage="0" allowBlank="1" type="list">
      <formula1>"角色,敌人,武器,道具,场景,场景道具,基地资产包,UI,特效,音效,音乐"</formula1>
    </dataValidation>
    <dataValidation sqref="K6:K87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72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 s="129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  <row r="62" s="129">
      <c r="A62" s="0" t="inlineStr">
        <is>
          <t>v0.1.28</t>
        </is>
      </c>
      <c r="B62" s="0" t="inlineStr">
        <is>
          <t>2026-10-12</t>
        </is>
      </c>
      <c r="C62" s="0" t="inlineStr">
        <is>
          <t>门墙可视美术源替换</t>
        </is>
      </c>
      <c r="D62" s="0" t="inlineStr">
        <is>
          <t>远征关卡01 / 战局通用组件</t>
        </is>
      </c>
      <c r="E62" s="0" t="inlineStr">
        <is>
          <t>ENV-BATTLE-COMMON-WALL-DOOR-5M</t>
        </is>
      </c>
      <c r="F62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2" s="0" t="inlineStr">
        <is>
          <t>摩斯拉</t>
        </is>
      </c>
    </row>
    <row r="63">
      <c r="A63" s="0" t="inlineStr">
        <is>
          <t>v0.1.29</t>
        </is>
      </c>
      <c r="B63" s="0" t="inlineStr">
        <is>
          <t>2026-10-12</t>
        </is>
      </c>
      <c r="C63" s="0" t="inlineStr">
        <is>
          <t>通用实墙可视美术源替换</t>
        </is>
      </c>
      <c r="D63" s="0" t="inlineStr">
        <is>
          <t>远征关卡01 / 战局通用组件</t>
        </is>
      </c>
      <c r="E63" s="0" t="inlineStr">
        <is>
          <t>ENV-BATTLE-COMMON-WALL-STANDARD-5M</t>
        </is>
      </c>
      <c r="F63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3" s="0" t="inlineStr">
        <is>
          <t>摩斯拉</t>
        </is>
      </c>
    </row>
    <row r="64">
      <c r="A64" s="0" t="inlineStr">
        <is>
          <t>v0.1.30</t>
        </is>
      </c>
      <c r="B64" s="0" t="inlineStr">
        <is>
          <t>2026-10-12</t>
        </is>
      </c>
      <c r="C64" s="0" t="inlineStr">
        <is>
          <t>新增资产（门头/地面 EXIT 霓虹灯标牌）</t>
        </is>
      </c>
      <c r="D64" s="0" t="inlineStr">
        <is>
          <t>战局区块通用组件 / 入口安全房</t>
        </is>
      </c>
      <c r="E64" s="0" t="inlineStr">
        <is>
          <t>ENV-BATTLE-EXIT-NEON-SIGN</t>
        </is>
      </c>
      <c r="F64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4" s="0" t="inlineStr">
        <is>
          <t>摩斯拉</t>
        </is>
      </c>
    </row>
    <row r="65">
      <c r="A65" s="0" t="inlineStr">
        <is>
          <t>v0.1.31</t>
        </is>
      </c>
      <c r="B65" s="0" t="inlineStr">
        <is>
          <t>2026-10-12</t>
        </is>
      </c>
      <c r="C65" s="0" t="inlineStr">
        <is>
          <t>第四间门厅壁画补碰撞</t>
        </is>
      </c>
      <c r="D65" s="0" t="inlineStr">
        <is>
          <t>PRP-BLOCK00-CONSTRUCTIVIST-MURAL</t>
        </is>
      </c>
      <c r="E65" s="0" t="inlineStr">
        <is>
          <t>用户反馈"98F 第四间掉下来的壁画没有阻挡"；原 visual_only 玩家可穿过，改为 fitted_box</t>
        </is>
      </c>
      <c r="F65" s="0" t="inlineStr">
        <is>
          <t>只改 Godot 稳定 Prefab 与清单碰撞字段；Blender 源、GLB、布局与实例姿态不变</t>
        </is>
      </c>
      <c r="G65" s="0" t="inlineStr">
        <is>
          <t>摩斯拉</t>
        </is>
      </c>
    </row>
    <row r="66">
      <c r="A66" s="0" t="inlineStr">
        <is>
          <t>v0.1.32</t>
        </is>
      </c>
      <c r="B66" s="0" t="inlineStr">
        <is>
          <t>2026-10-12</t>
        </is>
      </c>
      <c r="C66" s="0" t="inlineStr">
        <is>
          <t>条目修正</t>
        </is>
      </c>
      <c r="D66" s="0" t="inlineStr">
        <is>
          <t>关卡场景 / 远征关卡01</t>
        </is>
      </c>
      <c r="E66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6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6" s="0" t="inlineStr">
        <is>
          <t>摩斯拉</t>
        </is>
      </c>
    </row>
    <row r="67">
      <c r="A67" s="0" t="inlineStr">
        <is>
          <t>v0.1.33</t>
        </is>
      </c>
      <c r="B67" s="0" t="inlineStr">
        <is>
          <t>2026-10-12</t>
        </is>
      </c>
      <c r="C67" s="0" t="inlineStr">
        <is>
          <t>新增条目</t>
        </is>
      </c>
      <c r="D67" s="0" t="inlineStr">
        <is>
          <t>关卡场景 / 远征关卡02</t>
        </is>
      </c>
      <c r="E67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7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7" s="0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2026-10-12T09:48:06Z</dcterms:modified>
</cp:coreProperties>
</file>