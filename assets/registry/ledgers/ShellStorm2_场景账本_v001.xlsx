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'资产主表'!$A$5:$X$872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COUNTA(资产主表!$A$6:$A$872)</f>
        <v/>
      </c>
      <c r="B6" s="72" t="inlineStr"/>
      <c r="C6" s="74">
        <f>COUNTIF(资产主表!$K$6:$K$872,"已完成")+COUNTIF(资产主表!$K$6:$K$872,"原型已接入")+COUNTIF(资产主表!$K$6:$K$872,"正式美术已接入")+COUNTIF(资产主表!$K$6:$K$872,"已优化并正式接入")+COUNTIF(资产主表!$K$6:$K$872,"Blender源已完成")+COUNTIF(资产主表!$K$6:$K$872,"已导入；优化完成")+COUNTIF(资产主表!$K$6:$K$872,"白模源已完成；QA PASS")</f>
        <v/>
      </c>
      <c r="D6" s="72" t="inlineStr"/>
      <c r="E6" s="74">
        <f>COUNTIF(资产主表!$K$6:$K$872,"待制作")+COUNTIF(资产主表!$K$6:$K$872,"程序占位")</f>
        <v/>
      </c>
      <c r="F6" s="72" t="inlineStr"/>
      <c r="G6" s="74">
        <f>COUNTIF(资产主表!$S$6:$S$872,"重复")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COUNTIF(资产主表!$C$6:$C$872,A10)</f>
        <v/>
      </c>
      <c r="C10" s="79">
        <f>SUMPRODUCT((资产主表!$C$6:$C$872=A10)*((资产主表!$K$6:$K$872="已完成")+(资产主表!$K$6:$K$872="原型已接入")+(资产主表!$K$6:$K$872="正式美术已接入")+(资产主表!$K$6:$K$872="已优化并正式接入")+(资产主表!$K$6:$K$872="Blender源已完成")+(资产主表!$K$6:$K$872="已导入；优化完成")+(资产主表!$K$6:$K$872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COUNTIF(资产主表!$C$6:$C$872,A11)</f>
        <v/>
      </c>
      <c r="C11" s="79">
        <f>SUMPRODUCT((资产主表!$C$6:$C$872=A11)*((资产主表!$K$6:$K$872="已完成")+(资产主表!$K$6:$K$872="原型已接入")+(资产主表!$K$6:$K$872="正式美术已接入")+(资产主表!$K$6:$K$872="已优化并正式接入")+(资产主表!$K$6:$K$872="Blender源已完成")+(资产主表!$K$6:$K$872="已导入；优化完成")+(资产主表!$K$6:$K$872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COUNTIF(资产主表!$C$6:$C$872,A12)</f>
        <v/>
      </c>
      <c r="C12" s="79">
        <f>SUMPRODUCT((资产主表!$C$6:$C$872=A12)*((资产主表!$K$6:$K$872="已完成")+(资产主表!$K$6:$K$872="原型已接入")+(资产主表!$K$6:$K$872="正式美术已接入")+(资产主表!$K$6:$K$872="已优化并正式接入")+(资产主表!$K$6:$K$872="Blender源已完成")+(资产主表!$K$6:$K$872="已导入；优化完成")+(资产主表!$K$6:$K$872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=COUNTIF(资产主表!$C$6:$C$872,A13)</f>
        <v/>
      </c>
      <c r="C13" s="75">
        <f>=SUMPRODUCT((资产主表!$C$6:$C$872=A13)*((资产主表!$K$6:$K$872="已完成")+(资产主表!$K$6:$K$872="原型已接入")+(资产主表!$K$6:$K$872="正式美术已接入")+(资产主表!$K$6:$K$872="已优化并正式接入")+(资产主表!$K$6:$K$872="Blender源已完成")+(资产主表!$K$6:$K$872="已导入；优化完成")+(资产主表!$K$6:$K$872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IF(COUNTIF($R$6:$R$872,R6)&gt;1,"重复","唯一")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IF(COUNTIF($R$6:$R$872,R7)&gt;1,"重复","唯一")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IF(COUNTIF($R$6:$R$872,R8)&gt;1,"重复","唯一")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IF(COUNTIF($R$6:$R$872,R9)&gt;1,"重复","唯一")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IF(COUNTIF($R$6:$R$872,R10)&gt;1,"重复","唯一")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IF(COUNTIF($R$6:$R$872,R11)&gt;1,"重复","唯一")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IF(COUNTIF($R$6:$R$872,R12)&gt;1,"重复","唯一")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IF(COUNTIF($R$6:$R$872,R13)&gt;1,"重复","唯一")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IF(COUNTIF($R$6:$R$872,R14)&gt;1,"重复","唯一")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IF(COUNTIF($R$6:$R$872,R15)&gt;1,"重复","唯一")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IF(COUNTIF($R$6:$R$872,R16)&gt;1,"重复","唯一")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IF(COUNTIF($R$6:$R$872,R17)&gt;1,"重复","唯一")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IF(COUNTIF($R$6:$R$872,R18)&gt;1,"重复","唯一")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IF(COUNTIF($R$6:$R$872,R19)&gt;1,"重复","唯一")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IF(COUNTIF($R$6:$R$872,R20)&gt;1,"重复","唯一")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IF(COUNTIF($R$6:$R$872,R21)&gt;1,"重复","唯一")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IF(COUNTIF($R$6:$R$872,R22)&gt;1,"重复","唯一")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IF(COUNTIF($R$6:$R$872,R23)&gt;1,"重复","唯一")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IF(COUNTIF($R$6:$R$872,R24)&gt;1,"重复","唯一")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IF(COUNTIF($R$6:$R$872,R25)&gt;1,"重复","唯一")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IF(COUNTIF($R$6:$R$872,R26)&gt;1,"重复","唯一")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IF(COUNTIF($R$6:$R$872,R27)&gt;1,"重复","唯一")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IF(COUNTIF($R$6:$R$872,R28)&gt;1,"重复","唯一")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IF(COUNTIF($R$6:$R$872,R29)&gt;1,"重复","唯一")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IF(COUNTIF($R$6:$R$872,R30)&gt;1,"重复","唯一")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IF(COUNTIF($R$6:$R$872,R31)&gt;1,"重复","唯一")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IF(COUNTIF($R$6:$R$872,R32)&gt;1,"重复","唯一")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IF(COUNTIF($R$6:$R$872,R33)&gt;1,"重复","唯一")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IF(COUNTIF($R$6:$R$872,R34)&gt;1,"重复","唯一")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IF(COUNTIF($R$6:$R$872,R35)&gt;1,"重复","唯一")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IF(COUNTIF($R$6:$R$872,R36)&gt;1,"重复","唯一")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IF(COUNTIF($R$6:$R$872,R37)&gt;1,"重复","唯一")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IF(COUNTIF($R$6:$R$872,R38)&gt;1,"重复","唯一")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IF(COUNTIF($R$6:$R$872,R39)&gt;1,"重复","唯一")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IF(COUNTIF($R$6:$R$872,R40)&gt;1,"重复","唯一")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IF(COUNTIF($R$6:$R$872,R41)&gt;1,"重复","唯一")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IF(COUNTIF($R$6:$R$872,R42)&gt;1,"重复","唯一")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IF(COUNTIF($R$6:$R$872,R43)&gt;1,"重复","唯一")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IF(COUNTIF($R$6:$R$872,R44)&gt;1,"重复","唯一")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IF(COUNTIF($R$6:$R$872,R45)&gt;1,"重复","唯一")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IF(COUNTIF($R$6:$R$872,R46)&gt;1,"重复","唯一")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IF(COUNTIF($R$6:$R$872,R47)&gt;1,"重复","唯一")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IF(COUNTIF($R$6:$R$872,R48)&gt;1,"重复","唯一")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IF(COUNTIF($R$6:$R$872,R49)&gt;1,"重复","唯一")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IF(COUNTIF($R$6:$R$872,R50)&gt;1,"重复","唯一")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IF(COUNTIF($R$6:$R$872,R51)&gt;1,"重复","唯一")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IF(COUNTIF($R$6:$R$872,R52)&gt;1,"重复","唯一")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IF(COUNTIF($R$6:$R$872,R53)&gt;1,"重复","唯一")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IF(COUNTIF($R$6:$R$872,R54)&gt;1,"重复","唯一")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IF(COUNTIF($R$6:$R$872,R55)&gt;1,"重复","唯一")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IF(COUNTIF($R$6:$R$872,R56)&gt;1,"重复","唯一")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IF(COUNTIF($R$6:$R$872,R57)&gt;1,"重复","唯一")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IF(COUNTIF($R$6:$R$872,R58)&gt;1,"重复","唯一")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IF(COUNTIF($R$6:$R$872,R59)&gt;1,"重复","唯一")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IF(COUNTIF($R$6:$R$872,R60)&gt;1,"重复","唯一")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IF(COUNTIF($R$6:$R$872,R61)&gt;1,"重复","唯一")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IF(COUNTIF($R$6:$R$872,R62)&gt;1,"重复","唯一")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IF(COUNTIF($R$6:$R$872,R63)&gt;1,"重复","唯一")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IF(COUNTIF($R$6:$R$872,R64)&gt;1,"重复","唯一")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IF(COUNTIF($R$6:$R$872,R65)&gt;1,"重复","唯一")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IF(COUNTIF($R$6:$R$872,R66)&gt;1,"重复","唯一")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IF(COUNTIF($R$6:$R$872,R67)&gt;1,"重复","唯一")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IF(COUNTIF($R$6:$R$872,R68)&gt;1,"重复","唯一")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IF(COUNTIF($R$6:$R$872,R69)&gt;1,"重复","唯一")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IF(COUNTIF($R$6:$R$872,R70)&gt;1,"重复","唯一")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IF(COUNTIF($R$6:$R$872,R71)&gt;1,"重复","唯一")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IF(COUNTIF($R$6:$R$872,R72)&gt;1,"重复","唯一")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IF(COUNTIF($R$6:$R$872,R73)&gt;1,"重复","唯一")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IF(COUNTIF($R$6:$R$872,R74)&gt;1,"重复","唯一")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IF(COUNTIF($R$6:$R$872,R75)&gt;1,"重复","唯一")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IF(COUNTIF($R$6:$R$872,R76)&gt;1,"重复","唯一")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IF(COUNTIF($R$6:$R$872,R77)&gt;1,"重复","唯一")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IF(COUNTIF($R$6:$R$872,R78)&gt;1,"重复","唯一")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IF(COUNTIF($R$6:$R$872,R79)&gt;1,"重复","唯一")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IF(COUNTIF($R$6:$R$872,R80)&gt;1,"重复","唯一")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IF(COUNTIF($R$6:$R$872,R81)&gt;1,"重复","唯一")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IF(COUNTIF($R$6:$R$872,R82)&gt;1,"重复","唯一")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IF(COUNTIF($R$6:$R$872,R83)&gt;1,"重复","唯一")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IF(COUNTIF($R$6:$R$872,R84)&gt;1,"重复","唯一")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IF(COUNTIF($R$6:$R$872,R85)&gt;1,"重复","唯一")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IF(COUNTIF($R$6:$R$872,R86)&gt;1,"重复","唯一")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IF(COUNTIF($R$6:$R$872,R87)&gt;1,"重复","唯一")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IF(COUNTIF($R$6:$R$872,R88)&gt;1,"重复","唯一")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IF(COUNTIF($R$6:$R$872,R89)&gt;1,"重复","唯一")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IF(COUNTIF($R$6:$R$872,R90)&gt;1,"重复","唯一")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IF(COUNTIF($R$6:$R$872,R91)&gt;1,"重复","唯一")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IF(COUNTIF($R$6:$R$872,R92)&gt;1,"重复","唯一")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IF(COUNTIF($R$6:$R$872,R93)&gt;1,"重复","唯一")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IF(COUNTIF($R$6:$R$872,R94)&gt;1,"重复","唯一")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IF(COUNTIF($R$6:$R$872,R95)&gt;1,"重复","唯一")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IF(COUNTIF($R$6:$R$872,R96)&gt;1,"重复","唯一")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IF(COUNTIF($R$6:$R$872,R97)&gt;1,"重复","唯一")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IF(COUNTIF($R$6:$R$872,R98)&gt;1,"重复","唯一")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IF(COUNTIF($R$6:$R$872,R99)&gt;1,"重复","唯一")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IF(COUNTIF($R$6:$R$872,R100)&gt;1,"重复","唯一")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IF(COUNTIF($R$6:$R$872,R101)&gt;1,"重复","唯一")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IF(COUNTIF($R$6:$R$872,R102)&gt;1,"重复","唯一")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IF(COUNTIF($R$6:$R$872,R103)&gt;1,"重复","唯一")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IF(COUNTIF($R$6:$R$872,R104)&gt;1,"重复","唯一")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IF(COUNTIF($R$6:$R$872,R105)&gt;1,"重复","唯一")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IF(COUNTIF($R$6:$R$872,R106)&gt;1,"重复","唯一")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IF(COUNTIF($R$6:$R$872,R107)&gt;1,"重复","唯一")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IF(COUNTIF($R$6:$R$872,R108)&gt;1,"重复","唯一")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IF(COUNTIF($R$6:$R$872,R109)&gt;1,"重复","唯一")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IF(COUNTIF($R$6:$R$872,R110)&gt;1,"重复","唯一")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IF(COUNTIF($R$6:$R$872,R111)&gt;1,"重复","唯一")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IF(COUNTIF($R$6:$R$872,R112)&gt;1,"重复","唯一")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IF(COUNTIF($R$6:$R$872,R113)&gt;1,"重复","唯一")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IF(COUNTIF($R$6:$R$872,R114)&gt;1,"重复","唯一")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IF(COUNTIF($R$6:$R$872,R115)&gt;1,"重复","唯一")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IF(COUNTIF($R$6:$R$872,R116)&gt;1,"重复","唯一")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IF(COUNTIF($R$6:$R$872,R117)&gt;1,"重复","唯一")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IF(COUNTIF($R$6:$R$872,R118)&gt;1,"重复","唯一")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IF(COUNTIF($R$6:$R$872,R119)&gt;1,"重复","唯一")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IF(COUNTIF($R$6:$R$872,R120)&gt;1,"重复","唯一")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IF(COUNTIF($R$6:$R$872,R121)&gt;1,"重复","唯一")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IF(COUNTIF($R$6:$R$872,R122)&gt;1,"重复","唯一")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IF(COUNTIF($R$6:$R$872,R123)&gt;1,"重复","唯一")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IF(COUNTIF($R$6:$R$872,R124)&gt;1,"重复","唯一")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IF(COUNTIF($R$6:$R$872,R125)&gt;1,"重复","唯一")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IF(COUNTIF($R$6:$R$872,R126)&gt;1,"重复","唯一")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IF(COUNTIF($R$6:$R$872,R127)&gt;1,"重复","唯一")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IF(COUNTIF($R$6:$R$872,R128)&gt;1,"重复","唯一")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IF(COUNTIF($R$6:$R$872,R129)&gt;1,"重复","唯一")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IF(COUNTIF($R$6:$R$872,R130)&gt;1,"重复","唯一")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IF(COUNTIF($R$6:$R$872,R131)&gt;1,"重复","唯一")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IF(COUNTIF($R$6:$R$872,R132)&gt;1,"重复","唯一")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IF(COUNTIF($R$6:$R$872,R133)&gt;1,"重复","唯一")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IF(COUNTIF($R$6:$R$872,R134)&gt;1,"重复","唯一")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IF(COUNTIF($R$6:$R$872,R135)&gt;1,"重复","唯一")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IF(COUNTIF($R$6:$R$872,R136)&gt;1,"重复","唯一")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IF(COUNTIF($R$6:$R$872,R137)&gt;1,"重复","唯一")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IF(COUNTIF($R$6:$R$872,R138)&gt;1,"重复","唯一")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IF(COUNTIF($R$6:$R$872,R139)&gt;1,"重复","唯一")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IF(COUNTIF($R$6:$R$872,R140)&gt;1,"重复","唯一")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IF(COUNTIF($R$6:$R$872,R141)&gt;1,"重复","唯一")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IF(COUNTIF($R$6:$R$872,R142)&gt;1,"重复","唯一")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IF(COUNTIF($R$6:$R$872,R143)&gt;1,"重复","唯一")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IF(COUNTIF($R$6:$R$872,R144)&gt;1,"重复","唯一")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IF(COUNTIF($R$6:$R$872,R145)&gt;1,"重复","唯一")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IF(COUNTIF($R$6:$R$872,R146)&gt;1,"重复","唯一")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IF(COUNTIF($R$6:$R$872,R147)&gt;1,"重复","唯一")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IF(COUNTIF($R$6:$R$872,R148)&gt;1,"重复","唯一")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IF(COUNTIF($R$6:$R$872,R149)&gt;1,"重复","唯一")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IF(COUNTIF($R$6:$R$872,R150)&gt;1,"重复","唯一")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IF(COUNTIF($R$6:$R$872,R151)&gt;1,"重复","唯一")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IF(COUNTIF($R$6:$R$872,R152)&gt;1,"重复","唯一")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IF(COUNTIF($R$6:$R$872,R153)&gt;1,"重复","唯一")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IF(COUNTIF($R$6:$R$872,R154)&gt;1,"重复","唯一")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IF(COUNTIF($R$6:$R$872,R155)&gt;1,"重复","唯一")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IF(COUNTIF($R$6:$R$872,R156)&gt;1,"重复","唯一")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IF(COUNTIF($R$6:$R$872,R157)&gt;1,"重复","唯一")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IF(COUNTIF($R$6:$R$872,R158)&gt;1,"重复","唯一")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IF(COUNTIF($R$6:$R$872,R159)&gt;1,"重复","唯一")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IF(COUNTIF($R$6:$R$872,R160)&gt;1,"重复","唯一")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IF(COUNTIF($R$6:$R$872,R161)&gt;1,"重复","唯一")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IF(COUNTIF($R$6:$R$872,R162)&gt;1,"重复","唯一")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IF(COUNTIF($R$6:$R$872,R163)&gt;1,"重复","唯一")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IF(COUNTIF($R$6:$R$872,R164)&gt;1,"重复","唯一")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IF(COUNTIF($R$6:$R$872,R165)&gt;1,"重复","唯一")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IF(COUNTIF($R$6:$R$872,R166)&gt;1,"重复","唯一")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IF(COUNTIF($R$6:$R$872,R167)&gt;1,"重复","唯一")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IF(COUNTIF($R$6:$R$872,R168)&gt;1,"重复","唯一")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IF(COUNTIF($R$6:$R$872,R169)&gt;1,"重复","唯一")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IF(COUNTIF($R$6:$R$872,R170)&gt;1,"重复","唯一")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IF(COUNTIF($R$6:$R$872,R171)&gt;1,"重复","唯一")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IF(COUNTIF($R$6:$R$872,R172)&gt;1,"重复","唯一")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IF(COUNTIF($R$6:$R$872,R173)&gt;1,"重复","唯一")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IF(COUNTIF($R$6:$R$872,R174)&gt;1,"重复","唯一")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IF(COUNTIF($R$6:$R$872,R175)&gt;1,"重复","唯一")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IF(COUNTIF($R$6:$R$872,R176)&gt;1,"重复","唯一")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IF(COUNTIF($R$6:$R$872,R177)&gt;1,"重复","唯一")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IF(COUNTIF($R$6:$R$872,R178)&gt;1,"重复","唯一")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IF(COUNTIF($R$6:$R$872,R179)&gt;1,"重复","唯一")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IF(COUNTIF($R$6:$R$872,R180)&gt;1,"重复","唯一")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IF(COUNTIF($R$6:$R$872,R181)&gt;1,"重复","唯一")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IF(COUNTIF($R$6:$R$872,R182)&gt;1,"重复","唯一")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IF(COUNTIF($R$6:$R$872,R183)&gt;1,"重复","唯一")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IF(COUNTIF($R$6:$R$872,R184)&gt;1,"重复","唯一")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IF(COUNTIF($R$6:$R$872,R185)&gt;1,"重复","唯一")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IF(COUNTIF($R$6:$R$872,R186)&gt;1,"重复","唯一")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IF(COUNTIF($R$6:$R$872,R187)&gt;1,"重复","唯一")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IF(COUNTIF($R$6:$R$872,R188)&gt;1,"重复","唯一")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IF(COUNTIF($R$6:$R$872,R189)&gt;1,"重复","唯一")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IF(COUNTIF($R$6:$R$872,R190)&gt;1,"重复","唯一")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IF(COUNTIF($R$6:$R$872,R191)&gt;1,"重复","唯一")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IF(COUNTIF($R$6:$R$872,R192)&gt;1,"重复","唯一")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IF(COUNTIF($R$6:$R$872,R193)&gt;1,"重复","唯一")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IF(COUNTIF($R$6:$R$872,R194)&gt;1,"重复","唯一")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IF(COUNTIF($R$6:$R$872,R195)&gt;1,"重复","唯一")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IF(COUNTIF($R$6:$R$872,R196)&gt;1,"重复","唯一")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IF(COUNTIF($R$6:$R$872,R197)&gt;1,"重复","唯一")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IF(COUNTIF($R$6:$R$872,R198)&gt;1,"重复","唯一")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IF(COUNTIF($R$6:$R$872,R199)&gt;1,"重复","唯一")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IF(COUNTIF($R$6:$R$872,R200)&gt;1,"重复","唯一")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IF(COUNTIF($R$6:$R$872,R201)&gt;1,"重复","唯一")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IF(COUNTIF($R$6:$R$872,R202)&gt;1,"重复","唯一")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IF(COUNTIF($R$6:$R$872,R203)&gt;1,"重复","唯一")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IF(COUNTIF($R$6:$R$872,R204)&gt;1,"重复","唯一")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IF(COUNTIF($R$6:$R$872,R205)&gt;1,"重复","唯一")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IF(COUNTIF($R$6:$R$872,R206)&gt;1,"重复","唯一")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IF(COUNTIF($R$6:$R$872,R207)&gt;1,"重复","唯一")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IF(COUNTIF($R$6:$R$872,R208)&gt;1,"重复","唯一")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IF(COUNTIF($R$6:$R$872,R209)&gt;1,"重复","唯一")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IF(COUNTIF($R$6:$R$872,R210)&gt;1,"重复","唯一")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IF(COUNTIF($R$6:$R$872,R211)&gt;1,"重复","唯一")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IF(COUNTIF($R$6:$R$872,R212)&gt;1,"重复","唯一")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IF(COUNTIF($R$6:$R$872,R213)&gt;1,"重复","唯一")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IF(COUNTIF($R$6:$R$872,R214)&gt;1,"重复","唯一")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IF(COUNTIF($R$6:$R$872,R215)&gt;1,"重复","唯一")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IF(COUNTIF($R$6:$R$872,R216)&gt;1,"重复","唯一")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IF(COUNTIF($R$6:$R$872,R217)&gt;1,"重复","唯一")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IF(COUNTIF($R$6:$R$872,R218)&gt;1,"重复","唯一")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IF(COUNTIF($R$6:$R$872,R219)&gt;1,"重复","唯一")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IF(COUNTIF($R$6:$R$872,R220)&gt;1,"重复","唯一")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IF(COUNTIF($R$6:$R$872,R221)&gt;1,"重复","唯一")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IF(COUNTIF($R$6:$R$872,R222)&gt;1,"重复","唯一")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IF(COUNTIF($R$6:$R$872,R223)&gt;1,"重复","唯一")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IF(COUNTIF($R$6:$R$872,R224)&gt;1,"重复","唯一")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IF(COUNTIF($R$6:$R$872,R225)&gt;1,"重复","唯一")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IF(COUNTIF($R$6:$R$872,R226)&gt;1,"重复","唯一")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IF(COUNTIF($R$6:$R$872,R227)&gt;1,"重复","唯一")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IF(COUNTIF($R$6:$R$872,R228)&gt;1,"重复","唯一")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IF(COUNTIF($R$6:$R$872,R229)&gt;1,"重复","唯一")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IF(COUNTIF($R$6:$R$872,R230)&gt;1,"重复","唯一")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IF(COUNTIF($R$6:$R$872,R231)&gt;1,"重复","唯一")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IF(COUNTIF($R$6:$R$872,R232)&gt;1,"重复","唯一")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IF(COUNTIF($R$6:$R$872,R233)&gt;1,"重复","唯一")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IF(COUNTIF($R$6:$R$872,R234)&gt;1,"重复","唯一")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IF(COUNTIF($R$6:$R$872,R235)&gt;1,"重复","唯一")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IF(COUNTIF($R$6:$R$872,R236)&gt;1,"重复","唯一")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IF(COUNTIF($R$6:$R$872,R237)&gt;1,"重复","唯一")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IF(COUNTIF($R$6:$R$872,R238)&gt;1,"重复","唯一")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IF(COUNTIF($R$6:$R$872,R239)&gt;1,"重复","唯一")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IF(COUNTIF($R$6:$R$872,R240)&gt;1,"重复","唯一")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IF(COUNTIF($R$6:$R$872,R241)&gt;1,"重复","唯一")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IF(COUNTIF($R$6:$R$872,R242)&gt;1,"重复","唯一")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IF(COUNTIF($R$6:$R$872,R243)&gt;1,"重复","唯一")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IF(COUNTIF($R$6:$R$872,R244)&gt;1,"重复","唯一")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IF(COUNTIF($R$6:$R$872,R245)&gt;1,"重复","唯一")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IF(COUNTIF($R$6:$R$872,R246)&gt;1,"重复","唯一")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IF(COUNTIF($R$6:$R$872,R247)&gt;1,"重复","唯一")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IF(COUNTIF($R$6:$R$872,R248)&gt;1,"重复","唯一")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IF(COUNTIF($R$6:$R$872,R249)&gt;1,"重复","唯一")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IF(COUNTIF($R$6:$R$872,R250)&gt;1,"重复","唯一")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IF(COUNTIF($R$6:$R$872,R251)&gt;1,"重复","唯一")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IF(COUNTIF($R$6:$R$872,R252)&gt;1,"重复","唯一")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IF(COUNTIF($R$6:$R$872,R253)&gt;1,"重复","唯一")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IF(COUNTIF($R$6:$R$872,R254)&gt;1,"重复","唯一")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IF(COUNTIF($R$6:$R$872,R255)&gt;1,"重复","唯一")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IF(COUNTIF($R$6:$R$872,R256)&gt;1,"重复","唯一")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IF(COUNTIF($R$6:$R$872,R257)&gt;1,"重复","唯一")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IF(COUNTIF($R$6:$R$872,R258)&gt;1,"重复","唯一")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IF(COUNTIF($R$6:$R$872,R259)&gt;1,"重复","唯一")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IF(COUNTIF($R$6:$R$872,R260)&gt;1,"重复","唯一")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IF(COUNTIF($R$6:$R$872,R261)&gt;1,"重复","唯一")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IF(COUNTIF($R$6:$R$872,R262)&gt;1,"重复","唯一")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IF(COUNTIF($R$6:$R$872,R263)&gt;1,"重复","唯一")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IF(COUNTIF($R$6:$R$872,R264)&gt;1,"重复","唯一")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IF(COUNTIF($R$6:$R$872,R265)&gt;1,"重复","唯一")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IF(COUNTIF($R$6:$R$872,R266)&gt;1,"重复","唯一")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IF(COUNTIF($R$6:$R$872,R267)&gt;1,"重复","唯一")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IF(COUNTIF($R$6:$R$872,R268)&gt;1,"重复","唯一")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IF(COUNTIF($R$6:$R$872,R269)&gt;1,"重复","唯一")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IF(COUNTIF($R$6:$R$872,R270)&gt;1,"重复","唯一")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IF(COUNTIF($R$6:$R$872,R271)&gt;1,"重复","唯一")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IF(COUNTIF($R$6:$R$872,R272)&gt;1,"重复","唯一")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IF(COUNTIF($R$6:$R$872,R273)&gt;1,"重复","唯一")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IF(COUNTIF($R$6:$R$872,R274)&gt;1,"重复","唯一")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IF(COUNTIF($R$6:$R$872,R275)&gt;1,"重复","唯一")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IF(COUNTIF($R$6:$R$872,R276)&gt;1,"重复","唯一")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IF(COUNTIF($R$6:$R$872,R277)&gt;1,"重复","唯一")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IF(COUNTIF($R$6:$R$872,R278)&gt;1,"重复","唯一")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IF(COUNTIF($R$6:$R$872,R279)&gt;1,"重复","唯一")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IF(COUNTIF($R$6:$R$872,R280)&gt;1,"重复","唯一")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IF(COUNTIF($R$6:$R$872,R281)&gt;1,"重复","唯一")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IF(COUNTIF($R$6:$R$872,R282)&gt;1,"重复","唯一")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IF(COUNTIF($R$6:$R$872,R283)&gt;1,"重复","唯一")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IF(COUNTIF($R$6:$R$872,R284)&gt;1,"重复","唯一")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IF(COUNTIF($R$6:$R$872,R285)&gt;1,"重复","唯一")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IF(COUNTIF($R$6:$R$872,R286)&gt;1,"重复","唯一")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IF(COUNTIF($R$6:$R$872,R287)&gt;1,"重复","唯一")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IF(COUNTIF($R$6:$R$872,R288)&gt;1,"重复","唯一")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IF(COUNTIF($R$6:$R$872,R289)&gt;1,"重复","唯一")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IF(COUNTIF($R$6:$R$872,R290)&gt;1,"重复","唯一")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IF(COUNTIF($R$6:$R$872,R291)&gt;1,"重复","唯一")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IF(COUNTIF($R$6:$R$872,R292)&gt;1,"重复","唯一")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IF(COUNTIF($R$6:$R$872,R293)&gt;1,"重复","唯一")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IF(COUNTIF($R$6:$R$872,R294)&gt;1,"重复","唯一")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IF(COUNTIF($R$6:$R$872,R295)&gt;1,"重复","唯一")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IF(COUNTIF($R$6:$R$872,R296)&gt;1,"重复","唯一")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IF(COUNTIF($R$6:$R$872,R297)&gt;1,"重复","唯一")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IF(COUNTIF($R$6:$R$872,R298)&gt;1,"重复","唯一")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IF(COUNTIF($R$6:$R$872,R299)&gt;1,"重复","唯一")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IF(COUNTIF($R$6:$R$872,R300)&gt;1,"重复","唯一")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IF(COUNTIF($R$6:$R$872,R301)&gt;1,"重复","唯一")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IF(COUNTIF($R$6:$R$872,R302)&gt;1,"重复","唯一")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IF(COUNTIF($R$6:$R$872,R303)&gt;1,"重复","唯一")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IF(COUNTIF($R$6:$R$872,R304)&gt;1,"重复","唯一")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IF(COUNTIF($R$6:$R$872,R305)&gt;1,"重复","唯一")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IF(COUNTIF($R$6:$R$872,R306)&gt;1,"重复","唯一")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IF(COUNTIF($R$6:$R$872,R307)&gt;1,"重复","唯一")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IF(COUNTIF($R$6:$R$872,R308)&gt;1,"重复","唯一")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IF(COUNTIF($R$6:$R$872,R309)&gt;1,"重复","唯一")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IF(COUNTIF($R$6:$R$872,R310)&gt;1,"重复","唯一")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IF(COUNTIF($R$6:$R$872,R311)&gt;1,"重复","唯一")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IF(COUNTIF($R$6:$R$872,R312)&gt;1,"重复","唯一")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IF(COUNTIF($R$6:$R$872,R313)&gt;1,"重复","唯一")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IF(COUNTIF($R$6:$R$872,R314)&gt;1,"重复","唯一")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IF(COUNTIF($R$6:$R$872,R315)&gt;1,"重复","唯一")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IF(COUNTIF($R$6:$R$872,R316)&gt;1,"重复","唯一")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IF(COUNTIF($R$6:$R$872,R317)&gt;1,"重复","唯一")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IF(COUNTIF($R$6:$R$872,R318)&gt;1,"重复","唯一")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IF(COUNTIF($R$6:$R$872,R319)&gt;1,"重复","唯一")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IF(COUNTIF($R$6:$R$872,R320)&gt;1,"重复","唯一")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IF(COUNTIF($R$6:$R$872,R321)&gt;1,"重复","唯一")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IF(COUNTIF($R$6:$R$872,R322)&gt;1,"重复","唯一")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IF(COUNTIF($R$6:$R$872,R323)&gt;1,"重复","唯一")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IF(COUNTIF($R$6:$R$872,R324)&gt;1,"重复","唯一")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IF(COUNTIF($R$6:$R$872,R325)&gt;1,"重复","唯一")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IF(COUNTIF($R$6:$R$872,R326)&gt;1,"重复","唯一")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IF(COUNTIF($R$6:$R$872,R327)&gt;1,"重复","唯一")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IF(COUNTIF($R$6:$R$872,R328)&gt;1,"重复","唯一")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IF(COUNTIF($R$6:$R$872,R329)&gt;1,"重复","唯一")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IF(COUNTIF($R$6:$R$872,R330)&gt;1,"重复","唯一")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IF(COUNTIF($R$6:$R$872,R331)&gt;1,"重复","唯一")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IF(COUNTIF($R$6:$R$872,R332)&gt;1,"重复","唯一")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IF(COUNTIF($R$6:$R$872,R333)&gt;1,"重复","唯一")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IF(COUNTIF($R$6:$R$872,R334)&gt;1,"重复","唯一")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IF(COUNTIF($R$6:$R$872,R335)&gt;1,"重复","唯一")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IF(COUNTIF($R$6:$R$872,R336)&gt;1,"重复","唯一")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IF(COUNTIF($R$6:$R$872,R337)&gt;1,"重复","唯一")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IF(COUNTIF($R$6:$R$872,R338)&gt;1,"重复","唯一")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IF(COUNTIF($R$6:$R$872,R339)&gt;1,"重复","唯一")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IF(COUNTIF($R$6:$R$872,R340)&gt;1,"重复","唯一")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IF(COUNTIF($R$6:$R$872,R341)&gt;1,"重复","唯一")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IF(COUNTIF($R$6:$R$872,R342)&gt;1,"重复","唯一")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IF(COUNTIF($R$6:$R$872,R343)&gt;1,"重复","唯一")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IF(COUNTIF($R$6:$R$872,R344)&gt;1,"重复","唯一")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IF(COUNTIF($R$6:$R$872,R345)&gt;1,"重复","唯一")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IF(COUNTIF($R$6:$R$872,R346)&gt;1,"重复","唯一")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IF(COUNTIF($R$6:$R$872,R347)&gt;1,"重复","唯一")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IF(COUNTIF($R$6:$R$872,R348)&gt;1,"重复","唯一")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IF(COUNTIF($R$6:$R$872,R349)&gt;1,"重复","唯一")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IF(COUNTIF($R$6:$R$872,R350)&gt;1,"重复","唯一")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IF(COUNTIF($R$6:$R$872,R351)&gt;1,"重复","唯一")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IF(COUNTIF($R$6:$R$872,R352)&gt;1,"重复","唯一")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IF(COUNTIF($R$6:$R$872,R353)&gt;1,"重复","唯一")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IF(COUNTIF($R$6:$R$872,R354)&gt;1,"重复","唯一")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IF(COUNTIF($R$6:$R$872,R355)&gt;1,"重复","唯一")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IF(COUNTIF($R$6:$R$872,R356)&gt;1,"重复","唯一")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IF(COUNTIF($R$6:$R$872,R357)&gt;1,"重复","唯一")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IF(COUNTIF($R$6:$R$872,R358)&gt;1,"重复","唯一")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IF(COUNTIF($R$6:$R$872,R359)&gt;1,"重复","唯一")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IF(COUNTIF($R$6:$R$872,R360)&gt;1,"重复","唯一")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IF(COUNTIF($R$6:$R$872,R361)&gt;1,"重复","唯一")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IF(COUNTIF($R$6:$R$872,R362)&gt;1,"重复","唯一")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IF(COUNTIF($R$6:$R$872,R363)&gt;1,"重复","唯一")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IF(COUNTIF($R$6:$R$872,R364)&gt;1,"重复","唯一")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IF(COUNTIF($R$6:$R$872,R365)&gt;1,"重复","唯一")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IF(COUNTIF($R$6:$R$872,R366)&gt;1,"重复","唯一")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IF(COUNTIF($R$6:$R$872,R367)&gt;1,"重复","唯一")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IF(COUNTIF($R$6:$R$872,R368)&gt;1,"重复","唯一")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IF(COUNTIF($R$6:$R$872,R369)&gt;1,"重复","唯一")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IF(COUNTIF($R$6:$R$872,R370)&gt;1,"重复","唯一")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IF(COUNTIF($R$6:$R$872,R371)&gt;1,"重复","唯一")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IF(COUNTIF($R$6:$R$872,R372)&gt;1,"重复","唯一")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IF(COUNTIF($R$6:$R$872,R373)&gt;1,"重复","唯一")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IF(COUNTIF($R$6:$R$872,R374)&gt;1,"重复","唯一")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IF(COUNTIF($R$6:$R$872,R375)&gt;1,"重复","唯一")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IF(COUNTIF($R$6:$R$872,R376)&gt;1,"重复","唯一")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IF(COUNTIF($R$6:$R$872,R377)&gt;1,"重复","唯一")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IF(COUNTIF($R$6:$R$872,R378)&gt;1,"重复","唯一")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IF(COUNTIF($R$6:$R$872,R379)&gt;1,"重复","唯一")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IF(COUNTIF($R$6:$R$872,R380)&gt;1,"重复","唯一")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IF(COUNTIF($R$6:$R$872,R381)&gt;1,"重复","唯一")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IF(COUNTIF($R$6:$R$872,R382)&gt;1,"重复","唯一")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IF(COUNTIF($R$6:$R$872,R383)&gt;1,"重复","唯一")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IF(COUNTIF($R$6:$R$872,R384)&gt;1,"重复","唯一")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IF(COUNTIF($R$6:$R$872,R385)&gt;1,"重复","唯一")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IF(COUNTIF($R$6:$R$872,R386)&gt;1,"重复","唯一")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IF(COUNTIF($R$6:$R$872,R387)&gt;1,"重复","唯一")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IF(COUNTIF($R$6:$R$872,R388)&gt;1,"重复","唯一")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IF(COUNTIF($R$6:$R$872,R389)&gt;1,"重复","唯一")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IF(COUNTIF($R$6:$R$872,R390)&gt;1,"重复","唯一")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IF(COUNTIF($R$6:$R$872,R391)&gt;1,"重复","唯一")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IF(COUNTIF($R$6:$R$872,R392)&gt;1,"重复","唯一")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IF(COUNTIF($R$6:$R$872,R393)&gt;1,"重复","唯一")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IF(COUNTIF($R$6:$R$872,R394)&gt;1,"重复","唯一")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IF(COUNTIF($R$6:$R$872,R395)&gt;1,"重复","唯一")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IF(COUNTIF($R$6:$R$872,R396)&gt;1,"重复","唯一")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IF(COUNTIF($R$6:$R$872,R397)&gt;1,"重复","唯一")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IF(COUNTIF($R$6:$R$872,R398)&gt;1,"重复","唯一")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IF(COUNTIF($R$6:$R$872,R399)&gt;1,"重复","唯一")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IF(COUNTIF($R$6:$R$872,R400)&gt;1,"重复","唯一")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IF(COUNTIF($R$6:$R$872,R401)&gt;1,"重复","唯一")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IF(COUNTIF($R$6:$R$872,R402)&gt;1,"重复","唯一")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IF(COUNTIF($R$6:$R$872,R403)&gt;1,"重复","唯一")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IF(COUNTIF($R$6:$R$872,R404)&gt;1,"重复","唯一")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IF(COUNTIF($R$6:$R$872,R405)&gt;1,"重复","唯一")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IF(COUNTIF($R$6:$R$872,R406)&gt;1,"重复","唯一")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IF(COUNTIF($R$6:$R$872,R407)&gt;1,"重复","唯一")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IF(COUNTIF($R$6:$R$872,R408)&gt;1,"重复","唯一")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IF(COUNTIF($R$6:$R$872,R409)&gt;1,"重复","唯一")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IF(COUNTIF($R$6:$R$872,R410)&gt;1,"重复","唯一")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IF(COUNTIF($R$6:$R$872,R411)&gt;1,"重复","唯一")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IF(COUNTIF($R$6:$R$872,R412)&gt;1,"重复","唯一")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IF(COUNTIF($R$6:$R$872,R413)&gt;1,"重复","唯一")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IF(COUNTIF($R$6:$R$872,R414)&gt;1,"重复","唯一")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IF(COUNTIF($R$6:$R$872,R415)&gt;1,"重复","唯一")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IF(COUNTIF($R$6:$R$872,R416)&gt;1,"重复","唯一")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IF(COUNTIF($R$6:$R$872,R417)&gt;1,"重复","唯一")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IF(COUNTIF($R$6:$R$872,R418)&gt;1,"重复","唯一")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IF(COUNTIF($R$6:$R$872,R419)&gt;1,"重复","唯一")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IF(COUNTIF($R$6:$R$872,R420)&gt;1,"重复","唯一")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IF(COUNTIF($R$6:$R$872,R421)&gt;1,"重复","唯一")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IF(COUNTIF($R$6:$R$872,R422)&gt;1,"重复","唯一")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IF(COUNTIF($R$6:$R$872,R423)&gt;1,"重复","唯一")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IF(COUNTIF($R$6:$R$872,R424)&gt;1,"重复","唯一")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IF(COUNTIF($R$6:$R$872,R425)&gt;1,"重复","唯一")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IF(COUNTIF($R$6:$R$872,R426)&gt;1,"重复","唯一")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IF(COUNTIF($R$6:$R$872,R427)&gt;1,"重复","唯一")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IF(COUNTIF($R$6:$R$872,R428)&gt;1,"重复","唯一")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IF(COUNTIF($R$6:$R$872,R429)&gt;1,"重复","唯一")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IF(COUNTIF($R$6:$R$872,R430)&gt;1,"重复","唯一")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IF(COUNTIF($R$6:$R$872,R431)&gt;1,"重复","唯一")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IF(COUNTIF($R$6:$R$872,R432)&gt;1,"重复","唯一")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IF(COUNTIF($R$6:$R$872,R433)&gt;1,"重复","唯一")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IF(COUNTIF($R$6:$R$872,R434)&gt;1,"重复","唯一")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IF(COUNTIF($R$6:$R$872,R435)&gt;1,"重复","唯一")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IF(COUNTIF($R$6:$R$872,R436)&gt;1,"重复","唯一")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IF(COUNTIF($R$6:$R$872,R437)&gt;1,"重复","唯一")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IF(COUNTIF($R$6:$R$872,R438)&gt;1,"重复","唯一")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IF(COUNTIF($R$6:$R$872,R439)&gt;1,"重复","唯一")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IF(COUNTIF($R$6:$R$872,R440)&gt;1,"重复","唯一")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IF(COUNTIF($R$6:$R$872,R441)&gt;1,"重复","唯一")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IF(COUNTIF($R$6:$R$872,R442)&gt;1,"重复","唯一")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IF(COUNTIF($R$6:$R$872,R443)&gt;1,"重复","唯一")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IF(COUNTIF($R$6:$R$872,R444)&gt;1,"重复","唯一")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IF(COUNTIF($R$6:$R$872,R445)&gt;1,"重复","唯一")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IF(COUNTIF($R$6:$R$872,R446)&gt;1,"重复","唯一")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IF(COUNTIF($R$6:$R$872,R447)&gt;1,"重复","唯一")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IF(COUNTIF($R$6:$R$872,R448)&gt;1,"重复","唯一")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IF(COUNTIF($R$6:$R$872,R449)&gt;1,"重复","唯一")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IF(COUNTIF($R$6:$R$872,R450)&gt;1,"重复","唯一")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IF(COUNTIF($R$6:$R$872,R451)&gt;1,"重复","唯一")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IF(COUNTIF($R$6:$R$872,R452)&gt;1,"重复","唯一")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IF(COUNTIF($R$6:$R$872,R453)&gt;1,"重复","唯一")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IF(COUNTIF($R$6:$R$872,R454)&gt;1,"重复","唯一")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IF(COUNTIF($R$6:$R$872,R455)&gt;1,"重复","唯一")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IF(COUNTIF($R$6:$R$872,R456)&gt;1,"重复","唯一")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IF(COUNTIF($R$6:$R$872,R457)&gt;1,"重复","唯一")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IF(COUNTIF($R$6:$R$872,R458)&gt;1,"重复","唯一")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IF(COUNTIF($R$6:$R$872,R459)&gt;1,"重复","唯一")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IF(COUNTIF($R$6:$R$872,R460)&gt;1,"重复","唯一")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IF(COUNTIF($R$6:$R$872,R461)&gt;1,"重复","唯一")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IF(COUNTIF($R$6:$R$872,R462)&gt;1,"重复","唯一")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IF(COUNTIF($R$6:$R$872,R463)&gt;1,"重复","唯一")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IF(COUNTIF($R$6:$R$872,R464)&gt;1,"重复","唯一")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IF(COUNTIF($R$6:$R$872,R465)&gt;1,"重复","唯一")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IF(COUNTIF($R$6:$R$872,R466)&gt;1,"重复","唯一")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IF(COUNTIF($R$6:$R$872,R467)&gt;1,"重复","唯一")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IF(COUNTIF($R$6:$R$872,R468)&gt;1,"重复","唯一")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IF(COUNTIF($R$6:$R$872,R469)&gt;1,"重复","唯一")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IF(COUNTIF($R$6:$R$872,R470)&gt;1,"重复","唯一")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IF(COUNTIF($R$6:$R$872,R471)&gt;1,"重复","唯一")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IF(COUNTIF($R$6:$R$872,R472)&gt;1,"重复","唯一")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IF(COUNTIF($R$6:$R$872,R473)&gt;1,"重复","唯一")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IF(COUNTIF($R$6:$R$872,R474)&gt;1,"重复","唯一")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IF(COUNTIF($R$6:$R$872,R475)&gt;1,"重复","唯一")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IF(COUNTIF($R$6:$R$872,R476)&gt;1,"重复","唯一")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IF(COUNTIF($R$6:$R$872,R477)&gt;1,"重复","唯一")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IF(COUNTIF($R$6:$R$872,R478)&gt;1,"重复","唯一")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IF(COUNTIF($R$6:$R$872,R479)&gt;1,"重复","唯一")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IF(COUNTIF($R$6:$R$872,R480)&gt;1,"重复","唯一")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IF(COUNTIF($R$6:$R$872,R481)&gt;1,"重复","唯一")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IF(COUNTIF($R$6:$R$872,R482)&gt;1,"重复","唯一")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IF(COUNTIF($R$6:$R$872,R483)&gt;1,"重复","唯一")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IF(COUNTIF($R$6:$R$872,R484)&gt;1,"重复","唯一")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IF(COUNTIF($R$6:$R$872,R485)&gt;1,"重复","唯一")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IF(COUNTIF($R$6:$R$872,R486)&gt;1,"重复","唯一")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IF(COUNTIF($R$6:$R$872,R487)&gt;1,"重复","唯一")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IF(COUNTIF($R$6:$R$872,R488)&gt;1,"重复","唯一")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IF(COUNTIF($R$6:$R$872,R489)&gt;1,"重复","唯一")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IF(COUNTIF($R$6:$R$872,R490)&gt;1,"重复","唯一")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IF(COUNTIF($R$6:$R$872,R491)&gt;1,"重复","唯一")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IF(COUNTIF($R$6:$R$872,R492)&gt;1,"重复","唯一")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IF(COUNTIF($R$6:$R$872,R493)&gt;1,"重复","唯一")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IF(COUNTIF($R$6:$R$872,R494)&gt;1,"重复","唯一")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IF(COUNTIF($R$6:$R$872,R495)&gt;1,"重复","唯一")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IF(COUNTIF($R$6:$R$872,R496)&gt;1,"重复","唯一")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IF(COUNTIF($R$6:$R$872,R497)&gt;1,"重复","唯一")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IF(COUNTIF($R$6:$R$872,R498)&gt;1,"重复","唯一")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IF(COUNTIF($R$6:$R$872,R499)&gt;1,"重复","唯一")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IF(COUNTIF($R$6:$R$872,R500)&gt;1,"重复","唯一")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IF(COUNTIF($R$6:$R$872,R501)&gt;1,"重复","唯一")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IF(COUNTIF($R$6:$R$872,R502)&gt;1,"重复","唯一")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IF(COUNTIF($R$6:$R$872,R503)&gt;1,"重复","唯一")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IF(COUNTIF($R$6:$R$872,R504)&gt;1,"重复","唯一")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IF(COUNTIF($R$6:$R$872,R505)&gt;1,"重复","唯一")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IF(COUNTIF($R$6:$R$872,R506)&gt;1,"重复","唯一")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IF(COUNTIF($R$6:$R$872,R507)&gt;1,"重复","唯一")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IF(COUNTIF($R$6:$R$872,R508)&gt;1,"重复","唯一")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IF(COUNTIF($R$6:$R$872,R509)&gt;1,"重复","唯一")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IF(COUNTIF($R$6:$R$872,R510)&gt;1,"重复","唯一")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IF(COUNTIF($R$6:$R$872,R511)&gt;1,"重复","唯一")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IF(COUNTIF($R$6:$R$872,R512)&gt;1,"重复","唯一")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IF(COUNTIF($R$6:$R$872,R513)&gt;1,"重复","唯一")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IF(COUNTIF($R$6:$R$872,R514)&gt;1,"重复","唯一")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IF(COUNTIF($R$6:$R$872,R515)&gt;1,"重复","唯一")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IF(COUNTIF($R$6:$R$872,R516)&gt;1,"重复","唯一")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IF(COUNTIF($R$6:$R$872,R517)&gt;1,"重复","唯一")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IF(COUNTIF($R$6:$R$872,R518)&gt;1,"重复","唯一")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IF(COUNTIF($R$6:$R$872,R519)&gt;1,"重复","唯一")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IF(COUNTIF($R$6:$R$872,R520)&gt;1,"重复","唯一")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IF(COUNTIF($R$6:$R$872,R521)&gt;1,"重复","唯一")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IF(COUNTIF($R$6:$R$872,R522)&gt;1,"重复","唯一")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IF(COUNTIF($R$6:$R$872,R523)&gt;1,"重复","唯一")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IF(COUNTIF($R$6:$R$872,R524)&gt;1,"重复","唯一")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IF(COUNTIF($R$6:$R$872,R525)&gt;1,"重复","唯一")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IF(COUNTIF($R$6:$R$872,R526)&gt;1,"重复","唯一")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IF(COUNTIF($R$6:$R$872,R527)&gt;1,"重复","唯一")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IF(COUNTIF($R$6:$R$872,R528)&gt;1,"重复","唯一")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IF(COUNTIF($R$6:$R$872,R529)&gt;1,"重复","唯一")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IF(COUNTIF($R$6:$R$872,R530)&gt;1,"重复","唯一")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IF(COUNTIF($R$6:$R$872,R531)&gt;1,"重复","唯一")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IF(COUNTIF($R$6:$R$872,R532)&gt;1,"重复","唯一")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IF(COUNTIF($R$6:$R$872,R533)&gt;1,"重复","唯一")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IF(COUNTIF($R$6:$R$872,R534)&gt;1,"重复","唯一")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IF(COUNTIF($R$6:$R$872,R535)&gt;1,"重复","唯一")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IF(COUNTIF($R$6:$R$872,R536)&gt;1,"重复","唯一")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IF(COUNTIF($R$6:$R$872,R537)&gt;1,"重复","唯一")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IF(COUNTIF($R$6:$R$872,R538)&gt;1,"重复","唯一")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IF(COUNTIF($R$6:$R$872,R539)&gt;1,"重复","唯一")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IF(COUNTIF($R$6:$R$872,R540)&gt;1,"重复","唯一")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IF(COUNTIF($R$6:$R$872,R541)&gt;1,"重复","唯一")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IF(COUNTIF($R$6:$R$872,R542)&gt;1,"重复","唯一")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IF(COUNTIF($R$6:$R$872,R543)&gt;1,"重复","唯一")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IF(COUNTIF($R$6:$R$872,R544)&gt;1,"重复","唯一")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IF(COUNTIF($R$6:$R$872,R545)&gt;1,"重复","唯一")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IF(COUNTIF($R$6:$R$872,R546)&gt;1,"重复","唯一")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IF(COUNTIF($R$6:$R$872,R547)&gt;1,"重复","唯一")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IF(COUNTIF($R$6:$R$872,R548)&gt;1,"重复","唯一")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IF(COUNTIF($R$6:$R$872,R549)&gt;1,"重复","唯一")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IF(COUNTIF($R$6:$R$872,R550)&gt;1,"重复","唯一")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IF(COUNTIF($R$6:$R$872,R551)&gt;1,"重复","唯一")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IF(COUNTIF($R$6:$R$872,R552)&gt;1,"重复","唯一")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IF(COUNTIF($R$6:$R$872,R553)&gt;1,"重复","唯一")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IF(COUNTIF($R$6:$R$872,R554)&gt;1,"重复","唯一")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IF(COUNTIF($R$6:$R$872,R555)&gt;1,"重复","唯一")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IF(COUNTIF($R$6:$R$872,R556)&gt;1,"重复","唯一")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IF(COUNTIF($R$6:$R$872,R557)&gt;1,"重复","唯一")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IF(COUNTIF($R$6:$R$872,R558)&gt;1,"重复","唯一")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IF(COUNTIF($R$6:$R$872,R559)&gt;1,"重复","唯一")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IF(COUNTIF($R$6:$R$872,R560)&gt;1,"重复","唯一")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IF(COUNTIF($R$6:$R$872,R561)&gt;1,"重复","唯一")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IF(COUNTIF($R$6:$R$872,R562)&gt;1,"重复","唯一")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IF(COUNTIF($R$6:$R$872,R563)&gt;1,"重复","唯一")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IF(COUNTIF($R$6:$R$872,R564)&gt;1,"重复","唯一")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IF(COUNTIF($R$6:$R$872,R565)&gt;1,"重复","唯一")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IF(COUNTIF($R$6:$R$872,R566)&gt;1,"重复","唯一")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IF(COUNTIF($R$6:$R$872,R567)&gt;1,"重复","唯一")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IF(COUNTIF($R$6:$R$872,R568)&gt;1,"重复","唯一")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IF(COUNTIF($R$6:$R$872,R569)&gt;1,"重复","唯一")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IF(COUNTIF($R$6:$R$872,R570)&gt;1,"重复","唯一")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IF(COUNTIF($R$6:$R$872,R571)&gt;1,"重复","唯一")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IF(COUNTIF($R$6:$R$872,R572)&gt;1,"重复","唯一")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IF(COUNTIF($R$6:$R$872,R573)&gt;1,"重复","唯一")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IF(COUNTIF($R$6:$R$872,R574)&gt;1,"重复","唯一")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IF(COUNTIF($R$6:$R$872,R575)&gt;1,"重复","唯一")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IF(COUNTIF($R$6:$R$872,R576)&gt;1,"重复","唯一")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IF(COUNTIF($R$6:$R$872,R577)&gt;1,"重复","唯一")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IF(COUNTIF($R$6:$R$872,R578)&gt;1,"重复","唯一")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IF(COUNTIF($R$6:$R$872,R579)&gt;1,"重复","唯一")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IF(COUNTIF($R$6:$R$872,R580)&gt;1,"重复","唯一")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IF(COUNTIF($R$6:$R$872,R581)&gt;1,"重复","唯一")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IF(COUNTIF($R$6:$R$872,R582)&gt;1,"重复","唯一")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IF(COUNTIF($R$6:$R$872,R583)&gt;1,"重复","唯一")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IF(COUNTIF($R$6:$R$872,R584)&gt;1,"重复","唯一")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IF(COUNTIF($R$6:$R$872,R585)&gt;1,"重复","唯一")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IF(COUNTIF($R$6:$R$872,R586)&gt;1,"重复","唯一")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IF(COUNTIF($R$6:$R$872,R587)&gt;1,"重复","唯一")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IF(COUNTIF($R$6:$R$872,R588)&gt;1,"重复","唯一")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IF(COUNTIF($R$6:$R$872,R589)&gt;1,"重复","唯一")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IF(COUNTIF($R$6:$R$872,R590)&gt;1,"重复","唯一")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IF(COUNTIF($R$6:$R$872,R591)&gt;1,"重复","唯一")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IF(COUNTIF($R$6:$R$872,R592)&gt;1,"重复","唯一")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IF(COUNTIF($R$6:$R$872,R593)&gt;1,"重复","唯一")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IF(COUNTIF($R$6:$R$872,R594)&gt;1,"重复","唯一")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IF(COUNTIF($R$6:$R$872,R595)&gt;1,"重复","唯一")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IF(COUNTIF($R$6:$R$872,R596)&gt;1,"重复","唯一")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IF(COUNTIF($R$6:$R$872,R597)&gt;1,"重复","唯一")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IF(COUNTIF($R$6:$R$872,R598)&gt;1,"重复","唯一")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IF(COUNTIF($R$6:$R$872,R599)&gt;1,"重复","唯一")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IF(COUNTIF($R$6:$R$872,R600)&gt;1,"重复","唯一")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IF(COUNTIF($R$6:$R$872,R601)&gt;1,"重复","唯一")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IF(COUNTIF($R$6:$R$872,R602)&gt;1,"重复","唯一")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IF(COUNTIF($R$6:$R$872,R603)&gt;1,"重复","唯一")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IF(COUNTIF($R$6:$R$872,R604)&gt;1,"重复","唯一")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IF(COUNTIF($R$6:$R$872,R605)&gt;1,"重复","唯一")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IF(COUNTIF($R$6:$R$872,R606)&gt;1,"重复","唯一")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IF(COUNTIF($R$6:$R$872,R607)&gt;1,"重复","唯一")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IF(COUNTIF($R$6:$R$872,R608)&gt;1,"重复","唯一")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IF(COUNTIF($R$6:$R$872,R609)&gt;1,"重复","唯一")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IF(COUNTIF($R$6:$R$872,R610)&gt;1,"重复","唯一")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IF(COUNTIF($R$6:$R$872,R611)&gt;1,"重复","唯一")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IF(COUNTIF($R$6:$R$872,R612)&gt;1,"重复","唯一")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IF(COUNTIF($R$6:$R$872,R613)&gt;1,"重复","唯一")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IF(COUNTIF($R$6:$R$872,R614)&gt;1,"重复","唯一")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IF(COUNTIF($R$6:$R$872,R615)&gt;1,"重复","唯一")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IF(COUNTIF($R$6:$R$872,R616)&gt;1,"重复","唯一")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IF(COUNTIF($R$6:$R$872,R617)&gt;1,"重复","唯一")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IF(COUNTIF($R$6:$R$872,R618)&gt;1,"重复","唯一")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IF(COUNTIF($R$6:$R$872,R619)&gt;1,"重复","唯一")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IF(COUNTIF($R$6:$R$872,R620)&gt;1,"重复","唯一")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IF(COUNTIF($R$6:$R$872,R621)&gt;1,"重复","唯一")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IF(COUNTIF($R$6:$R$872,R622)&gt;1,"重复","唯一")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IF(COUNTIF($R$6:$R$872,R623)&gt;1,"重复","唯一")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IF(COUNTIF($R$6:$R$872,R624)&gt;1,"重复","唯一")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IF(COUNTIF($R$6:$R$872,R625)&gt;1,"重复","唯一")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IF(COUNTIF($R$6:$R$872,R626)&gt;1,"重复","唯一")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IF(COUNTIF($R$6:$R$872,R627)&gt;1,"重复","唯一")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IF(COUNTIF($R$6:$R$872,R628)&gt;1,"重复","唯一")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IF(COUNTIF($R$6:$R$872,R629)&gt;1,"重复","唯一")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IF(COUNTIF($R$6:$R$872,R630)&gt;1,"重复","唯一")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IF(COUNTIF($R$6:$R$872,R631)&gt;1,"重复","唯一")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IF(COUNTIF($R$6:$R$872,R632)&gt;1,"重复","唯一")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IF(COUNTIF($R$6:$R$872,R633)&gt;1,"重复","唯一")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IF(COUNTIF($R$6:$R$872,R634)&gt;1,"重复","唯一")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IF(COUNTIF($R$6:$R$872,R635)&gt;1,"重复","唯一")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IF(COUNTIF($R$6:$R$872,R636)&gt;1,"重复","唯一")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IF(COUNTIF($R$6:$R$872,R637)&gt;1,"重复","唯一")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IF(COUNTIF($R$6:$R$872,R638)&gt;1,"重复","唯一")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IF(COUNTIF($R$6:$R$872,R639)&gt;1,"重复","唯一")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IF(COUNTIF($R$6:$R$872,R640)&gt;1,"重复","唯一")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IF(COUNTIF($R$6:$R$872,R641)&gt;1,"重复","唯一")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IF(COUNTIF($R$6:$R$872,R642)&gt;1,"重复","唯一")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IF(COUNTIF($R$6:$R$872,R643)&gt;1,"重复","唯一")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IF(COUNTIF($R$6:$R$872,R644)&gt;1,"重复","唯一")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IF(COUNTIF($R$6:$R$872,R645)&gt;1,"重复","唯一")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IF(COUNTIF($R$6:$R$872,R646)&gt;1,"重复","唯一")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IF(COUNTIF($R$6:$R$872,R647)&gt;1,"重复","唯一")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IF(COUNTIF($R$6:$R$872,R648)&gt;1,"重复","唯一")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IF(COUNTIF($R$6:$R$872,R649)&gt;1,"重复","唯一")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IF(COUNTIF($R$6:$R$872,R650)&gt;1,"重复","唯一")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IF(COUNTIF($R$6:$R$872,R651)&gt;1,"重复","唯一")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IF(COUNTIF($R$6:$R$872,R652)&gt;1,"重复","唯一")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IF(COUNTIF($R$6:$R$872,R653)&gt;1,"重复","唯一")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IF(COUNTIF($R$6:$R$872,R654)&gt;1,"重复","唯一")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IF(COUNTIF($R$6:$R$872,R655)&gt;1,"重复","唯一")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IF(COUNTIF($R$6:$R$872,R656)&gt;1,"重复","唯一")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IF(COUNTIF($R$6:$R$872,R657)&gt;1,"重复","唯一")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IF(COUNTIF($R$6:$R$872,R658)&gt;1,"重复","唯一")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IF(COUNTIF($R$6:$R$872,R659)&gt;1,"重复","唯一")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IF(COUNTIF($R$6:$R$872,R660)&gt;1,"重复","唯一")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IF(COUNTIF($R$6:$R$872,R661)&gt;1,"重复","唯一")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IF(COUNTIF($R$6:$R$872,R662)&gt;1,"重复","唯一")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IF(COUNTIF($R$6:$R$872,R663)&gt;1,"重复","唯一")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IF(COUNTIF($R$6:$R$872,R664)&gt;1,"重复","唯一")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IF(COUNTIF($R$6:$R$872,R665)&gt;1,"重复","唯一")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IF(COUNTIF($R$6:$R$872,R666)&gt;1,"重复","唯一")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IF(COUNTIF($R$6:$R$872,R667)&gt;1,"重复","唯一")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IF(COUNTIF($R$6:$R$872,R668)&gt;1,"重复","唯一")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IF(COUNTIF($R$6:$R$872,R669)&gt;1,"重复","唯一")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IF(COUNTIF($R$6:$R$872,R670)&gt;1,"重复","唯一")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IF(COUNTIF($R$6:$R$872,R671)&gt;1,"重复","唯一")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IF(COUNTIF($R$6:$R$872,R672)&gt;1,"重复","唯一")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IF(COUNTIF($R$6:$R$872,R673)&gt;1,"重复","唯一")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IF(COUNTIF($R$6:$R$872,R674)&gt;1,"重复","唯一")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IF(COUNTIF($R$6:$R$872,R675)&gt;1,"重复","唯一")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IF(COUNTIF($R$6:$R$872,R676)&gt;1,"重复","唯一")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IF(COUNTIF($R$6:$R$872,R677)&gt;1,"重复","唯一")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IF(COUNTIF($R$6:$R$872,R678)&gt;1,"重复","唯一")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IF(COUNTIF($R$6:$R$872,R679)&gt;1,"重复","唯一")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IF(COUNTIF($R$6:$R$872,R680)&gt;1,"重复","唯一")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IF(COUNTIF($R$6:$R$872,R681)&gt;1,"重复","唯一")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IF(COUNTIF($R$6:$R$872,R682)&gt;1,"重复","唯一")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IF(COUNTIF($R$6:$R$872,R683)&gt;1,"重复","唯一")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IF(COUNTIF($R$6:$R$872,R684)&gt;1,"重复","唯一")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IF(COUNTIF($R$6:$R$872,R685)&gt;1,"重复","唯一")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IF(COUNTIF($R$6:$R$872,R686)&gt;1,"重复","唯一")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IF(COUNTIF($R$6:$R$872,R687)&gt;1,"重复","唯一")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IF(COUNTIF($R$6:$R$872,R688)&gt;1,"重复","唯一")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IF(COUNTIF($R$6:$R$872,R689)&gt;1,"重复","唯一")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IF(COUNTIF($R$6:$R$872,R690)&gt;1,"重复","唯一")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IF(COUNTIF($R$6:$R$872,R691)&gt;1,"重复","唯一")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IF(COUNTIF($R$6:$R$872,R692)&gt;1,"重复","唯一")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IF(COUNTIF($R$6:$R$872,R693)&gt;1,"重复","唯一")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IF(COUNTIF($R$6:$R$872,R694)&gt;1,"重复","唯一")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IF(COUNTIF($R$6:$R$872,R695)&gt;1,"重复","唯一")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IF(COUNTIF($R$6:$R$872,R696)&gt;1,"重复","唯一")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IF(COUNTIF($R$6:$R$872,R697)&gt;1,"重复","唯一")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IF(COUNTIF($R$6:$R$872,R698)&gt;1,"重复","唯一")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IF(COUNTIF($R$6:$R$872,R699)&gt;1,"重复","唯一")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IF(COUNTIF($R$6:$R$872,R700)&gt;1,"重复","唯一")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IF(COUNTIF($R$6:$R$872,R701)&gt;1,"重复","唯一")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IF(COUNTIF($R$6:$R$872,R702)&gt;1,"重复","唯一")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IF(COUNTIF($R$6:$R$872,R703)&gt;1,"重复","唯一")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IF(COUNTIF($R$6:$R$872,R704)&gt;1,"重复","唯一")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IF(COUNTIF($R$6:$R$872,R705)&gt;1,"重复","唯一")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IF(COUNTIF($R$6:$R$872,R706)&gt;1,"重复","唯一")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IF(COUNTIF($R$6:$R$872,R707)&gt;1,"重复","唯一")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IF(COUNTIF($R$6:$R$872,R708)&gt;1,"重复","唯一")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IF(COUNTIF($R$6:$R$872,R709)&gt;1,"重复","唯一")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IF(COUNTIF($R$6:$R$872,R710)&gt;1,"重复","唯一")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IF(COUNTIF($R$6:$R$872,R711)&gt;1,"重复","唯一")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IF(COUNTIF($R$6:$R$872,R712)&gt;1,"重复","唯一")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IF(COUNTIF($R$6:$R$872,R713)&gt;1,"重复","唯一")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IF(COUNTIF($R$6:$R$872,R714)&gt;1,"重复","唯一")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IF(COUNTIF($R$6:$R$872,R715)&gt;1,"重复","唯一")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IF(COUNTIF($R$6:$R$872,R716)&gt;1,"重复","唯一")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IF(COUNTIF($R$6:$R$872,R717)&gt;1,"重复","唯一")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IF(COUNTIF($R$6:$R$872,R718)&gt;1,"重复","唯一")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IF(COUNTIF($R$6:$R$872,R719)&gt;1,"重复","唯一")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IF(COUNTIF($R$6:$R$872,R720)&gt;1,"重复","唯一")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IF(COUNTIF($R$6:$R$872,R721)&gt;1,"重复","唯一")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IF(COUNTIF($R$6:$R$872,R722)&gt;1,"重复","唯一")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IF(COUNTIF($R$6:$R$872,R723)&gt;1,"重复","唯一")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IF(COUNTIF($R$6:$R$872,R724)&gt;1,"重复","唯一")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IF(COUNTIF($R$6:$R$872,R725)&gt;1,"重复","唯一")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IF(COUNTIF($R$6:$R$872,R726)&gt;1,"重复","唯一")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IF(COUNTIF($R$6:$R$872,R727)&gt;1,"重复","唯一")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IF(COUNTIF($R$6:$R$872,R728)&gt;1,"重复","唯一")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IF(COUNTIF($R$6:$R$872,R729)&gt;1,"重复","唯一")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IF(COUNTIF($R$6:$R$872,R730)&gt;1,"重复","唯一")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IF(COUNTIF($R$6:$R$872,R731)&gt;1,"重复","唯一")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IF(COUNTIF($R$6:$R$872,R732)&gt;1,"重复","唯一")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IF(COUNTIF($R$6:$R$872,R733)&gt;1,"重复","唯一")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IF(COUNTIF($R$6:$R$872,R734)&gt;1,"重复","唯一")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IF(COUNTIF($R$6:$R$872,R735)&gt;1,"重复","唯一")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IF(COUNTIF($R$6:$R$872,R736)&gt;1,"重复","唯一")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IF(COUNTIF($R$6:$R$872,R737)&gt;1,"重复","唯一")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IF(COUNTIF($R$6:$R$872,R738)&gt;1,"重复","唯一")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IF(COUNTIF($R$6:$R$872,R739)&gt;1,"重复","唯一")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IF(COUNTIF($R$6:$R$872,R740)&gt;1,"重复","唯一")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IF(COUNTIF($R$6:$R$872,R741)&gt;1,"重复","唯一")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IF(COUNTIF($R$6:$R$872,R742)&gt;1,"重复","唯一")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IF(COUNTIF($R$6:$R$872,R743)&gt;1,"重复","唯一")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IF(COUNTIF($R$6:$R$872,R744)&gt;1,"重复","唯一")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IF(COUNTIF($R$6:$R$872,R745)&gt;1,"重复","唯一")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IF(COUNTIF($R$6:$R$872,R746)&gt;1,"重复","唯一")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IF(COUNTIF($R$6:$R$872,R747)&gt;1,"重复","唯一")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IF(COUNTIF($R$6:$R$872,R748)&gt;1,"重复","唯一")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IF(COUNTIF($R$6:$R$872,R749)&gt;1,"重复","唯一")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IF(COUNTIF($R$6:$R$872,R750)&gt;1,"重复","唯一")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IF(COUNTIF($R$6:$R$872,R751)&gt;1,"重复","唯一")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IF(COUNTIF($R$6:$R$872,R752)&gt;1,"重复","唯一")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IF(COUNTIF($R$6:$R$872,R753)&gt;1,"重复","唯一")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IF(COUNTIF($R$6:$R$872,R754)&gt;1,"重复","唯一")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IF(COUNTIF($R$6:$R$872,R755)&gt;1,"重复","唯一")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IF(COUNTIF($R$6:$R$872,R756)&gt;1,"重复","唯一")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IF(COUNTIF($R$6:$R$872,R757)&gt;1,"重复","唯一")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IF(COUNTIF($R$6:$R$872,R758)&gt;1,"重复","唯一")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IF(COUNTIF($R$6:$R$872,R759)&gt;1,"重复","唯一")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IF(COUNTIF($R$6:$R$872,R760)&gt;1,"重复","唯一")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IF(COUNTIF($R$6:$R$872,R761)&gt;1,"重复","唯一")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IF(COUNTIF($R$6:$R$872,R762)&gt;1,"重复","唯一")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IF(COUNTIF($R$6:$R$872,R763)&gt;1,"重复","唯一")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IF(COUNTIF($R$6:$R$872,R764)&gt;1,"重复","唯一")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IF(COUNTIF($R$6:$R$872,R765)&gt;1,"重复","唯一")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IF(COUNTIF($R$6:$R$872,R766)&gt;1,"重复","唯一")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IF(COUNTIF($R$6:$R$872,R767)&gt;1,"重复","唯一")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IF(COUNTIF($R$6:$R$872,R768)&gt;1,"重复","唯一")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IF(COUNTIF($R$6:$R$872,R769)&gt;1,"重复","唯一")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IF(COUNTIF($R$6:$R$872,R770)&gt;1,"重复","唯一")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IF(COUNTIF($R$6:$R$872,R771)&gt;1,"重复","唯一")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IF(COUNTIF($R$6:$R$872,R772)&gt;1,"重复","唯一")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IF(COUNTIF($R$6:$R$872,R773)&gt;1,"重复","唯一")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IF(COUNTIF($R$6:$R$872,R774)&gt;1,"重复","唯一")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IF(COUNTIF($R$6:$R$872,R775)&gt;1,"重复","唯一")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IF(COUNTIF($R$6:$R$872,R776)&gt;1,"重复","唯一")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IF(COUNTIF($R$6:$R$872,R777)&gt;1,"重复","唯一")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IF(COUNTIF($R$6:$R$872,R778)&gt;1,"重复","唯一")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IF(COUNTIF($R$6:$R$872,R779)&gt;1,"重复","唯一")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IF(COUNTIF($R$6:$R$872,R780)&gt;1,"重复","唯一")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IF(COUNTIF($R$6:$R$872,R781)&gt;1,"重复","唯一")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IF(COUNTIF($R$6:$R$872,R782)&gt;1,"重复","唯一")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IF(COUNTIF($R$6:$R$872,R783)&gt;1,"重复","唯一")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IF(COUNTIF($R$6:$R$872,R784)&gt;1,"重复","唯一")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IF(COUNTIF($R$6:$R$872,R785)&gt;1,"重复","唯一")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IF(COUNTIF($R$6:$R$872,R786)&gt;1,"重复","唯一")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IF(COUNTIF($R$6:$R$872,R787)&gt;1,"重复","唯一")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IF(COUNTIF($R$6:$R$872,R788)&gt;1,"重复","唯一")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IF(COUNTIF($R$6:$R$872,R789)&gt;1,"重复","唯一")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IF(COUNTIF($R$6:$R$872,R790)&gt;1,"重复","唯一")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IF(COUNTIF($R$6:$R$872,R791)&gt;1,"重复","唯一")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IF(COUNTIF($R$6:$R$872,R792)&gt;1,"重复","唯一")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IF(COUNTIF($R$6:$R$872,R793)&gt;1,"重复","唯一")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IF(COUNTIF($R$6:$R$872,R794)&gt;1,"重复","唯一")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IF(COUNTIF($R$6:$R$872,R795)&gt;1,"重复","唯一")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IF(COUNTIF($R$6:$R$872,R796)&gt;1,"重复","唯一")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IF(COUNTIF($R$6:$R$872,R797)&gt;1,"重复","唯一")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IF(COUNTIF($R$6:$R$872,R798)&gt;1,"重复","唯一")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IF(COUNTIF($R$6:$R$872,R799)&gt;1,"重复","唯一")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IF(COUNTIF($R$6:$R$872,R800)&gt;1,"重复","唯一")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IF(COUNTIF($R$6:$R$872,R801)&gt;1,"重复","唯一")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IF(COUNTIF($R$6:$R$872,R802)&gt;1,"重复","唯一")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IF(COUNTIF($R$6:$R$872,R803)&gt;1,"重复","唯一")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IF(COUNTIF($R$6:$R$872,R804)&gt;1,"重复","唯一")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IF(COUNTIF($R$6:$R$872,R805)&gt;1,"重复","唯一")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IF(COUNTIF($R$6:$R$872,R806)&gt;1,"重复","唯一")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IF(COUNTIF($R$6:$R$872,R807)&gt;1,"重复","唯一")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IF(COUNTIF($R$6:$R$872,R808)&gt;1,"重复","唯一")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IF(COUNTIF($R$6:$R$872,R809)&gt;1,"重复","唯一")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IF(COUNTIF($R$6:$R$872,R810)&gt;1,"重复","唯一")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IF(COUNTIF($R$6:$R$872,R811)&gt;1,"重复","唯一")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IF(COUNTIF($R$6:$R$872,R812)&gt;1,"重复","唯一")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IF(COUNTIF($R$6:$R$872,R813)&gt;1,"重复","唯一")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IF(COUNTIF($R$6:$R$872,R814)&gt;1,"重复","唯一")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IF(COUNTIF($R$6:$R$872,R815)&gt;1,"重复","唯一")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IF(COUNTIF($R$6:$R$872,R816)&gt;1,"重复","唯一")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IF(COUNTIF($R$6:$R$872,R817)&gt;1,"重复","唯一")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IF(COUNTIF($R$6:$R$872,R818)&gt;1,"重复","唯一")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IF(COUNTIF($R$6:$R$872,R819)&gt;1,"重复","唯一")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IF(COUNTIF($R$6:$R$872,R820)&gt;1,"重复","唯一")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IF(COUNTIF($R$6:$R$872,R821)&gt;1,"重复","唯一")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IF(COUNTIF($R$6:$R$872,R822)&gt;1,"重复","唯一")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IF(COUNTIF($R$6:$R$872,R823)&gt;1,"重复","唯一")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IF(COUNTIF($R$6:$R$872,R824)&gt;1,"重复","唯一")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IF(COUNTIF($R$6:$R$872,R825)&gt;1,"重复","唯一")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IF(COUNTIF($R$6:$R$872,R826)&gt;1,"重复","唯一")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IF(COUNTIF($R$6:$R$872,R827)&gt;1,"重复","唯一")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IF(COUNTIF($R$6:$R$872,R828)&gt;1,"重复","唯一")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IF(COUNTIF($R$6:$R$872,R829)&gt;1,"重复","唯一")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IF(COUNTIF($R$6:$R$872,R830)&gt;1,"重复","唯一")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IF(COUNTIF($R$6:$R$872,R831)&gt;1,"重复","唯一")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IF(COUNTIF($R$6:$R$872,R832)&gt;1,"重复","唯一")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IF(COUNTIF($R$6:$R$872,R833)&gt;1,"重复","唯一")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IF(COUNTIF($R$6:$R$872,R834)&gt;1,"重复","唯一")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IF(COUNTIF($R$6:$R$872,R835)&gt;1,"重复","唯一")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IF(COUNTIF($R$6:$R$872,R836)&gt;1,"重复","唯一")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IF(COUNTIF($R$6:$R$872,R837)&gt;1,"重复","唯一")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IF(COUNTIF($R$6:$R$872,R838)&gt;1,"重复","唯一")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IF(COUNTIF($R$6:$R$872,R839)&gt;1,"重复","唯一")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IF(COUNTIF($R$6:$R$872,R840)&gt;1,"重复","唯一")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IF(COUNTIF($R$6:$R$872,R841)&gt;1,"重复","唯一")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IF(COUNTIF($R$6:$R$872,R842)&gt;1,"重复","唯一")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IF(COUNTIF($R$6:$R$872,R843)&gt;1,"重复","唯一")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IF(COUNTIF($R$6:$R$872,R844)&gt;1,"重复","唯一")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IF(COUNTIF($R$6:$R$872,R845)&gt;1,"重复","唯一")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IF(COUNTIF($R$6:$R$872,R846)&gt;1,"重复","唯一")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IF(COUNTIF($R$6:$R$872,R847)&gt;1,"重复","唯一")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IF(COUNTIF($R$6:$R$872,R848)&gt;1,"重复","唯一")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IF(COUNTIF($R$6:$R$872,R849)&gt;1,"重复","唯一")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IF(COUNTIF($R$6:$R$872,R850)&gt;1,"重复","唯一")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IF(COUNTIF($R$6:$R$872,R851)&gt;1,"重复","唯一")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IF(COUNTIF($R$6:$R$872,R852)&gt;1,"重复","唯一")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IF(COUNTIF($R$6:$R$872,R853)&gt;1,"重复","唯一")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IF(COUNTIF($R$6:$R$872,R854)&gt;1,"重复","唯一")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IF(COUNTIF($R$6:$R$872,R855)&gt;1,"重复","唯一")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IF(COUNTIF($R$6:$R$872,R856)&gt;1,"重复","唯一")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IF(COUNTIF($R$6:$R$872,R857)&gt;1,"重复","唯一")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IF(COUNTIF($R$6:$R$872,R858)&gt;1,"重复","唯一")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IF(COUNTIF($R$6:$R$872,R859)&gt;1,"重复","唯一")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IF(COUNTIF($R$6:$R$872,R860)&gt;1,"重复","唯一")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IF(COUNTIF($R$6:$R$872,R861)&gt;1,"重复","唯一")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IF(COUNTIF($R$6:$R$872,R862)&gt;1,"重复","唯一")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IF(COUNTIF($R$6:$R$872,R863)&gt;1,"重复","唯一")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IF(COUNTIF($R$6:$R$872,R864)&gt;1,"重复","唯一")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IF(COUNTIF($R$6:$R$872,R865)&gt;1,"重复","唯一")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IF(COUNTIF($R$6:$R$872,R866)&gt;1,"重复","唯一")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6.280000686645508]；visual_only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IF(COUNTIF($R$6:$R$872,R867)&gt;1,"重复","唯一")</f>
        <v/>
      </c>
      <c r="T867" s="80" t="inlineStr">
        <is>
          <t>5f02a05b2e72007ac90d084aaef7095aba817f6f6d4bc98bb04fe7f7ccd49a20</t>
        </is>
      </c>
      <c r="U867" s="80" t="inlineStr">
        <is>
          <t>Codex</t>
        </is>
      </c>
      <c r="V867" s="94" t="inlineStr">
        <is>
          <t>2026-10-09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IF(COUNTIF($R$6:$R$872,R868)&gt;1,"重复","唯一")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IF(COUNTIF($R$6:$R$872,R869)&gt;1,"重复","唯一")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IF(COUNTIF($R$6:$R$872,R870)&gt;1,"重复","唯一")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IF(COUNTIF($R$6:$R$872,R871)&gt;1,"重复","唯一")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IF(COUNTIF($R$6:$R$872,R872)&gt;1,"重复","唯一")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</sheetData>
  <autoFilter ref="A5:X872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72" showDropDown="0" showInputMessage="0" showErrorMessage="0" allowBlank="1" type="list">
      <formula1>"角色,敌人,武器,道具,场景,场景道具,基地资产包,UI,特效,音效,音乐"</formula1>
    </dataValidation>
    <dataValidation sqref="K6:K872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72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无</t>
        </is>
      </c>
      <c r="I55" s="102" t="inlineStr">
        <is>
          <t>无</t>
        </is>
      </c>
      <c r="J55" s="103" t="inlineStr">
        <is>
          <t>visual_only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2026-10-12T04:12:10Z</dcterms:modified>
</cp:coreProperties>
</file>