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'资产主表'!$A$5:$Y$816</definedName>
    <definedName name="_xlnm._FilterDatabase" localSheetId="3" hidden="1">'3D-场景通用'!$A$5:$P$716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* #,##0_ ;_ * -#,##0_ ;_ * &quot;-&quot;_ ;_ @_ "/>
    <numFmt numFmtId="168" formatCode="_ \¥* #,##0.00_ ;_ \¥* -#,##0.00_ ;_ \¥* &quot;-&quot;??_ ;_ @_ "/>
    <numFmt numFmtId="169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6" fontId="26" fillId="11" borderId="21"/>
    <xf numFmtId="167" fontId="26" fillId="11" borderId="21"/>
    <xf numFmtId="168" fontId="26" fillId="11" borderId="21"/>
    <xf numFmtId="169" fontId="26" fillId="11" borderId="21"/>
    <xf numFmtId="9" fontId="26" fillId="11" borderId="21"/>
  </cellStyleXfs>
  <cellXfs count="1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COUNTA(资产主表!$A$6:$A$816)</f>
        <v/>
      </c>
      <c r="B6" s="72" t="inlineStr"/>
      <c r="C6" s="74">
        <f>COUNTIF(资产主表!$K$6:$K$816,"已完成")+COUNTIF(资产主表!$K$6:$K$816,"原型已接入")+COUNTIF(资产主表!$K$6:$K$816,"正式美术已接入")+COUNTIF(资产主表!$K$6:$K$816,"已优化并正式接入")+COUNTIF(资产主表!$K$6:$K$816,"Blender源已完成")+COUNTIF(资产主表!$K$6:$K$816,"已导入；优化完成")+COUNTIF(资产主表!$K$6:$K$816,"白模源已完成；QA PASS")</f>
        <v/>
      </c>
      <c r="D6" s="72" t="inlineStr"/>
      <c r="E6" s="74">
        <f>COUNTIF(资产主表!$K$6:$K$816,"待制作")+COUNTIF(资产主表!$K$6:$K$816,"程序占位")</f>
        <v/>
      </c>
      <c r="F6" s="72" t="inlineStr"/>
      <c r="G6" s="74">
        <f>COUNTIF(资产主表!$S$6:$S$816,"重复")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COUNTIF(资产主表!$C$6:$C$816,A10)</f>
        <v/>
      </c>
      <c r="C10" s="79">
        <f>SUMPRODUCT((资产主表!$C$6:$C$816=A10)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COUNTIF(资产主表!$C$6:$C$816,A11)</f>
        <v/>
      </c>
      <c r="C11" s="79">
        <f>SUMPRODUCT((资产主表!$C$6:$C$816=A11)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COUNTIF(资产主表!$C$6:$C$816,A12)</f>
        <v/>
      </c>
      <c r="C12" s="79">
        <f>SUMPRODUCT((资产主表!$C$6:$C$816=A12)*((资产主表!$K$6:$K$816="已完成")+(资产主表!$K$6:$K$816="原型已接入")+(资产主表!$K$6:$K$816="正式美术已接入")+(资产主表!$K$6:$K$816="已优化并正式接入")+(资产主表!$K$6:$K$816="Blender源已完成")+(资产主表!$K$6:$K$816="已导入；优化完成")+(资产主表!$K$6:$K$816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4"/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IF(COUNTIF($R$6:$R$816,R6)&gt;1,"重复","唯一")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IF(COUNTIF($R$6:$R$816,R7)&gt;1,"重复","唯一")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IF(COUNTIF($R$6:$R$816,R8)&gt;1,"重复","唯一")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IF(COUNTIF($R$6:$R$816,R9)&gt;1,"重复","唯一")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IF(COUNTIF($R$6:$R$816,R10)&gt;1,"重复","唯一")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IF(COUNTIF($R$6:$R$816,R11)&gt;1,"重复","唯一")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IF(COUNTIF($R$6:$R$816,R12)&gt;1,"重复","唯一")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IF(COUNTIF($R$6:$R$816,R13)&gt;1,"重复","唯一")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IF(COUNTIF($R$6:$R$816,R14)&gt;1,"重复","唯一")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IF(COUNTIF($R$6:$R$816,R15)&gt;1,"重复","唯一")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IF(COUNTIF($R$6:$R$816,R16)&gt;1,"重复","唯一")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IF(COUNTIF($R$6:$R$816,R17)&gt;1,"重复","唯一")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IF(COUNTIF($R$6:$R$816,R18)&gt;1,"重复","唯一")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IF(COUNTIF($R$6:$R$816,R19)&gt;1,"重复","唯一")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IF(COUNTIF($R$6:$R$816,R20)&gt;1,"重复","唯一")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IF(COUNTIF($R$6:$R$816,R21)&gt;1,"重复","唯一")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IF(COUNTIF($R$6:$R$816,R22)&gt;1,"重复","唯一")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IF(COUNTIF($R$6:$R$816,R23)&gt;1,"重复","唯一")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IF(COUNTIF($R$6:$R$816,R24)&gt;1,"重复","唯一")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IF(COUNTIF($R$6:$R$816,R25)&gt;1,"重复","唯一")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IF(COUNTIF($R$6:$R$816,R26)&gt;1,"重复","唯一")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IF(COUNTIF($R$6:$R$816,R27)&gt;1,"重复","唯一")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IF(COUNTIF($R$6:$R$816,R28)&gt;1,"重复","唯一")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IF(COUNTIF($R$6:$R$816,R29)&gt;1,"重复","唯一")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IF(COUNTIF($R$6:$R$816,R30)&gt;1,"重复","唯一")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IF(COUNTIF($R$6:$R$816,R31)&gt;1,"重复","唯一")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IF(COUNTIF($R$6:$R$816,R32)&gt;1,"重复","唯一")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IF(COUNTIF($R$6:$R$816,R33)&gt;1,"重复","唯一")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IF(COUNTIF($R$6:$R$816,R34)&gt;1,"重复","唯一")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IF(COUNTIF($R$6:$R$816,R35)&gt;1,"重复","唯一")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IF(COUNTIF($R$6:$R$816,R36)&gt;1,"重复","唯一")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IF(COUNTIF($R$6:$R$816,R37)&gt;1,"重复","唯一")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IF(COUNTIF($R$6:$R$816,R38)&gt;1,"重复","唯一")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IF(COUNTIF($R$6:$R$816,R39)&gt;1,"重复","唯一")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IF(COUNTIF($R$6:$R$816,R40)&gt;1,"重复","唯一")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IF(COUNTIF($R$6:$R$816,R41)&gt;1,"重复","唯一")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IF(COUNTIF($R$6:$R$816,R42)&gt;1,"重复","唯一")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IF(COUNTIF($R$6:$R$816,R43)&gt;1,"重复","唯一")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IF(COUNTIF($R$6:$R$816,R44)&gt;1,"重复","唯一")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IF(COUNTIF($R$6:$R$816,R45)&gt;1,"重复","唯一")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IF(COUNTIF($R$6:$R$816,R46)&gt;1,"重复","唯一")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IF(COUNTIF($R$6:$R$816,R47)&gt;1,"重复","唯一")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IF(COUNTIF($R$6:$R$816,R48)&gt;1,"重复","唯一")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IF(COUNTIF($R$6:$R$816,R49)&gt;1,"重复","唯一")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IF(COUNTIF($R$6:$R$816,R50)&gt;1,"重复","唯一")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IF(COUNTIF($R$6:$R$816,R51)&gt;1,"重复","唯一")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IF(COUNTIF($R$6:$R$816,R52)&gt;1,"重复","唯一")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IF(COUNTIF($R$6:$R$816,R53)&gt;1,"重复","唯一")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IF(COUNTIF($R$6:$R$816,R54)&gt;1,"重复","唯一")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IF(COUNTIF($R$6:$R$816,R55)&gt;1,"重复","唯一")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IF(COUNTIF($R$6:$R$816,R56)&gt;1,"重复","唯一")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IF(COUNTIF($R$6:$R$816,R57)&gt;1,"重复","唯一")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IF(COUNTIF($R$6:$R$816,R58)&gt;1,"重复","唯一")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IF(COUNTIF($R$6:$R$816,R59)&gt;1,"重复","唯一")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IF(COUNTIF($R$6:$R$816,R60)&gt;1,"重复","唯一")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IF(COUNTIF($R$6:$R$816,R61)&gt;1,"重复","唯一")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IF(COUNTIF($R$6:$R$816,R62)&gt;1,"重复","唯一")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IF(COUNTIF($R$6:$R$816,R63)&gt;1,"重复","唯一")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IF(COUNTIF($R$6:$R$816,R64)&gt;1,"重复","唯一")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IF(COUNTIF($R$6:$R$816,R65)&gt;1,"重复","唯一")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IF(COUNTIF($R$6:$R$816,R66)&gt;1,"重复","唯一")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IF(COUNTIF($R$6:$R$816,R67)&gt;1,"重复","唯一")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IF(COUNTIF($R$6:$R$816,R68)&gt;1,"重复","唯一")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IF(COUNTIF($R$6:$R$816,R69)&gt;1,"重复","唯一")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IF(COUNTIF($R$6:$R$816,R70)&gt;1,"重复","唯一")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IF(COUNTIF($R$6:$R$816,R71)&gt;1,"重复","唯一")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IF(COUNTIF($R$6:$R$816,R72)&gt;1,"重复","唯一")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IF(COUNTIF($R$6:$R$816,R73)&gt;1,"重复","唯一")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IF(COUNTIF($R$6:$R$816,R74)&gt;1,"重复","唯一")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IF(COUNTIF($R$6:$R$816,R75)&gt;1,"重复","唯一")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IF(COUNTIF($R$6:$R$816,R76)&gt;1,"重复","唯一")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IF(COUNTIF($R$6:$R$816,R77)&gt;1,"重复","唯一")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IF(COUNTIF($R$6:$R$816,R78)&gt;1,"重复","唯一")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IF(COUNTIF($R$6:$R$816,R79)&gt;1,"重复","唯一")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IF(COUNTIF($R$6:$R$816,R80)&gt;1,"重复","唯一")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IF(COUNTIF($R$6:$R$816,R81)&gt;1,"重复","唯一")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IF(COUNTIF($R$6:$R$816,R82)&gt;1,"重复","唯一")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IF(COUNTIF($R$6:$R$816,R83)&gt;1,"重复","唯一")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IF(COUNTIF($R$6:$R$816,R84)&gt;1,"重复","唯一")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IF(COUNTIF($R$6:$R$816,R85)&gt;1,"重复","唯一")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IF(COUNTIF($R$6:$R$816,R86)&gt;1,"重复","唯一")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IF(COUNTIF($R$6:$R$816,R87)&gt;1,"重复","唯一")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IF(COUNTIF($R$6:$R$816,R88)&gt;1,"重复","唯一")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IF(COUNTIF($R$6:$R$816,R89)&gt;1,"重复","唯一")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IF(COUNTIF($R$6:$R$816,R90)&gt;1,"重复","唯一")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IF(COUNTIF($R$6:$R$816,R91)&gt;1,"重复","唯一")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IF(COUNTIF($R$6:$R$816,R92)&gt;1,"重复","唯一")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IF(COUNTIF($R$6:$R$816,R93)&gt;1,"重复","唯一")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IF(COUNTIF($R$6:$R$816,R94)&gt;1,"重复","唯一")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IF(COUNTIF($R$6:$R$816,R95)&gt;1,"重复","唯一")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IF(COUNTIF($R$6:$R$816,R96)&gt;1,"重复","唯一")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IF(COUNTIF($R$6:$R$816,R97)&gt;1,"重复","唯一")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IF(COUNTIF($R$6:$R$816,R98)&gt;1,"重复","唯一")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IF(COUNTIF($R$6:$R$816,R99)&gt;1,"重复","唯一")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IF(COUNTIF($R$6:$R$816,R100)&gt;1,"重复","唯一")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IF(COUNTIF($R$6:$R$816,R101)&gt;1,"重复","唯一")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IF(COUNTIF($R$6:$R$816,R102)&gt;1,"重复","唯一")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IF(COUNTIF($R$6:$R$816,R103)&gt;1,"重复","唯一")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IF(COUNTIF($R$6:$R$816,R104)&gt;1,"重复","唯一")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IF(COUNTIF($R$6:$R$816,R105)&gt;1,"重复","唯一")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IF(COUNTIF($R$6:$R$816,R106)&gt;1,"重复","唯一")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IF(COUNTIF($R$6:$R$816,R107)&gt;1,"重复","唯一")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IF(COUNTIF($R$6:$R$816,R108)&gt;1,"重复","唯一")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IF(COUNTIF($R$6:$R$816,R109)&gt;1,"重复","唯一")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IF(COUNTIF($R$6:$R$816,R110)&gt;1,"重复","唯一")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IF(COUNTIF($R$6:$R$816,R111)&gt;1,"重复","唯一")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IF(COUNTIF($R$6:$R$816,R112)&gt;1,"重复","唯一")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IF(COUNTIF($R$6:$R$816,R113)&gt;1,"重复","唯一")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IF(COUNTIF($R$6:$R$816,R114)&gt;1,"重复","唯一")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IF(COUNTIF($R$6:$R$816,R115)&gt;1,"重复","唯一")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IF(COUNTIF($R$6:$R$816,R116)&gt;1,"重复","唯一")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IF(COUNTIF($R$6:$R$816,R117)&gt;1,"重复","唯一")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IF(COUNTIF($R$6:$R$816,R118)&gt;1,"重复","唯一")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IF(COUNTIF($R$6:$R$816,R119)&gt;1,"重复","唯一")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IF(COUNTIF($R$6:$R$816,R120)&gt;1,"重复","唯一")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IF(COUNTIF($R$6:$R$816,R121)&gt;1,"重复","唯一")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IF(COUNTIF($R$6:$R$816,R122)&gt;1,"重复","唯一")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IF(COUNTIF($R$6:$R$816,R123)&gt;1,"重复","唯一")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IF(COUNTIF($R$6:$R$816,R124)&gt;1,"重复","唯一")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IF(COUNTIF($R$6:$R$816,R125)&gt;1,"重复","唯一")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IF(COUNTIF($R$6:$R$816,R126)&gt;1,"重复","唯一")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IF(COUNTIF($R$6:$R$816,R127)&gt;1,"重复","唯一")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IF(COUNTIF($R$6:$R$816,R128)&gt;1,"重复","唯一")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IF(COUNTIF($R$6:$R$816,R129)&gt;1,"重复","唯一")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IF(COUNTIF($R$6:$R$816,R130)&gt;1,"重复","唯一")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IF(COUNTIF($R$6:$R$816,R131)&gt;1,"重复","唯一")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IF(COUNTIF($R$6:$R$816,R132)&gt;1,"重复","唯一")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IF(COUNTIF($R$6:$R$816,R133)&gt;1,"重复","唯一")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IF(COUNTIF($R$6:$R$816,R134)&gt;1,"重复","唯一")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IF(COUNTIF($R$6:$R$816,R135)&gt;1,"重复","唯一")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IF(COUNTIF($R$6:$R$816,R136)&gt;1,"重复","唯一")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IF(COUNTIF($R$6:$R$816,R137)&gt;1,"重复","唯一")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IF(COUNTIF($R$6:$R$816,R138)&gt;1,"重复","唯一")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IF(COUNTIF($R$6:$R$816,R139)&gt;1,"重复","唯一")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IF(COUNTIF($R$6:$R$816,R140)&gt;1,"重复","唯一")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IF(COUNTIF($R$6:$R$816,R141)&gt;1,"重复","唯一")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IF(COUNTIF($R$6:$R$816,R142)&gt;1,"重复","唯一")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IF(COUNTIF($R$6:$R$816,R143)&gt;1,"重复","唯一")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IF(COUNTIF($R$6:$R$816,R144)&gt;1,"重复","唯一")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IF(COUNTIF($R$6:$R$816,R145)&gt;1,"重复","唯一")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IF(COUNTIF($R$6:$R$816,R146)&gt;1,"重复","唯一")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IF(COUNTIF($R$6:$R$816,R147)&gt;1,"重复","唯一")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IF(COUNTIF($R$6:$R$816,R148)&gt;1,"重复","唯一")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IF(COUNTIF($R$6:$R$816,R149)&gt;1,"重复","唯一")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IF(COUNTIF($R$6:$R$816,R150)&gt;1,"重复","唯一")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IF(COUNTIF($R$6:$R$816,R151)&gt;1,"重复","唯一")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IF(COUNTIF($R$6:$R$816,R152)&gt;1,"重复","唯一")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IF(COUNTIF($R$6:$R$816,R153)&gt;1,"重复","唯一")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IF(COUNTIF($R$6:$R$816,R154)&gt;1,"重复","唯一")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IF(COUNTIF($R$6:$R$816,R155)&gt;1,"重复","唯一")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IF(COUNTIF($R$6:$R$816,R156)&gt;1,"重复","唯一")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IF(COUNTIF($R$6:$R$816,R157)&gt;1,"重复","唯一")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IF(COUNTIF($R$6:$R$816,R158)&gt;1,"重复","唯一")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IF(COUNTIF($R$6:$R$816,R159)&gt;1,"重复","唯一")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IF(COUNTIF($R$6:$R$816,R160)&gt;1,"重复","唯一")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IF(COUNTIF($R$6:$R$816,R161)&gt;1,"重复","唯一")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IF(COUNTIF($R$6:$R$816,R162)&gt;1,"重复","唯一")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IF(COUNTIF($R$6:$R$816,R163)&gt;1,"重复","唯一")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IF(COUNTIF($R$6:$R$816,R164)&gt;1,"重复","唯一")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IF(COUNTIF($R$6:$R$816,R165)&gt;1,"重复","唯一")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IF(COUNTIF($R$6:$R$816,R166)&gt;1,"重复","唯一")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IF(COUNTIF($R$6:$R$816,R167)&gt;1,"重复","唯一")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IF(COUNTIF($R$6:$R$816,R168)&gt;1,"重复","唯一")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IF(COUNTIF($R$6:$R$816,R169)&gt;1,"重复","唯一")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IF(COUNTIF($R$6:$R$816,R170)&gt;1,"重复","唯一")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IF(COUNTIF($R$6:$R$816,R171)&gt;1,"重复","唯一")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IF(COUNTIF($R$6:$R$816,R172)&gt;1,"重复","唯一")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IF(COUNTIF($R$6:$R$816,R173)&gt;1,"重复","唯一")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IF(COUNTIF($R$6:$R$816,R174)&gt;1,"重复","唯一")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IF(COUNTIF($R$6:$R$816,R175)&gt;1,"重复","唯一")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IF(COUNTIF($R$6:$R$816,R176)&gt;1,"重复","唯一")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IF(COUNTIF($R$6:$R$816,R177)&gt;1,"重复","唯一")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IF(COUNTIF($R$6:$R$816,R178)&gt;1,"重复","唯一")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IF(COUNTIF($R$6:$R$816,R179)&gt;1,"重复","唯一")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IF(COUNTIF($R$6:$R$816,R180)&gt;1,"重复","唯一")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IF(COUNTIF($R$6:$R$816,R181)&gt;1,"重复","唯一")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IF(COUNTIF($R$6:$R$816,R182)&gt;1,"重复","唯一")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IF(COUNTIF($R$6:$R$816,R183)&gt;1,"重复","唯一")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IF(COUNTIF($R$6:$R$816,R184)&gt;1,"重复","唯一")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IF(COUNTIF($R$6:$R$816,R185)&gt;1,"重复","唯一")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IF(COUNTIF($R$6:$R$816,R186)&gt;1,"重复","唯一")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IF(COUNTIF($R$6:$R$816,R187)&gt;1,"重复","唯一")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IF(COUNTIF($R$6:$R$816,R188)&gt;1,"重复","唯一")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IF(COUNTIF($R$6:$R$816,R189)&gt;1,"重复","唯一")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IF(COUNTIF($R$6:$R$816,R190)&gt;1,"重复","唯一")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IF(COUNTIF($R$6:$R$816,R191)&gt;1,"重复","唯一")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IF(COUNTIF($R$6:$R$816,R192)&gt;1,"重复","唯一")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IF(COUNTIF($R$6:$R$816,R193)&gt;1,"重复","唯一")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IF(COUNTIF($R$6:$R$816,R194)&gt;1,"重复","唯一")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IF(COUNTIF($R$6:$R$816,R195)&gt;1,"重复","唯一")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IF(COUNTIF($R$6:$R$816,R196)&gt;1,"重复","唯一")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IF(COUNTIF($R$6:$R$816,R197)&gt;1,"重复","唯一")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IF(COUNTIF($R$6:$R$816,R198)&gt;1,"重复","唯一")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IF(COUNTIF($R$6:$R$816,R199)&gt;1,"重复","唯一")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IF(COUNTIF($R$6:$R$816,R200)&gt;1,"重复","唯一")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IF(COUNTIF($R$6:$R$816,R201)&gt;1,"重复","唯一")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IF(COUNTIF($R$6:$R$816,R202)&gt;1,"重复","唯一")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IF(COUNTIF($R$6:$R$816,R203)&gt;1,"重复","唯一")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IF(COUNTIF($R$6:$R$816,R204)&gt;1,"重复","唯一")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IF(COUNTIF($R$6:$R$816,R205)&gt;1,"重复","唯一")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IF(COUNTIF($R$6:$R$816,R206)&gt;1,"重复","唯一")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IF(COUNTIF($R$6:$R$816,R207)&gt;1,"重复","唯一")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IF(COUNTIF($R$6:$R$816,R208)&gt;1,"重复","唯一")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IF(COUNTIF($R$6:$R$816,R209)&gt;1,"重复","唯一")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IF(COUNTIF($R$6:$R$816,R210)&gt;1,"重复","唯一")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IF(COUNTIF($R$6:$R$816,R211)&gt;1,"重复","唯一")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IF(COUNTIF($R$6:$R$816,R212)&gt;1,"重复","唯一")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IF(COUNTIF($R$6:$R$816,R213)&gt;1,"重复","唯一")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IF(COUNTIF($R$6:$R$816,R214)&gt;1,"重复","唯一")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IF(COUNTIF($R$6:$R$816,R215)&gt;1,"重复","唯一")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IF(COUNTIF($R$6:$R$816,R216)&gt;1,"重复","唯一")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IF(COUNTIF($R$6:$R$816,R217)&gt;1,"重复","唯一")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IF(COUNTIF($R$6:$R$816,R218)&gt;1,"重复","唯一")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IF(COUNTIF($R$6:$R$816,R219)&gt;1,"重复","唯一")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IF(COUNTIF($R$6:$R$816,R220)&gt;1,"重复","唯一")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IF(COUNTIF($R$6:$R$816,R221)&gt;1,"重复","唯一")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IF(COUNTIF($R$6:$R$816,R222)&gt;1,"重复","唯一")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IF(COUNTIF($R$6:$R$816,R223)&gt;1,"重复","唯一")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IF(COUNTIF($R$6:$R$816,R224)&gt;1,"重复","唯一")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IF(COUNTIF($R$6:$R$816,R225)&gt;1,"重复","唯一")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IF(COUNTIF($R$6:$R$816,R226)&gt;1,"重复","唯一")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IF(COUNTIF($R$6:$R$816,R227)&gt;1,"重复","唯一")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IF(COUNTIF($R$6:$R$816,R228)&gt;1,"重复","唯一")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IF(COUNTIF($R$6:$R$816,R229)&gt;1,"重复","唯一")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IF(COUNTIF($R$6:$R$816,R230)&gt;1,"重复","唯一")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IF(COUNTIF($R$6:$R$816,R231)&gt;1,"重复","唯一")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IF(COUNTIF($R$6:$R$816,R232)&gt;1,"重复","唯一")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IF(COUNTIF($R$6:$R$816,R233)&gt;1,"重复","唯一")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IF(COUNTIF($R$6:$R$816,R234)&gt;1,"重复","唯一")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IF(COUNTIF($R$6:$R$816,R235)&gt;1,"重复","唯一")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IF(COUNTIF($R$6:$R$816,R236)&gt;1,"重复","唯一")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IF(COUNTIF($R$6:$R$816,R237)&gt;1,"重复","唯一")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IF(COUNTIF($R$6:$R$816,R238)&gt;1,"重复","唯一")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IF(COUNTIF($R$6:$R$816,R239)&gt;1,"重复","唯一")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IF(COUNTIF($R$6:$R$816,R240)&gt;1,"重复","唯一")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IF(COUNTIF($R$6:$R$816,R241)&gt;1,"重复","唯一")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IF(COUNTIF($R$6:$R$816,R242)&gt;1,"重复","唯一")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IF(COUNTIF($R$6:$R$816,R243)&gt;1,"重复","唯一")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IF(COUNTIF($R$6:$R$816,R244)&gt;1,"重复","唯一")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IF(COUNTIF($R$6:$R$816,R245)&gt;1,"重复","唯一")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IF(COUNTIF($R$6:$R$816,R246)&gt;1,"重复","唯一")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IF(COUNTIF($R$6:$R$816,R247)&gt;1,"重复","唯一")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IF(COUNTIF($R$6:$R$816,R248)&gt;1,"重复","唯一")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IF(COUNTIF($R$6:$R$816,R249)&gt;1,"重复","唯一")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IF(COUNTIF($R$6:$R$816,R250)&gt;1,"重复","唯一")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IF(COUNTIF($R$6:$R$816,R251)&gt;1,"重复","唯一")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IF(COUNTIF($R$6:$R$816,R252)&gt;1,"重复","唯一")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IF(COUNTIF($R$6:$R$816,R253)&gt;1,"重复","唯一")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IF(COUNTIF($R$6:$R$816,R254)&gt;1,"重复","唯一")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IF(COUNTIF($R$6:$R$816,R255)&gt;1,"重复","唯一")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IF(COUNTIF($R$6:$R$816,R256)&gt;1,"重复","唯一")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IF(COUNTIF($R$6:$R$816,R257)&gt;1,"重复","唯一")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IF(COUNTIF($R$6:$R$816,R258)&gt;1,"重复","唯一")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IF(COUNTIF($R$6:$R$816,R259)&gt;1,"重复","唯一")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IF(COUNTIF($R$6:$R$816,R260)&gt;1,"重复","唯一")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IF(COUNTIF($R$6:$R$816,R261)&gt;1,"重复","唯一")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IF(COUNTIF($R$6:$R$816,R262)&gt;1,"重复","唯一")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IF(COUNTIF($R$6:$R$816,R263)&gt;1,"重复","唯一")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IF(COUNTIF($R$6:$R$816,R264)&gt;1,"重复","唯一")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IF(COUNTIF($R$6:$R$816,R265)&gt;1,"重复","唯一")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IF(COUNTIF($R$6:$R$816,R266)&gt;1,"重复","唯一")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IF(COUNTIF($R$6:$R$816,R267)&gt;1,"重复","唯一")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IF(COUNTIF($R$6:$R$816,R268)&gt;1,"重复","唯一")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IF(COUNTIF($R$6:$R$816,R269)&gt;1,"重复","唯一")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IF(COUNTIF($R$6:$R$816,R270)&gt;1,"重复","唯一")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IF(COUNTIF($R$6:$R$816,R271)&gt;1,"重复","唯一")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IF(COUNTIF($R$6:$R$816,R272)&gt;1,"重复","唯一")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IF(COUNTIF($R$6:$R$816,R273)&gt;1,"重复","唯一")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IF(COUNTIF($R$6:$R$816,R274)&gt;1,"重复","唯一")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IF(COUNTIF($R$6:$R$816,R275)&gt;1,"重复","唯一")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IF(COUNTIF($R$6:$R$816,R276)&gt;1,"重复","唯一")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IF(COUNTIF($R$6:$R$816,R277)&gt;1,"重复","唯一")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IF(COUNTIF($R$6:$R$816,R278)&gt;1,"重复","唯一")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IF(COUNTIF($R$6:$R$816,R279)&gt;1,"重复","唯一")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IF(COUNTIF($R$6:$R$816,R280)&gt;1,"重复","唯一")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IF(COUNTIF($R$6:$R$816,R281)&gt;1,"重复","唯一")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IF(COUNTIF($R$6:$R$816,R282)&gt;1,"重复","唯一")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IF(COUNTIF($R$6:$R$816,R283)&gt;1,"重复","唯一")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IF(COUNTIF($R$6:$R$816,R284)&gt;1,"重复","唯一")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IF(COUNTIF($R$6:$R$816,R285)&gt;1,"重复","唯一")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IF(COUNTIF($R$6:$R$816,R286)&gt;1,"重复","唯一")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IF(COUNTIF($R$6:$R$816,R287)&gt;1,"重复","唯一")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IF(COUNTIF($R$6:$R$816,R288)&gt;1,"重复","唯一")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IF(COUNTIF($R$6:$R$816,R289)&gt;1,"重复","唯一")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IF(COUNTIF($R$6:$R$816,R290)&gt;1,"重复","唯一")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IF(COUNTIF($R$6:$R$816,R291)&gt;1,"重复","唯一")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IF(COUNTIF($R$6:$R$816,R292)&gt;1,"重复","唯一")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IF(COUNTIF($R$6:$R$816,R293)&gt;1,"重复","唯一")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IF(COUNTIF($R$6:$R$816,R294)&gt;1,"重复","唯一")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IF(COUNTIF($R$6:$R$816,R295)&gt;1,"重复","唯一")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IF(COUNTIF($R$6:$R$816,R296)&gt;1,"重复","唯一")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IF(COUNTIF($R$6:$R$816,R297)&gt;1,"重复","唯一")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IF(COUNTIF($R$6:$R$816,R298)&gt;1,"重复","唯一")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IF(COUNTIF($R$6:$R$816,R299)&gt;1,"重复","唯一")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IF(COUNTIF($R$6:$R$816,R300)&gt;1,"重复","唯一")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IF(COUNTIF($R$6:$R$816,R301)&gt;1,"重复","唯一")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IF(COUNTIF($R$6:$R$816,R302)&gt;1,"重复","唯一")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IF(COUNTIF($R$6:$R$816,R303)&gt;1,"重复","唯一")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IF(COUNTIF($R$6:$R$816,R304)&gt;1,"重复","唯一")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IF(COUNTIF($R$6:$R$816,R305)&gt;1,"重复","唯一")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IF(COUNTIF($R$6:$R$816,R306)&gt;1,"重复","唯一")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IF(COUNTIF($R$6:$R$816,R307)&gt;1,"重复","唯一")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IF(COUNTIF($R$6:$R$816,R308)&gt;1,"重复","唯一")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IF(COUNTIF($R$6:$R$816,R309)&gt;1,"重复","唯一")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IF(COUNTIF($R$6:$R$816,R310)&gt;1,"重复","唯一")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IF(COUNTIF($R$6:$R$816,R311)&gt;1,"重复","唯一")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IF(COUNTIF($R$6:$R$816,R312)&gt;1,"重复","唯一")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IF(COUNTIF($R$6:$R$816,R313)&gt;1,"重复","唯一")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IF(COUNTIF($R$6:$R$816,R314)&gt;1,"重复","唯一")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IF(COUNTIF($R$6:$R$816,R315)&gt;1,"重复","唯一")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IF(COUNTIF($R$6:$R$816,R316)&gt;1,"重复","唯一")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IF(COUNTIF($R$6:$R$816,R317)&gt;1,"重复","唯一")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IF(COUNTIF($R$6:$R$816,R318)&gt;1,"重复","唯一")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IF(COUNTIF($R$6:$R$816,R319)&gt;1,"重复","唯一")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IF(COUNTIF($R$6:$R$816,R320)&gt;1,"重复","唯一")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IF(COUNTIF($R$6:$R$816,R321)&gt;1,"重复","唯一")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IF(COUNTIF($R$6:$R$816,R322)&gt;1,"重复","唯一")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IF(COUNTIF($R$6:$R$816,R323)&gt;1,"重复","唯一")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IF(COUNTIF($R$6:$R$816,R324)&gt;1,"重复","唯一")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IF(COUNTIF($R$6:$R$816,R325)&gt;1,"重复","唯一")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IF(COUNTIF($R$6:$R$816,R326)&gt;1,"重复","唯一")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IF(COUNTIF($R$6:$R$816,R327)&gt;1,"重复","唯一")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IF(COUNTIF($R$6:$R$816,R328)&gt;1,"重复","唯一")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IF(COUNTIF($R$6:$R$816,R329)&gt;1,"重复","唯一")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IF(COUNTIF($R$6:$R$816,R330)&gt;1,"重复","唯一")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IF(COUNTIF($R$6:$R$816,R331)&gt;1,"重复","唯一")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IF(COUNTIF($R$6:$R$816,R332)&gt;1,"重复","唯一")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IF(COUNTIF($R$6:$R$816,R333)&gt;1,"重复","唯一")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IF(COUNTIF($R$6:$R$816,R334)&gt;1,"重复","唯一")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IF(COUNTIF($R$6:$R$816,R335)&gt;1,"重复","唯一")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IF(COUNTIF($R$6:$R$816,R336)&gt;1,"重复","唯一")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IF(COUNTIF($R$6:$R$816,R337)&gt;1,"重复","唯一")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IF(COUNTIF($R$6:$R$816,R338)&gt;1,"重复","唯一")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IF(COUNTIF($R$6:$R$816,R339)&gt;1,"重复","唯一")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IF(COUNTIF($R$6:$R$816,R340)&gt;1,"重复","唯一")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IF(COUNTIF($R$6:$R$816,R341)&gt;1,"重复","唯一")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IF(COUNTIF($R$6:$R$816,R342)&gt;1,"重复","唯一")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IF(COUNTIF($R$6:$R$816,R343)&gt;1,"重复","唯一")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IF(COUNTIF($R$6:$R$816,R344)&gt;1,"重复","唯一")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IF(COUNTIF($R$6:$R$816,R345)&gt;1,"重复","唯一")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IF(COUNTIF($R$6:$R$816,R346)&gt;1,"重复","唯一")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IF(COUNTIF($R$6:$R$816,R347)&gt;1,"重复","唯一")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IF(COUNTIF($R$6:$R$816,R348)&gt;1,"重复","唯一")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IF(COUNTIF($R$6:$R$816,R349)&gt;1,"重复","唯一")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IF(COUNTIF($R$6:$R$816,R350)&gt;1,"重复","唯一")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IF(COUNTIF($R$6:$R$816,R351)&gt;1,"重复","唯一")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IF(COUNTIF($R$6:$R$816,R352)&gt;1,"重复","唯一")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IF(COUNTIF($R$6:$R$816,R353)&gt;1,"重复","唯一")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IF(COUNTIF($R$6:$R$816,R354)&gt;1,"重复","唯一")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IF(COUNTIF($R$6:$R$816,R355)&gt;1,"重复","唯一")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IF(COUNTIF($R$6:$R$816,R356)&gt;1,"重复","唯一")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IF(COUNTIF($R$6:$R$816,R357)&gt;1,"重复","唯一")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IF(COUNTIF($R$6:$R$816,R358)&gt;1,"重复","唯一")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IF(COUNTIF($R$6:$R$816,R359)&gt;1,"重复","唯一")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IF(COUNTIF($R$6:$R$816,R360)&gt;1,"重复","唯一")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IF(COUNTIF($R$6:$R$816,R361)&gt;1,"重复","唯一")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IF(COUNTIF($R$6:$R$816,R362)&gt;1,"重复","唯一")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IF(COUNTIF($R$6:$R$816,R363)&gt;1,"重复","唯一")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IF(COUNTIF($R$6:$R$816,R364)&gt;1,"重复","唯一")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IF(COUNTIF($R$6:$R$816,R365)&gt;1,"重复","唯一")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IF(COUNTIF($R$6:$R$816,R366)&gt;1,"重复","唯一")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IF(COUNTIF($R$6:$R$816,R367)&gt;1,"重复","唯一")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IF(COUNTIF($R$6:$R$816,R368)&gt;1,"重复","唯一")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IF(COUNTIF($R$6:$R$816,R369)&gt;1,"重复","唯一")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IF(COUNTIF($R$6:$R$816,R370)&gt;1,"重复","唯一")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IF(COUNTIF($R$6:$R$816,R371)&gt;1,"重复","唯一")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IF(COUNTIF($R$6:$R$816,R372)&gt;1,"重复","唯一")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IF(COUNTIF($R$6:$R$816,R373)&gt;1,"重复","唯一")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IF(COUNTIF($R$6:$R$816,R374)&gt;1,"重复","唯一")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IF(COUNTIF($R$6:$R$816,R375)&gt;1,"重复","唯一")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IF(COUNTIF($R$6:$R$816,R376)&gt;1,"重复","唯一")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IF(COUNTIF($R$6:$R$816,R377)&gt;1,"重复","唯一")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IF(COUNTIF($R$6:$R$816,R378)&gt;1,"重复","唯一")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IF(COUNTIF($R$6:$R$816,R379)&gt;1,"重复","唯一")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IF(COUNTIF($R$6:$R$816,R380)&gt;1,"重复","唯一")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IF(COUNTIF($R$6:$R$816,R381)&gt;1,"重复","唯一")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IF(COUNTIF($R$6:$R$816,R382)&gt;1,"重复","唯一")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IF(COUNTIF($R$6:$R$816,R383)&gt;1,"重复","唯一")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IF(COUNTIF($R$6:$R$816,R384)&gt;1,"重复","唯一")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IF(COUNTIF($R$6:$R$816,R385)&gt;1,"重复","唯一")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IF(COUNTIF($R$6:$R$816,R386)&gt;1,"重复","唯一")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IF(COUNTIF($R$6:$R$816,R387)&gt;1,"重复","唯一")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IF(COUNTIF($R$6:$R$816,R388)&gt;1,"重复","唯一")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IF(COUNTIF($R$6:$R$816,R389)&gt;1,"重复","唯一")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IF(COUNTIF($R$6:$R$816,R390)&gt;1,"重复","唯一")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IF(COUNTIF($R$6:$R$816,R391)&gt;1,"重复","唯一")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IF(COUNTIF($R$6:$R$816,R392)&gt;1,"重复","唯一")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IF(COUNTIF($R$6:$R$816,R393)&gt;1,"重复","唯一")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IF(COUNTIF($R$6:$R$816,R394)&gt;1,"重复","唯一")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IF(COUNTIF($R$6:$R$816,R395)&gt;1,"重复","唯一")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IF(COUNTIF($R$6:$R$816,R396)&gt;1,"重复","唯一")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IF(COUNTIF($R$6:$R$816,R397)&gt;1,"重复","唯一")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IF(COUNTIF($R$6:$R$816,R398)&gt;1,"重复","唯一")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IF(COUNTIF($R$6:$R$816,R399)&gt;1,"重复","唯一")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IF(COUNTIF($R$6:$R$816,R400)&gt;1,"重复","唯一")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IF(COUNTIF($R$6:$R$816,R401)&gt;1,"重复","唯一")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IF(COUNTIF($R$6:$R$816,R402)&gt;1,"重复","唯一")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IF(COUNTIF($R$6:$R$816,R403)&gt;1,"重复","唯一")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IF(COUNTIF($R$6:$R$816,R404)&gt;1,"重复","唯一")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IF(COUNTIF($R$6:$R$816,R405)&gt;1,"重复","唯一")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IF(COUNTIF($R$6:$R$816,R406)&gt;1,"重复","唯一")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IF(COUNTIF($R$6:$R$816,R407)&gt;1,"重复","唯一")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IF(COUNTIF($R$6:$R$816,R408)&gt;1,"重复","唯一")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IF(COUNTIF($R$6:$R$816,R409)&gt;1,"重复","唯一")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IF(COUNTIF($R$6:$R$816,R410)&gt;1,"重复","唯一")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IF(COUNTIF($R$6:$R$816,R411)&gt;1,"重复","唯一")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IF(COUNTIF($R$6:$R$816,R412)&gt;1,"重复","唯一")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IF(COUNTIF($R$6:$R$816,R413)&gt;1,"重复","唯一")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IF(COUNTIF($R$6:$R$816,R414)&gt;1,"重复","唯一")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IF(COUNTIF($R$6:$R$816,R415)&gt;1,"重复","唯一")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IF(COUNTIF($R$6:$R$816,R416)&gt;1,"重复","唯一")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IF(COUNTIF($R$6:$R$816,R417)&gt;1,"重复","唯一")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IF(COUNTIF($R$6:$R$816,R418)&gt;1,"重复","唯一")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IF(COUNTIF($R$6:$R$816,R419)&gt;1,"重复","唯一")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IF(COUNTIF($R$6:$R$816,R420)&gt;1,"重复","唯一")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IF(COUNTIF($R$6:$R$816,R421)&gt;1,"重复","唯一")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IF(COUNTIF($R$6:$R$816,R422)&gt;1,"重复","唯一")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IF(COUNTIF($R$6:$R$816,R423)&gt;1,"重复","唯一")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IF(COUNTIF($R$6:$R$816,R424)&gt;1,"重复","唯一")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IF(COUNTIF($R$6:$R$816,R425)&gt;1,"重复","唯一")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IF(COUNTIF($R$6:$R$816,R426)&gt;1,"重复","唯一")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IF(COUNTIF($R$6:$R$816,R427)&gt;1,"重复","唯一")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IF(COUNTIF($R$6:$R$816,R428)&gt;1,"重复","唯一")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IF(COUNTIF($R$6:$R$816,R429)&gt;1,"重复","唯一")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IF(COUNTIF($R$6:$R$816,R430)&gt;1,"重复","唯一")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IF(COUNTIF($R$6:$R$816,R431)&gt;1,"重复","唯一")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IF(COUNTIF($R$6:$R$816,R432)&gt;1,"重复","唯一")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IF(COUNTIF($R$6:$R$816,R433)&gt;1,"重复","唯一")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IF(COUNTIF($R$6:$R$816,R434)&gt;1,"重复","唯一")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IF(COUNTIF($R$6:$R$816,R435)&gt;1,"重复","唯一")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IF(COUNTIF($R$6:$R$816,R436)&gt;1,"重复","唯一")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IF(COUNTIF($R$6:$R$816,R437)&gt;1,"重复","唯一")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IF(COUNTIF($R$6:$R$816,R438)&gt;1,"重复","唯一")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IF(COUNTIF($R$6:$R$816,R439)&gt;1,"重复","唯一")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IF(COUNTIF($R$6:$R$816,R440)&gt;1,"重复","唯一")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IF(COUNTIF($R$6:$R$816,R441)&gt;1,"重复","唯一")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IF(COUNTIF($R$6:$R$816,R442)&gt;1,"重复","唯一")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IF(COUNTIF($R$6:$R$816,R443)&gt;1,"重复","唯一")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IF(COUNTIF($R$6:$R$816,R444)&gt;1,"重复","唯一")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IF(COUNTIF($R$6:$R$816,R445)&gt;1,"重复","唯一")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IF(COUNTIF($R$6:$R$816,R446)&gt;1,"重复","唯一")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IF(COUNTIF($R$6:$R$816,R447)&gt;1,"重复","唯一")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IF(COUNTIF($R$6:$R$816,R448)&gt;1,"重复","唯一")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IF(COUNTIF($R$6:$R$816,R449)&gt;1,"重复","唯一")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IF(COUNTIF($R$6:$R$816,R450)&gt;1,"重复","唯一")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IF(COUNTIF($R$6:$R$816,R451)&gt;1,"重复","唯一")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IF(COUNTIF($R$6:$R$816,R452)&gt;1,"重复","唯一")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IF(COUNTIF($R$6:$R$816,R453)&gt;1,"重复","唯一")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IF(COUNTIF($R$6:$R$816,R454)&gt;1,"重复","唯一")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IF(COUNTIF($R$6:$R$816,R455)&gt;1,"重复","唯一")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IF(COUNTIF($R$6:$R$816,R456)&gt;1,"重复","唯一")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IF(COUNTIF($R$6:$R$816,R457)&gt;1,"重复","唯一")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IF(COUNTIF($R$6:$R$816,R458)&gt;1,"重复","唯一")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IF(COUNTIF($R$6:$R$816,R459)&gt;1,"重复","唯一")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IF(COUNTIF($R$6:$R$816,R460)&gt;1,"重复","唯一")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IF(COUNTIF($R$6:$R$816,R461)&gt;1,"重复","唯一")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IF(COUNTIF($R$6:$R$816,R462)&gt;1,"重复","唯一")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IF(COUNTIF($R$6:$R$816,R463)&gt;1,"重复","唯一")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IF(COUNTIF($R$6:$R$816,R464)&gt;1,"重复","唯一")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IF(COUNTIF($R$6:$R$816,R465)&gt;1,"重复","唯一")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IF(COUNTIF($R$6:$R$816,R466)&gt;1,"重复","唯一")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IF(COUNTIF($R$6:$R$816,R467)&gt;1,"重复","唯一")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IF(COUNTIF($R$6:$R$816,R468)&gt;1,"重复","唯一")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IF(COUNTIF($R$6:$R$816,R469)&gt;1,"重复","唯一")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IF(COUNTIF($R$6:$R$816,R470)&gt;1,"重复","唯一")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IF(COUNTIF($R$6:$R$816,R471)&gt;1,"重复","唯一")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IF(COUNTIF($R$6:$R$816,R472)&gt;1,"重复","唯一")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IF(COUNTIF($R$6:$R$816,R473)&gt;1,"重复","唯一")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IF(COUNTIF($R$6:$R$816,R474)&gt;1,"重复","唯一")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IF(COUNTIF($R$6:$R$816,R475)&gt;1,"重复","唯一")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IF(COUNTIF($R$6:$R$816,R476)&gt;1,"重复","唯一")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IF(COUNTIF($R$6:$R$816,R477)&gt;1,"重复","唯一")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IF(COUNTIF($R$6:$R$816,R478)&gt;1,"重复","唯一")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IF(COUNTIF($R$6:$R$816,R479)&gt;1,"重复","唯一")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IF(COUNTIF($R$6:$R$816,R480)&gt;1,"重复","唯一")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IF(COUNTIF($R$6:$R$816,R481)&gt;1,"重复","唯一")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IF(COUNTIF($R$6:$R$816,R482)&gt;1,"重复","唯一")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IF(COUNTIF($R$6:$R$816,R483)&gt;1,"重复","唯一")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IF(COUNTIF($R$6:$R$816,R484)&gt;1,"重复","唯一")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IF(COUNTIF($R$6:$R$816,R485)&gt;1,"重复","唯一")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IF(COUNTIF($R$6:$R$816,R486)&gt;1,"重复","唯一")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IF(COUNTIF($R$6:$R$816,R487)&gt;1,"重复","唯一")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IF(COUNTIF($R$6:$R$816,R488)&gt;1,"重复","唯一")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IF(COUNTIF($R$6:$R$816,R489)&gt;1,"重复","唯一")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IF(COUNTIF($R$6:$R$816,R490)&gt;1,"重复","唯一")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IF(COUNTIF($R$6:$R$816,R491)&gt;1,"重复","唯一")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IF(COUNTIF($R$6:$R$816,R492)&gt;1,"重复","唯一")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IF(COUNTIF($R$6:$R$816,R493)&gt;1,"重复","唯一")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IF(COUNTIF($R$6:$R$816,R494)&gt;1,"重复","唯一")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IF(COUNTIF($R$6:$R$816,R495)&gt;1,"重复","唯一")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IF(COUNTIF($R$6:$R$816,R496)&gt;1,"重复","唯一")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IF(COUNTIF($R$6:$R$816,R497)&gt;1,"重复","唯一")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IF(COUNTIF($R$6:$R$816,R498)&gt;1,"重复","唯一")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IF(COUNTIF($R$6:$R$816,R499)&gt;1,"重复","唯一")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IF(COUNTIF($R$6:$R$816,R500)&gt;1,"重复","唯一")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IF(COUNTIF($R$6:$R$816,R501)&gt;1,"重复","唯一")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IF(COUNTIF($R$6:$R$816,R502)&gt;1,"重复","唯一")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IF(COUNTIF($R$6:$R$816,R503)&gt;1,"重复","唯一")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IF(COUNTIF($R$6:$R$816,R504)&gt;1,"重复","唯一")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IF(COUNTIF($R$6:$R$816,R505)&gt;1,"重复","唯一")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IF(COUNTIF($R$6:$R$816,R506)&gt;1,"重复","唯一")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IF(COUNTIF($R$6:$R$816,R507)&gt;1,"重复","唯一")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IF(COUNTIF($R$6:$R$816,R508)&gt;1,"重复","唯一")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IF(COUNTIF($R$6:$R$816,R509)&gt;1,"重复","唯一")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IF(COUNTIF($R$6:$R$816,R510)&gt;1,"重复","唯一")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IF(COUNTIF($R$6:$R$816,R511)&gt;1,"重复","唯一")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IF(COUNTIF($R$6:$R$816,R512)&gt;1,"重复","唯一")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IF(COUNTIF($R$6:$R$816,R513)&gt;1,"重复","唯一")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IF(COUNTIF($R$6:$R$816,R514)&gt;1,"重复","唯一")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IF(COUNTIF($R$6:$R$816,R515)&gt;1,"重复","唯一")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IF(COUNTIF($R$6:$R$816,R516)&gt;1,"重复","唯一")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IF(COUNTIF($R$6:$R$816,R517)&gt;1,"重复","唯一")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IF(COUNTIF($R$6:$R$816,R518)&gt;1,"重复","唯一")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IF(COUNTIF($R$6:$R$816,R519)&gt;1,"重复","唯一")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IF(COUNTIF($R$6:$R$816,R520)&gt;1,"重复","唯一")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IF(COUNTIF($R$6:$R$816,R521)&gt;1,"重复","唯一")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IF(COUNTIF($R$6:$R$816,R522)&gt;1,"重复","唯一")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IF(COUNTIF($R$6:$R$816,R523)&gt;1,"重复","唯一")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IF(COUNTIF($R$6:$R$816,R524)&gt;1,"重复","唯一")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IF(COUNTIF($R$6:$R$816,R525)&gt;1,"重复","唯一")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IF(COUNTIF($R$6:$R$816,R526)&gt;1,"重复","唯一")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IF(COUNTIF($R$6:$R$816,R527)&gt;1,"重复","唯一")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IF(COUNTIF($R$6:$R$816,R528)&gt;1,"重复","唯一")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IF(COUNTIF($R$6:$R$816,R529)&gt;1,"重复","唯一")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IF(COUNTIF($R$6:$R$816,R530)&gt;1,"重复","唯一")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IF(COUNTIF($R$6:$R$816,R531)&gt;1,"重复","唯一")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IF(COUNTIF($R$6:$R$816,R532)&gt;1,"重复","唯一")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IF(COUNTIF($R$6:$R$816,R533)&gt;1,"重复","唯一")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IF(COUNTIF($R$6:$R$816,R534)&gt;1,"重复","唯一")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IF(COUNTIF($R$6:$R$816,R535)&gt;1,"重复","唯一")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IF(COUNTIF($R$6:$R$816,R536)&gt;1,"重复","唯一")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IF(COUNTIF($R$6:$R$816,R537)&gt;1,"重复","唯一")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IF(COUNTIF($R$6:$R$816,R538)&gt;1,"重复","唯一")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IF(COUNTIF($R$6:$R$816,R539)&gt;1,"重复","唯一")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IF(COUNTIF($R$6:$R$816,R540)&gt;1,"重复","唯一")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IF(COUNTIF($R$6:$R$816,R541)&gt;1,"重复","唯一")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IF(COUNTIF($R$6:$R$816,R542)&gt;1,"重复","唯一")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IF(COUNTIF($R$6:$R$816,R543)&gt;1,"重复","唯一")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IF(COUNTIF($R$6:$R$816,R544)&gt;1,"重复","唯一")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IF(COUNTIF($R$6:$R$816,R545)&gt;1,"重复","唯一")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IF(COUNTIF($R$6:$R$816,R546)&gt;1,"重复","唯一")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IF(COUNTIF($R$6:$R$816,R547)&gt;1,"重复","唯一")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IF(COUNTIF($R$6:$R$816,R548)&gt;1,"重复","唯一")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IF(COUNTIF($R$6:$R$816,R549)&gt;1,"重复","唯一")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IF(COUNTIF($R$6:$R$816,R550)&gt;1,"重复","唯一")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IF(COUNTIF($R$6:$R$816,R551)&gt;1,"重复","唯一")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IF(COUNTIF($R$6:$R$816,R552)&gt;1,"重复","唯一")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IF(COUNTIF($R$6:$R$816,R553)&gt;1,"重复","唯一")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IF(COUNTIF($R$6:$R$816,R554)&gt;1,"重复","唯一")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IF(COUNTIF($R$6:$R$816,R555)&gt;1,"重复","唯一")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IF(COUNTIF($R$6:$R$816,R556)&gt;1,"重复","唯一")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IF(COUNTIF($R$6:$R$816,R557)&gt;1,"重复","唯一")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IF(COUNTIF($R$6:$R$816,R558)&gt;1,"重复","唯一")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IF(COUNTIF($R$6:$R$816,R559)&gt;1,"重复","唯一")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IF(COUNTIF($R$6:$R$816,R560)&gt;1,"重复","唯一")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IF(COUNTIF($R$6:$R$816,R561)&gt;1,"重复","唯一")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IF(COUNTIF($R$6:$R$816,R562)&gt;1,"重复","唯一")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已导入；优化完成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XYZ包络33.020×45.680×25.935m；252组件；四角色全部复用塔2旧材质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用户参考图和8层要求；docs/v0.1/development/2026-09-30_skyline08_building_source.md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IF(COUNTIF($R$6:$R$816,R563)&gt;1,"重复","唯一")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72" t="inlineStr">
        <is>
          <t>用户提供参考图，据图建模；无第三方模型下载</t>
        </is>
      </c>
      <c r="X563" s="72" t="inlineStr">
        <is>
          <t>SKYLINE08</t>
        </is>
      </c>
      <c r="Y5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IF(COUNTIF($R$6:$R$816,R564)&gt;1,"重复","唯一")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IF(COUNTIF($R$6:$R$816,R565)&gt;1,"重复","唯一")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IF(COUNTIF($R$6:$R$816,R566)&gt;1,"重复","唯一")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IF(COUNTIF($R$6:$R$816,R567)&gt;1,"重复","唯一")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IF(COUNTIF($R$6:$R$816,R568)&gt;1,"重复","唯一")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IF(COUNTIF($R$6:$R$816,R569)&gt;1,"重复","唯一")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IF(COUNTIF($R$6:$R$816,R570)&gt;1,"重复","唯一")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IF(COUNTIF($R$6:$R$816,R571)&gt;1,"重复","唯一")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IF(COUNTIF($R$6:$R$816,R572)&gt;1,"重复","唯一")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IF(COUNTIF($R$6:$R$816,R573)&gt;1,"重复","唯一")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IF(COUNTIF($R$6:$R$816,R574)&gt;1,"重复","唯一")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IF(COUNTIF($R$6:$R$816,R575)&gt;1,"重复","唯一")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IF(COUNTIF($R$6:$R$816,R576)&gt;1,"重复","唯一")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IF(COUNTIF($R$6:$R$816,R577)&gt;1,"重复","唯一")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IF(COUNTIF($R$6:$R$816,R578)&gt;1,"重复","唯一")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IF(COUNTIF($R$6:$R$816,R579)&gt;1,"重复","唯一")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IF(COUNTIF($R$6:$R$816,R580)&gt;1,"重复","唯一")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IF(COUNTIF($R$6:$R$816,R581)&gt;1,"重复","唯一")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IF(COUNTIF($R$6:$R$816,R582)&gt;1,"重复","唯一")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IF(COUNTIF($R$6:$R$816,R583)&gt;1,"重复","唯一")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IF(COUNTIF($R$6:$R$816,R584)&gt;1,"重复","唯一")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IF(COUNTIF($R$6:$R$816,R585)&gt;1,"重复","唯一")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IF(COUNTIF($R$6:$R$816,R586)&gt;1,"重复","唯一")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IF(COUNTIF($R$6:$R$816,R587)&gt;1,"重复","唯一")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IF(COUNTIF($R$6:$R$816,R588)&gt;1,"重复","唯一")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IF(COUNTIF($R$6:$R$816,R589)&gt;1,"重复","唯一")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IF(COUNTIF($R$6:$R$816,R590)&gt;1,"重复","唯一")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IF(COUNTIF($R$6:$R$816,R591)&gt;1,"重复","唯一")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IF(COUNTIF($R$6:$R$816,R592)&gt;1,"重复","唯一")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IF(COUNTIF($R$6:$R$816,R593)&gt;1,"重复","唯一")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IF(COUNTIF($R$6:$R$816,R594)&gt;1,"重复","唯一")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IF(COUNTIF($R$6:$R$816,R595)&gt;1,"重复","唯一")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IF(COUNTIF($R$6:$R$816,R596)&gt;1,"重复","唯一")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IF(COUNTIF($R$6:$R$816,R597)&gt;1,"重复","唯一")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IF(COUNTIF($R$6:$R$816,R598)&gt;1,"重复","唯一")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IF(COUNTIF($R$6:$R$816,R599)&gt;1,"重复","唯一")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IF(COUNTIF($R$6:$R$816,R600)&gt;1,"重复","唯一")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IF(COUNTIF($R$6:$R$816,R601)&gt;1,"重复","唯一")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IF(COUNTIF($R$6:$R$816,R602)&gt;1,"重复","唯一")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IF(COUNTIF($R$6:$R$816,R603)&gt;1,"重复","唯一")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IF(COUNTIF($R$6:$R$816,R604)&gt;1,"重复","唯一")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IF(COUNTIF($R$6:$R$816,R605)&gt;1,"重复","唯一")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IF(COUNTIF($R$6:$R$816,R606)&gt;1,"重复","唯一")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IF(COUNTIF($R$6:$R$816,R607)&gt;1,"重复","唯一")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IF(COUNTIF($R$6:$R$816,R608)&gt;1,"重复","唯一")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IF(COUNTIF($R$6:$R$816,R609)&gt;1,"重复","唯一")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IF(COUNTIF($R$6:$R$816,R610)&gt;1,"重复","唯一")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IF(COUNTIF($R$6:$R$816,R611)&gt;1,"重复","唯一")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IF(COUNTIF($R$6:$R$816,R612)&gt;1,"重复","唯一")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IF(COUNTIF($R$6:$R$816,R613)&gt;1,"重复","唯一")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IF(COUNTIF($R$6:$R$816,R614)&gt;1,"重复","唯一")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IF(COUNTIF($R$6:$R$816,R615)&gt;1,"重复","唯一")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IF(COUNTIF($R$6:$R$816,R616)&gt;1,"重复","唯一")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IF(COUNTIF($R$6:$R$816,R617)&gt;1,"重复","唯一")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IF(COUNTIF($R$6:$R$816,R618)&gt;1,"重复","唯一")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IF(COUNTIF($R$6:$R$816,R619)&gt;1,"重复","唯一")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IF(COUNTIF($R$6:$R$816,R620)&gt;1,"重复","唯一")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IF(COUNTIF($R$6:$R$816,R621)&gt;1,"重复","唯一")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IF(COUNTIF($R$6:$R$816,R622)&gt;1,"重复","唯一")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IF(COUNTIF($R$6:$R$816,R623)&gt;1,"重复","唯一")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IF(COUNTIF($R$6:$R$816,R624)&gt;1,"重复","唯一")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IF(COUNTIF($R$6:$R$816,R625)&gt;1,"重复","唯一")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IF(COUNTIF($R$6:$R$816,R626)&gt;1,"重复","唯一")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IF(COUNTIF($R$6:$R$816,R627)&gt;1,"重复","唯一")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IF(COUNTIF($R$6:$R$816,R628)&gt;1,"重复","唯一")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IF(COUNTIF($R$6:$R$816,R629)&gt;1,"重复","唯一")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IF(COUNTIF($R$6:$R$816,R630)&gt;1,"重复","唯一")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IF(COUNTIF($R$6:$R$816,R631)&gt;1,"重复","唯一")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IF(COUNTIF($R$6:$R$816,R632)&gt;1,"重复","唯一")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IF(COUNTIF($R$6:$R$816,R633)&gt;1,"重复","唯一")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IF(COUNTIF($R$6:$R$816,R634)&gt;1,"重复","唯一")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IF(COUNTIF($R$6:$R$816,R635)&gt;1,"重复","唯一")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IF(COUNTIF($R$6:$R$816,R636)&gt;1,"重复","唯一")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IF(COUNTIF($R$6:$R$816,R637)&gt;1,"重复","唯一")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IF(COUNTIF($R$6:$R$816,R638)&gt;1,"重复","唯一")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IF(COUNTIF($R$6:$R$816,R639)&gt;1,"重复","唯一")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IF(COUNTIF($R$6:$R$816,R640)&gt;1,"重复","唯一")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IF(COUNTIF($R$6:$R$816,R641)&gt;1,"重复","唯一")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IF(COUNTIF($R$6:$R$816,R642)&gt;1,"重复","唯一")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IF(COUNTIF($R$6:$R$816,R643)&gt;1,"重复","唯一")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IF(COUNTIF($R$6:$R$816,R644)&gt;1,"重复","唯一")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IF(COUNTIF($R$6:$R$816,R645)&gt;1,"重复","唯一")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IF(COUNTIF($R$6:$R$816,R646)&gt;1,"重复","唯一")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IF(COUNTIF($R$6:$R$816,R647)&gt;1,"重复","唯一")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IF(COUNTIF($R$6:$R$816,R648)&gt;1,"重复","唯一")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IF(COUNTIF($R$6:$R$816,R649)&gt;1,"重复","唯一")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IF(COUNTIF($R$6:$R$816,R650)&gt;1,"重复","唯一")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IF(COUNTIF($R$6:$R$816,R651)&gt;1,"重复","唯一")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IF(COUNTIF($R$6:$R$816,R652)&gt;1,"重复","唯一")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IF(COUNTIF($R$6:$R$816,R653)&gt;1,"重复","唯一")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IF(COUNTIF($R$6:$R$816,R654)&gt;1,"重复","唯一")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IF(COUNTIF($R$6:$R$816,R655)&gt;1,"重复","唯一")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IF(COUNTIF($R$6:$R$816,R656)&gt;1,"重复","唯一")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IF(COUNTIF($R$6:$R$816,R657)&gt;1,"重复","唯一")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IF(COUNTIF($R$6:$R$816,R658)&gt;1,"重复","唯一")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IF(COUNTIF($R$6:$R$816,R659)&gt;1,"重复","唯一")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IF(COUNTIF($R$6:$R$816,R660)&gt;1,"重复","唯一")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IF(COUNTIF($R$6:$R$816,R661)&gt;1,"重复","唯一")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IF(COUNTIF($R$6:$R$816,R662)&gt;1,"重复","唯一")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IF(COUNTIF($R$6:$R$816,R663)&gt;1,"重复","唯一")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IF(COUNTIF($R$6:$R$816,R664)&gt;1,"重复","唯一")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IF(COUNTIF($R$6:$R$816,R665)&gt;1,"重复","唯一")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IF(COUNTIF($R$6:$R$816,R666)&gt;1,"重复","唯一")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IF(COUNTIF($R$6:$R$816,R667)&gt;1,"重复","唯一")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IF(COUNTIF($R$6:$R$816,R668)&gt;1,"重复","唯一")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IF(COUNTIF($R$6:$R$816,R669)&gt;1,"重复","唯一")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IF(COUNTIF($R$6:$R$816,R670)&gt;1,"重复","唯一")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IF(COUNTIF($R$6:$R$816,R671)&gt;1,"重复","唯一")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IF(COUNTIF($R$6:$R$816,R672)&gt;1,"重复","唯一")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IF(COUNTIF($R$6:$R$816,R673)&gt;1,"重复","唯一")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IF(COUNTIF($R$6:$R$816,R674)&gt;1,"重复","唯一")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IF(COUNTIF($R$6:$R$816,R675)&gt;1,"重复","唯一")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IF(COUNTIF($R$6:$R$816,R676)&gt;1,"重复","唯一")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IF(COUNTIF($R$6:$R$816,R677)&gt;1,"重复","唯一")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IF(COUNTIF($R$6:$R$816,R678)&gt;1,"重复","唯一")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IF(COUNTIF($R$6:$R$816,R679)&gt;1,"重复","唯一")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IF(COUNTIF($R$6:$R$816,R680)&gt;1,"重复","唯一")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IF(COUNTIF($R$6:$R$816,R681)&gt;1,"重复","唯一")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IF(COUNTIF($R$6:$R$816,R682)&gt;1,"重复","唯一")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IF(COUNTIF($R$6:$R$816,R683)&gt;1,"重复","唯一")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IF(COUNTIF($R$6:$R$816,R684)&gt;1,"重复","唯一")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IF(COUNTIF($R$6:$R$816,R685)&gt;1,"重复","唯一")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IF(COUNTIF($R$6:$R$816,R686)&gt;1,"重复","唯一")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IF(COUNTIF($R$6:$R$816,R687)&gt;1,"重复","唯一")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IF(COUNTIF($R$6:$R$816,R688)&gt;1,"重复","唯一")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IF(COUNTIF($R$6:$R$816,R689)&gt;1,"重复","唯一")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IF(COUNTIF($R$6:$R$816,R690)&gt;1,"重复","唯一")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IF(COUNTIF($R$6:$R$816,R691)&gt;1,"重复","唯一")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IF(COUNTIF($R$6:$R$816,R692)&gt;1,"重复","唯一")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IF(COUNTIF($R$6:$R$816,R693)&gt;1,"重复","唯一")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IF(COUNTIF($R$6:$R$816,R694)&gt;1,"重复","唯一")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IF(COUNTIF($R$6:$R$816,R695)&gt;1,"重复","唯一")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IF(COUNTIF($R$6:$R$816,R696)&gt;1,"重复","唯一")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IF(COUNTIF($R$6:$R$816,R697)&gt;1,"重复","唯一")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IF(COUNTIF($R$6:$R$816,R698)&gt;1,"重复","唯一")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IF(COUNTIF($R$6:$R$816,R699)&gt;1,"重复","唯一")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IF(COUNTIF($R$6:$R$816,R700)&gt;1,"重复","唯一")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IF(COUNTIF($R$6:$R$816,R701)&gt;1,"重复","唯一")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IF(COUNTIF($R$6:$R$816,R702)&gt;1,"重复","唯一")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IF(COUNTIF($R$6:$R$816,R703)&gt;1,"重复","唯一")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IF(COUNTIF($R$6:$R$816,R704)&gt;1,"重复","唯一")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IF(COUNTIF($R$6:$R$816,R705)&gt;1,"重复","唯一")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IF(COUNTIF($R$6:$R$816,R706)&gt;1,"重复","唯一")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IF(COUNTIF($R$6:$R$816,R707)&gt;1,"重复","唯一")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IF(COUNTIF($R$6:$R$816,R708)&gt;1,"重复","唯一")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IF(COUNTIF($R$6:$R$816,R709)&gt;1,"重复","唯一")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IF(COUNTIF($R$6:$R$816,R710)&gt;1,"重复","唯一")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IF(COUNTIF($R$6:$R$816,R711)&gt;1,"重复","唯一")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IF(COUNTIF($R$6:$R$816,R712)&gt;1,"重复","唯一")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IF(COUNTIF($R$6:$R$816,R713)&gt;1,"重复","唯一")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IF(COUNTIF($R$6:$R$816,R714)&gt;1,"重复","唯一")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IF(COUNTIF($R$6:$R$816,R715)&gt;1,"重复","唯一")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IF(COUNTIF($R$6:$R$816,R716)&gt;1,"重复","唯一")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IF(COUNTIF($R$6:$R$816,R717)&gt;1,"重复","唯一")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IF(COUNTIF($R$6:$R$816,R718)&gt;1,"重复","唯一")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IF(COUNTIF($R$6:$R$816,R719)&gt;1,"重复","唯一")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IF(COUNTIF($R$6:$R$816,R720)&gt;1,"重复","唯一")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IF(COUNTIF($R$6:$R$816,R721)&gt;1,"重复","唯一")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IF(COUNTIF($R$6:$R$816,R722)&gt;1,"重复","唯一")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IF(COUNTIF($R$6:$R$816,R723)&gt;1,"重复","唯一")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IF(COUNTIF($R$6:$R$816,R724)&gt;1,"重复","唯一")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IF(COUNTIF($R$6:$R$816,R725)&gt;1,"重复","唯一")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IF(COUNTIF($R$6:$R$816,R726)&gt;1,"重复","唯一")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IF(COUNTIF($R$6:$R$816,R727)&gt;1,"重复","唯一")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IF(COUNTIF($R$6:$R$816,R728)&gt;1,"重复","唯一")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IF(COUNTIF($R$6:$R$816,R729)&gt;1,"重复","唯一")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IF(COUNTIF($R$6:$R$816,R730)&gt;1,"重复","唯一")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IF(COUNTIF($R$6:$R$816,R731)&gt;1,"重复","唯一")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IF(COUNTIF($R$6:$R$816,R732)&gt;1,"重复","唯一")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IF(COUNTIF($R$6:$R$816,R733)&gt;1,"重复","唯一")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IF(COUNTIF($R$6:$R$816,R734)&gt;1,"重复","唯一")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IF(COUNTIF($R$6:$R$816,R735)&gt;1,"重复","唯一")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IF(COUNTIF($R$6:$R$816,R736)&gt;1,"重复","唯一")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IF(COUNTIF($R$6:$R$816,R737)&gt;1,"重复","唯一")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IF(COUNTIF($R$6:$R$816,R738)&gt;1,"重复","唯一")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IF(COUNTIF($R$6:$R$816,R739)&gt;1,"重复","唯一")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IF(COUNTIF($R$6:$R$816,R740)&gt;1,"重复","唯一")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IF(COUNTIF($R$6:$R$816,R741)&gt;1,"重复","唯一")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IF(COUNTIF($R$6:$R$816,R742)&gt;1,"重复","唯一")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IF(COUNTIF($R$6:$R$816,R743)&gt;1,"重复","唯一")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IF(COUNTIF($R$6:$R$816,R744)&gt;1,"重复","唯一")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IF(COUNTIF($R$6:$R$816,R745)&gt;1,"重复","唯一")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IF(COUNTIF($R$6:$R$816,R746)&gt;1,"重复","唯一")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IF(COUNTIF($R$6:$R$816,R747)&gt;1,"重复","唯一")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IF(COUNTIF($R$6:$R$816,R748)&gt;1,"重复","唯一")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IF(COUNTIF($R$6:$R$816,R749)&gt;1,"重复","唯一")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IF(COUNTIF($R$6:$R$816,R750)&gt;1,"重复","唯一")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IF(COUNTIF($R$6:$R$816,R751)&gt;1,"重复","唯一")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IF(COUNTIF($R$6:$R$816,R752)&gt;1,"重复","唯一")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IF(COUNTIF($R$6:$R$816,R753)&gt;1,"重复","唯一")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IF(COUNTIF($R$6:$R$816,R754)&gt;1,"重复","唯一")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IF(COUNTIF($R$6:$R$816,R755)&gt;1,"重复","唯一")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IF(COUNTIF($R$6:$R$816,R756)&gt;1,"重复","唯一")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IF(COUNTIF($R$6:$R$816,R757)&gt;1,"重复","唯一")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IF(COUNTIF($R$6:$R$816,R758)&gt;1,"重复","唯一")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IF(COUNTIF($R$6:$R$816,R759)&gt;1,"重复","唯一")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IF(COUNTIF($R$6:$R$816,R760)&gt;1,"重复","唯一")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IF(COUNTIF($R$6:$R$816,R761)&gt;1,"重复","唯一")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IF(COUNTIF($R$6:$R$816,R762)&gt;1,"重复","唯一")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IF(COUNTIF($R$6:$R$816,R763)&gt;1,"重复","唯一")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IF(COUNTIF($R$6:$R$816,R764)&gt;1,"重复","唯一")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IF(COUNTIF($R$6:$R$816,R765)&gt;1,"重复","唯一")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IF(COUNTIF($R$6:$R$816,R766)&gt;1,"重复","唯一")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IF(COUNTIF($R$6:$R$816,R767)&gt;1,"重复","唯一")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IF(COUNTIF($R$6:$R$816,R768)&gt;1,"重复","唯一")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IF(COUNTIF($R$6:$R$816,R769)&gt;1,"重复","唯一")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IF(COUNTIF($R$6:$R$816,R770)&gt;1,"重复","唯一")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IF(COUNTIF($R$6:$R$816,R771)&gt;1,"重复","唯一")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IF(COUNTIF($R$6:$R$816,R772)&gt;1,"重复","唯一")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IF(COUNTIF($R$6:$R$816,R773)&gt;1,"重复","唯一")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IF(COUNTIF($R$6:$R$816,R774)&gt;1,"重复","唯一")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IF(COUNTIF($R$6:$R$816,R775)&gt;1,"重复","唯一")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IF(COUNTIF($R$6:$R$816,R776)&gt;1,"重复","唯一")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IF(COUNTIF($R$6:$R$816,R777)&gt;1,"重复","唯一")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IF(COUNTIF($R$6:$R$816,R778)&gt;1,"重复","唯一")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IF(COUNTIF($R$6:$R$816,R779)&gt;1,"重复","唯一")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IF(COUNTIF($R$6:$R$816,R780)&gt;1,"重复","唯一")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IF(COUNTIF($R$6:$R$816,R781)&gt;1,"重复","唯一")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IF(COUNTIF($R$6:$R$816,R782)&gt;1,"重复","唯一")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IF(COUNTIF($R$6:$R$816,R783)&gt;1,"重复","唯一")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IF(COUNTIF($R$6:$R$816,R784)&gt;1,"重复","唯一")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IF(COUNTIF($R$6:$R$816,R785)&gt;1,"重复","唯一")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IF(COUNTIF($R$6:$R$816,R786)&gt;1,"重复","唯一")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IF(COUNTIF($R$6:$R$816,R787)&gt;1,"重复","唯一")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IF(COUNTIF($R$6:$R$816,R788)&gt;1,"重复","唯一")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IF(COUNTIF($R$6:$R$816,R789)&gt;1,"重复","唯一")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IF(COUNTIF($R$6:$R$816,R790)&gt;1,"重复","唯一")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IF(COUNTIF($R$6:$R$816,R791)&gt;1,"重复","唯一")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IF(COUNTIF($R$6:$R$816,R792)&gt;1,"重复","唯一")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IF(COUNTIF($R$6:$R$816,R793)&gt;1,"重复","唯一")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IF(COUNTIF($R$6:$R$816,R794)&gt;1,"重复","唯一")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IF(COUNTIF($R$6:$R$816,R795)&gt;1,"重复","唯一")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IF(COUNTIF($R$6:$R$816,R796)&gt;1,"重复","唯一")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IF(COUNTIF($R$6:$R$816,R797)&gt;1,"重复","唯一")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IF(COUNTIF($R$6:$R$816,R798)&gt;1,"重复","唯一")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IF(COUNTIF($R$6:$R$816,R799)&gt;1,"重复","唯一")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IF(COUNTIF($R$6:$R$816,R800)&gt;1,"重复","唯一")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IF(COUNTIF($R$6:$R$816,R801)&gt;1,"重复","唯一")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IF(COUNTIF($R$6:$R$816,R802)&gt;1,"重复","唯一")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IF(COUNTIF($R$6:$R$816,R803)&gt;1,"重复","唯一")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IF(COUNTIF($R$6:$R$816,R804)&gt;1,"重复","唯一")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IF(COUNTIF($R$6:$R$816,R805)&gt;1,"重复","唯一")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IF(COUNTIF($R$6:$R$816,R806)&gt;1,"重复","唯一")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IF(COUNTIF($R$6:$R$816,R807)&gt;1,"重复","唯一")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IF(COUNTIF($R$6:$R$816,R808)&gt;1,"重复","唯一")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IF(COUNTIF($R$6:$R$816,R809)&gt;1,"重复","唯一")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IF(COUNTIF($R$6:$R$816,R810)&gt;1,"重复","唯一")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IF(COUNTIF($R$6:$R$816,R811)&gt;1,"重复","唯一")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IF(COUNTIF($R$6:$R$816,R812)&gt;1,"重复","唯一")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IF(COUNTIF($R$6:$R$816,R813)&gt;1,"重复","唯一")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IF(COUNTIF($R$6:$R$816,R814)&gt;1,"重复","唯一")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IF(COUNTIF($R$6:$R$816,R815)&gt;1,"重复","唯一")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曲线天台大型商场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v002</t>
        </is>
      </c>
      <c r="N816" s="99" t="inlineStr">
        <is>
          <t>150×50m；五层×5m；连续天台25m；叶形棚净高4.8m；栏杆1.2m、花池0.6m；90独立包；4原材质；图纸校准与近景深化</t>
        </is>
      </c>
      <c r="O816" s="99" t="inlineStr">
        <is>
          <t>assets/art/environments/open_world/source/tower_04/v002/塔4_曲线天台商场_150x50m_v002.blend</t>
        </is>
      </c>
      <c r="P816" s="99" t="inlineStr">
        <is>
          <t>用户最新详细平面图及功能分区图；docs/v0.1/design/tower04_mall_source.md r2</t>
        </is>
      </c>
      <c r="Q816" s="72" t="inlineStr">
        <is>
          <t>塔4;商场;回旋屋顶;月牙凹口;弯曲叶棚;Y形柱;异形花池;斜置玻璃亭;草坪庭院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IF(COUNTIF($R$6:$R$816,R816)&gt;1,"重复","唯一")</f>
        <v/>
      </c>
      <c r="T816" s="99" t="inlineStr">
        <is>
          <t>e5d0dcbfdb1ce53ab6ef2fddbcb237639982368c394543ae20d9f7bd1e23823c</t>
        </is>
      </c>
      <c r="U816" s="72" t="inlineStr">
        <is>
          <t>Codex</t>
        </is>
      </c>
      <c r="V816" s="132" t="inlineStr">
        <is>
          <t>2026-10-01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Blender源v002；统一25m连续天台；斜置玻璃亭、四组异形绿岛、草坪雕塑，深化柱脚、采光格构、栏杆夹件及风扇设备。未导出GLB/PackedScene、碰撞/LOD/导航未制作。原四材质及公共贴图不变，MipMap未启用；v001保留。图纸带透视且东侧裁切，不宣称CAD测绘精度。</t>
        </is>
      </c>
    </row>
  </sheetData>
  <autoFilter ref="A5:Y816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816" showDropDown="0" showInputMessage="0" showErrorMessage="0" allowBlank="1" type="list">
      <formula1>"角色,敌人,武器,道具,场景,场景道具,基地资产包,UI,特效,音频"</formula1>
    </dataValidation>
    <dataValidation sqref="K6:K81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816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</sheetData>
  <autoFilter ref="A5:P716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2026-09-30T17:04:58Z</dcterms:modified>
</cp:coreProperties>
</file>