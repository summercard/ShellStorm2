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0" fillId="12" borderId="0" applyAlignment="1" pivotButton="0" quotePrefix="0" xfId="0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=COUNTA(资产主表!$A$6:$A$240)</f>
        <v/>
      </c>
      <c r="B6" s="53" t="inlineStr"/>
      <c r="C6" s="55">
        <f>=COUNTIF(资产主表!$K$6:$K$240,"已完成")+COUNTIF(资产主表!$K$6:$K$240,"原型已接入")+COUNTIF(资产主表!$K$6:$K$240,"正式美术已接入")+COUNTIF(资产主表!$K$6:$K$240,"已优化并正式接入")+COUNTIF(资产主表!$K$6:$K$240,"Blender源已完成")+COUNTIF(资产主表!$K$6:$K$240,"已导入；优化完成")</f>
        <v/>
      </c>
      <c r="D6" s="53" t="inlineStr"/>
      <c r="E6" s="55">
        <f>=COUNTIF(资产主表!$K$6:$K$240,"待制作")+COUNTIF(资产主表!$K$6:$K$240,"程序占位")</f>
        <v/>
      </c>
      <c r="F6" s="53" t="inlineStr"/>
      <c r="G6" s="55">
        <f>=COUNTIF(资产主表!$S$6:$S$240,"重复")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=COUNTIF(资产主表!$C$6:$C$240,A10)</f>
        <v/>
      </c>
      <c r="C10" s="60">
        <f>=SUMPRODUCT((资产主表!$C$6:$C$240=A10)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=COUNTIF(资产主表!$C$6:$C$240,A11)</f>
        <v/>
      </c>
      <c r="C11" s="60">
        <f>=SUMPRODUCT((资产主表!$C$6:$C$240=A11)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=COUNTIF(资产主表!$C$6:$C$240,A12)</f>
        <v/>
      </c>
      <c r="C12" s="60">
        <f>=SUMPRODUCT((资产主表!$C$6:$C$240=A12)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0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IF(COUNTIF($R$6:$R$240,R6)&gt;1,"重复","唯一")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IF(COUNTIF($R$6:$R$240,R7)&gt;1,"重复","唯一")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IF(COUNTIF($R$6:$R$240,R8)&gt;1,"重复","唯一")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IF(COUNTIF($R$6:$R$240,R9)&gt;1,"重复","唯一")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IF(COUNTIF($R$6:$R$240,R10)&gt;1,"重复","唯一")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IF(COUNTIF($R$6:$R$240,R11)&gt;1,"重复","唯一")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IF(COUNTIF($R$6:$R$240,R12)&gt;1,"重复","唯一")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IF(COUNTIF($R$6:$R$240,R13)&gt;1,"重复","唯一")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IF(COUNTIF($R$6:$R$240,R14)&gt;1,"重复","唯一")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IF(COUNTIF($R$6:$R$240,R15)&gt;1,"重复","唯一")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IF(COUNTIF($R$6:$R$240,R16)&gt;1,"重复","唯一")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IF(COUNTIF($R$6:$R$240,R17)&gt;1,"重复","唯一")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IF(COUNTIF($R$6:$R$240,R18)&gt;1,"重复","唯一")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IF(COUNTIF($R$6:$R$240,R19)&gt;1,"重复","唯一")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IF(COUNTIF($R$6:$R$240,R20)&gt;1,"重复","唯一")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IF(COUNTIF($R$6:$R$240,R21)&gt;1,"重复","唯一")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IF(COUNTIF($R$6:$R$240,R22)&gt;1,"重复","唯一")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IF(COUNTIF($R$6:$R$240,R23)&gt;1,"重复","唯一")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IF(COUNTIF($R$6:$R$240,R24)&gt;1,"重复","唯一")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IF(COUNTIF($R$6:$R$240,R25)&gt;1,"重复","唯一")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IF(COUNTIF($R$6:$R$240,R26)&gt;1,"重复","唯一")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IF(COUNTIF($R$6:$R$240,R27)&gt;1,"重复","唯一")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IF(COUNTIF($R$6:$R$240,R28)&gt;1,"重复","唯一")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IF(COUNTIF($R$6:$R$240,R29)&gt;1,"重复","唯一")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IF(COUNTIF($R$6:$R$240,R30)&gt;1,"重复","唯一")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IF(COUNTIF($R$6:$R$240,R31)&gt;1,"重复","唯一")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IF(COUNTIF($R$6:$R$240,R32)&gt;1,"重复","唯一")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IF(COUNTIF($R$6:$R$240,R33)&gt;1,"重复","唯一")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IF(COUNTIF($R$6:$R$240,R34)&gt;1,"重复","唯一")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IF(COUNTIF($R$6:$R$240,R35)&gt;1,"重复","唯一")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IF(COUNTIF($R$6:$R$240,R36)&gt;1,"重复","唯一")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IF(COUNTIF($R$6:$R$240,R37)&gt;1,"重复","唯一")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IF(COUNTIF($R$6:$R$240,R38)&gt;1,"重复","唯一")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IF(COUNTIF($R$6:$R$240,R39)&gt;1,"重复","唯一")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IF(COUNTIF($R$6:$R$240,R40)&gt;1,"重复","唯一")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IF(COUNTIF($R$6:$R$240,R41)&gt;1,"重复","唯一")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IF(COUNTIF($R$6:$R$240,R42)&gt;1,"重复","唯一")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IF(COUNTIF($R$6:$R$240,R43)&gt;1,"重复","唯一")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IF(COUNTIF($R$6:$R$240,R44)&gt;1,"重复","唯一")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IF(COUNTIF($R$6:$R$240,R45)&gt;1,"重复","唯一")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IF(COUNTIF($R$6:$R$240,R46)&gt;1,"重复","唯一")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IF(COUNTIF($R$6:$R$240,R47)&gt;1,"重复","唯一")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IF(COUNTIF($R$6:$R$240,R48)&gt;1,"重复","唯一")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IF(COUNTIF($R$6:$R$240,R49)&gt;1,"重复","唯一")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IF(COUNTIF($R$6:$R$240,R50)&gt;1,"重复","唯一")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IF(COUNTIF($R$6:$R$240,R51)&gt;1,"重复","唯一")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IF(COUNTIF($R$6:$R$240,R52)&gt;1,"重复","唯一")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IF(COUNTIF($R$6:$R$240,R53)&gt;1,"重复","唯一")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v003</t>
        </is>
      </c>
      <c r="N54" s="76" t="inlineStr">
        <is>
          <t>5×5×0.304m；740三角面；2材质；共享MultiMesh；行走面锚点+0.1500不变；装饰件反共面阶梯+0.1520/+0.1540（XY重叠可见面高度差≥2mm）</t>
        </is>
      </c>
      <c r="O54" s="76" t="inlineStr">
        <is>
          <t>assets/art/environments/tower_descent_3d/runtime/floor_tile_5m/env_tower_floor_tile_5m_root_top3d.tscn</t>
        </is>
      </c>
      <c r="P54" s="7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IF(COUNTIF($R$6:$R$240,R54)&gt;1,"重复","唯一")</f>
        <v/>
      </c>
      <c r="T54" s="76" t="inlineStr">
        <is>
          <t>3eb08fd277af14d56a25f55f3bb7e714c9855e21cd549596969686591b389cf6</t>
        </is>
      </c>
      <c r="U54" s="76" t="inlineStr">
        <is>
          <t>Codex</t>
        </is>
      </c>
      <c r="V54" s="77" t="inlineStr">
        <is>
          <t>2026-09-22 00:00:00</t>
        </is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IF(COUNTIF($R$6:$R$240,R55)&gt;1,"重复","唯一")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IF(COUNTIF($R$6:$R$240,R56)&gt;1,"重复","唯一")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IF(COUNTIF($R$6:$R$240,R57)&gt;1,"重复","唯一")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IF(COUNTIF($R$6:$R$240,R58)&gt;1,"重复","唯一")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IF(COUNTIF($R$6:$R$240,R59)&gt;1,"重复","唯一")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IF(COUNTIF($R$6:$R$240,R60)&gt;1,"重复","唯一")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IF(COUNTIF($R$6:$R$240,R61)&gt;1,"重复","唯一")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IF(COUNTIF($R$6:$R$240,R62)&gt;1,"重复","唯一")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IF(COUNTIF($R$6:$R$240,R63)&gt;1,"重复","唯一")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IF(COUNTIF($R$6:$R$240,R64)&gt;1,"重复","唯一")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IF(COUNTIF($R$6:$R$240,R65)&gt;1,"重复","唯一")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IF(COUNTIF($R$6:$R$240,R66)&gt;1,"重复","唯一")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IF(COUNTIF($R$6:$R$240,R67)&gt;1,"重复","唯一")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IF(COUNTIF($R$6:$R$240,R68)&gt;1,"重复","唯一")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IF(COUNTIF($R$6:$R$240,R69)&gt;1,"重复","唯一")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IF(COUNTIF($R$6:$R$240,R70)&gt;1,"重复","唯一")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IF(COUNTIF($R$6:$R$240,R71)&gt;1,"重复","唯一")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IF(COUNTIF($R$6:$R$240,R72)&gt;1,"重复","唯一")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IF(COUNTIF($R$6:$R$240,R73)&gt;1,"重复","唯一")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IF(COUNTIF($R$6:$R$240,R74)&gt;1,"重复","唯一")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IF(COUNTIF($R$6:$R$240,R75)&gt;1,"重复","唯一")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IF(COUNTIF($R$6:$R$240,R76)&gt;1,"重复","唯一")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IF(COUNTIF($R$6:$R$240,R77)&gt;1,"重复","唯一")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IF(COUNTIF($R$6:$R$240,R78)&gt;1,"重复","唯一")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IF(COUNTIF($R$6:$R$240,R79)&gt;1,"重复","唯一")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IF(COUNTIF($R$6:$R$240,R80)&gt;1,"重复","唯一")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IF(COUNTIF($R$6:$R$240,R81)&gt;1,"重复","唯一")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IF(COUNTIF($R$6:$R$240,R82)&gt;1,"重复","唯一")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IF(COUNTIF($R$6:$R$240,R83)&gt;1,"重复","唯一")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IF(COUNTIF($R$6:$R$240,R84)&gt;1,"重复","唯一")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IF(COUNTIF($R$6:$R$240,R85)&gt;1,"重复","唯一")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IF(COUNTIF($R$6:$R$240,R86)&gt;1,"重复","唯一")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IF(COUNTIF($R$6:$R$240,R87)&gt;1,"重复","唯一")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IF(COUNTIF($R$6:$R$240,R88)&gt;1,"重复","唯一")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IF(COUNTIF($R$6:$R$240,R89)&gt;1,"重复","唯一")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IF(COUNTIF($R$6:$R$240,R90)&gt;1,"重复","唯一")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IF(COUNTIF($R$6:$R$240,R91)&gt;1,"重复","唯一")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IF(COUNTIF($R$6:$R$240,R92)&gt;1,"重复","唯一")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IF(COUNTIF($R$6:$R$240,R93)&gt;1,"重复","唯一")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IF(COUNTIF($R$6:$R$240,R94)&gt;1,"重复","唯一")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IF(COUNTIF($R$6:$R$240,R95)&gt;1,"重复","唯一")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IF(COUNTIF($R$6:$R$240,R96)&gt;1,"重复","唯一")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IF(COUNTIF($R$6:$R$240,R97)&gt;1,"重复","唯一")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IF(COUNTIF($R$6:$R$240,R98)&gt;1,"重复","唯一")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IF(COUNTIF($R$6:$R$240,R99)&gt;1,"重复","唯一")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IF(COUNTIF($R$6:$R$240,R100)&gt;1,"重复","唯一")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IF(COUNTIF($R$6:$R$240,R101)&gt;1,"重复","唯一")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IF(COUNTIF($R$6:$R$240,R102)&gt;1,"重复","唯一")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IF(COUNTIF($R$6:$R$240,R103)&gt;1,"重复","唯一")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IF(COUNTIF($R$6:$R$240,R104)&gt;1,"重复","唯一")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IF(COUNTIF($R$6:$R$240,R105)&gt;1,"重复","唯一")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IF(COUNTIF($R$6:$R$240,R106)&gt;1,"重复","唯一")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IF(COUNTIF($R$6:$R$240,R107)&gt;1,"重复","唯一")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v003</t>
        </is>
      </c>
      <c r="N108" s="79" t="inlineStr">
        <is>
          <t>30×30m围护；本地12—24m墙体；24m封顶；墙视觉11.9m；东西南三面=天台v002房间标准墙17块；封顶=天台v002角4+边16+内圈16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IF(COUNTIF($R$6:$R$240,R108)&gt;1,"重复","唯一")</f>
        <v/>
      </c>
      <c r="T108" s="79" t="inlineStr">
        <is>
          <t>376d1620459eb929233fc62f548ab352c0024222e29a75a94f2a3396f2e31fe4</t>
        </is>
      </c>
      <c r="U108" s="79" t="inlineStr">
        <is>
          <t>Codex</t>
        </is>
      </c>
      <c r="V108" s="80" t="n">
        <v>46285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IF(COUNTIF($R$6:$R$240,R109)&gt;1,"重复","唯一")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IF(COUNTIF($R$6:$R$240,R110)&gt;1,"重复","唯一")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IF(COUNTIF($R$6:$R$240,R111)&gt;1,"重复","唯一")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IF(COUNTIF($R$6:$R$240,R112)&gt;1,"重复","唯一")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IF(COUNTIF($R$6:$R$240,R113)&gt;1,"重复","唯一")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IF(COUNTIF($R$6:$R$240,R114)&gt;1,"重复","唯一")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IF(COUNTIF($R$6:$R$240,R115)&gt;1,"重复","唯一")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IF(COUNTIF($R$6:$R$240,R116)&gt;1,"重复","唯一")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IF(COUNTIF($R$6:$R$240,R117)&gt;1,"重复","唯一")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IF(COUNTIF($R$6:$R$240,R118)&gt;1,"重复","唯一")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IF(COUNTIF($R$6:$R$240,R119)&gt;1,"重复","唯一")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IF(COUNTIF($R$6:$R$240,R120)&gt;1,"重复","唯一")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IF(COUNTIF($R$6:$R$240,R121)&gt;1,"重复","唯一")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IF(COUNTIF($R$6:$R$240,R122)&gt;1,"重复","唯一")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IF(COUNTIF($R$6:$R$240,R123)&gt;1,"重复","唯一")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IF(COUNTIF($R$6:$R$240,R124)&gt;1,"重复","唯一")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IF(COUNTIF($R$6:$R$240,R125)&gt;1,"重复","唯一")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IF(COUNTIF($R$6:$R$240,R126)&gt;1,"重复","唯一")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IF(COUNTIF($R$6:$R$240,R127)&gt;1,"重复","唯一")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IF(COUNTIF($R$6:$R$240,R128)&gt;1,"重复","唯一")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IF(COUNTIF($R$6:$R$240,R129)&gt;1,"重复","唯一")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IF(COUNTIF($R$6:$R$240,R130)&gt;1,"重复","唯一")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IF(COUNTIF($R$6:$R$240,R131)&gt;1,"重复","唯一")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IF(COUNTIF($R$6:$R$240,R132)&gt;1,"重复","唯一")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IF(COUNTIF($R$6:$R$240,R133)&gt;1,"重复","唯一")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IF(COUNTIF($R$6:$R$240,R134)&gt;1,"重复","唯一")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IF(COUNTIF($R$6:$R$240,R135)&gt;1,"重复","唯一")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IF(COUNTIF($R$6:$R$240,R136)&gt;1,"重复","唯一")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IF(COUNTIF($R$6:$R$240,R137)&gt;1,"重复","唯一")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IF(COUNTIF($R$6:$R$240,R138)&gt;1,"重复","唯一")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IF(COUNTIF($R$6:$R$240,R139)&gt;1,"重复","唯一")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IF(COUNTIF($R$6:$R$240,R140)&gt;1,"重复","唯一")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IF(COUNTIF($R$6:$R$240,R141)&gt;1,"重复","唯一")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IF(COUNTIF($R$6:$R$240,R142)&gt;1,"重复","唯一")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IF(COUNTIF($R$6:$R$240,R143)&gt;1,"重复","唯一")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IF(COUNTIF($R$6:$R$240,R144)&gt;1,"重复","唯一")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IF(COUNTIF($R$6:$R$240,R145)&gt;1,"重复","唯一")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IF(COUNTIF($R$6:$R$240,R146)&gt;1,"重复","唯一")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IF(COUNTIF($R$6:$R$240,R147)&gt;1,"重复","唯一")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IF(COUNTIF($R$6:$R$240,R148)&gt;1,"重复","唯一")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IF(COUNTIF($R$6:$R$240,R149)&gt;1,"重复","唯一")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IF(COUNTIF($R$6:$R$240,R150)&gt;1,"重复","唯一")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IF(COUNTIF($R$6:$R$240,R151)&gt;1,"重复","唯一")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IF(COUNTIF($R$6:$R$240,R152)&gt;1,"重复","唯一")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IF(COUNTIF($R$6:$R$240,R153)&gt;1,"重复","唯一")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IF(COUNTIF($R$6:$R$240,R154)&gt;1,"重复","唯一")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IF(COUNTIF($R$6:$R$240,R155)&gt;1,"重复","唯一")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IF(COUNTIF($R$6:$R$240,R156)&gt;1,"重复","唯一")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IF(COUNTIF($R$6:$R$240,R157)&gt;1,"重复","唯一")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IF(COUNTIF($R$6:$R$240,R158)&gt;1,"重复","唯一")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IF(COUNTIF($R$6:$R$240,R159)&gt;1,"重复","唯一")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IF(COUNTIF($R$6:$R$240,R160)&gt;1,"重复","唯一")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IF(COUNTIF($R$6:$R$240,R161)&gt;1,"重复","唯一")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IF(COUNTIF($R$6:$R$240,R162)&gt;1,"重复","唯一")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IF(COUNTIF($R$6:$R$240,R163)&gt;1,"重复","唯一")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IF(COUNTIF($R$6:$R$240,R164)&gt;1,"重复","唯一")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IF(COUNTIF($R$6:$R$240,R165)&gt;1,"重复","唯一")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IF(COUNTIF($R$6:$R$240,R166)&gt;1,"重复","唯一")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IF(COUNTIF($R$6:$R$240,R167)&gt;1,"重复","唯一")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IF(COUNTIF($R$6:$R$240,R168)&gt;1,"重复","唯一")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IF(COUNTIF($R$6:$R$240,R169)&gt;1,"重复","唯一")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IF(COUNTIF($R$6:$R$240,R170)&gt;1,"重复","唯一")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IF(COUNTIF($R$6:$R$240,R171)&gt;1,"重复","唯一")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IF(COUNTIF($R$6:$R$240,R172)&gt;1,"重复","唯一")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IF(COUNTIF($R$6:$R$240,R173)&gt;1,"重复","唯一")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IF(COUNTIF($R$6:$R$240,R174)&gt;1,"重复","唯一")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IF(COUNTIF($R$6:$R$240,R175)&gt;1,"重复","唯一")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IF(COUNTIF($R$6:$R$240,R176)&gt;1,"重复","唯一")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IF(COUNTIF($R$6:$R$240,R177)&gt;1,"重复","唯一")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IF(COUNTIF($R$6:$R$240,R178)&gt;1,"重复","唯一")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IF(COUNTIF($R$6:$R$240,R179)&gt;1,"重复","唯一")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IF(COUNTIF($R$6:$R$240,R180)&gt;1,"重复","唯一")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IF(COUNTIF($R$6:$R$240,R181)&gt;1,"重复","唯一")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IF(COUNTIF($R$6:$R$240,R182)&gt;1,"重复","唯一")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IF(COUNTIF($R$6:$R$240,R183)&gt;1,"重复","唯一")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IF(COUNTIF($R$6:$R$240,R184)&gt;1,"重复","唯一")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IF(COUNTIF($R$6:$R$240,R185)&gt;1,"重复","唯一")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IF(COUNTIF($R$6:$R$240,R186)&gt;1,"重复","唯一")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IF(COUNTIF($R$6:$R$240,R187)&gt;1,"重复","唯一")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IF(COUNTIF($R$6:$R$240,R188)&gt;1,"重复","唯一")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IF(COUNTIF($R$6:$R$240,R189)&gt;1,"重复","唯一")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IF(COUNTIF($R$6:$R$240,R190)&gt;1,"重复","唯一")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IF(COUNTIF($R$6:$R$240,R191)&gt;1,"重复","唯一")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IF(COUNTIF($R$6:$R$240,R192)&gt;1,"重复","唯一")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IF(COUNTIF($R$6:$R$240,R193)&gt;1,"重复","唯一")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IF(COUNTIF($R$6:$R$240,R194)&gt;1,"重复","唯一")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IF(COUNTIF($R$6:$R$240,R195)&gt;1,"重复","唯一")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IF(COUNTIF($R$6:$R$240,R196)&gt;1,"重复","唯一")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IF(COUNTIF($R$6:$R$240,R197)&gt;1,"重复","唯一")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IF(COUNTIF($R$6:$R$240,R198)&gt;1,"重复","唯一")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IF(COUNTIF($R$6:$R$240,R199)&gt;1,"重复","唯一")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IF(COUNTIF($R$6:$R$240,R200)&gt;1,"重复","唯一")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IF(COUNTIF($R$6:$R$240,R201)&gt;1,"重复","唯一")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IF(COUNTIF($R$6:$R$240,R202)&gt;1,"重复","唯一")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IF(COUNTIF($R$6:$R$240,R203)&gt;1,"重复","唯一")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IF(COUNTIF($R$6:$R$240,R204)&gt;1,"重复","唯一")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IF(COUNTIF($R$6:$R$240,R205)&gt;1,"重复","唯一")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IF(COUNTIF($R$6:$R$240,R206)&gt;1,"重复","唯一")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IF(COUNTIF($R$6:$R$240,R207)&gt;1,"重复","唯一")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IF(COUNTIF($R$6:$R$240,R208)&gt;1,"重复","唯一")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IF(COUNTIF($R$6:$R$240,R209)&gt;1,"重复","唯一")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IF(COUNTIF($R$6:$R$240,R210)&gt;1,"重复","唯一")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IF(COUNTIF($R$6:$R$240,R211)&gt;1,"重复","唯一")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IF(COUNTIF($R$6:$R$240,R212)&gt;1,"重复","唯一")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IF(COUNTIF($R$6:$R$240,R213)&gt;1,"重复","唯一")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IF(COUNTIF($R$6:$R$240,R214)&gt;1,"重复","唯一")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IF(COUNTIF($R$6:$R$240,R215)&gt;1,"重复","唯一")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IF(COUNTIF($R$6:$R$240,R216)&gt;1,"重复","唯一")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IF(COUNTIF($R$6:$R$240,R217)&gt;1,"重复","唯一")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IF(COUNTIF($R$6:$R$240,R218)&gt;1,"重复","唯一")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IF(COUNTIF($R$6:$R$240,R219)&gt;1,"重复","唯一")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IF(COUNTIF($R$6:$R$240,R220)&gt;1,"重复","唯一")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IF(COUNTIF($R$6:$R$240,R221)&gt;1,"重复","唯一")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IF(COUNTIF($R$6:$R$240,R222)&gt;1,"重复","唯一")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IF(COUNTIF($R$6:$R$240,R223)&gt;1,"重复","唯一")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IF(COUNTIF($R$6:$R$240,R224)&gt;1,"重复","唯一")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IF(COUNTIF($R$6:$R$240,R225)&gt;1,"重复","唯一")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IF(COUNTIF($R$6:$R$240,R226)&gt;1,"重复","唯一")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IF(COUNTIF($R$6:$R$240,R227)&gt;1,"重复","唯一")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IF(COUNTIF($R$6:$R$240,R228)&gt;1,"重复","唯一")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IF(COUNTIF($R$6:$R$240,R229)&gt;1,"重复","唯一")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IF(COUNTIF($R$6:$R$240,R230)&gt;1,"重复","唯一")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IF(COUNTIF($R$6:$R$240,R231)&gt;1,"重复","唯一")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IF(COUNTIF($R$6:$R$240,R232)&gt;1,"重复","唯一")</f>
        <v/>
      </c>
      <c r="T232" s="79" t="inlineStr">
        <is>
          <t>d153967cd3c333b46dc8fbf2c89b73ffb095a834be12a7daf774fef0418af1a7</t>
        </is>
      </c>
      <c r="U232" s="79" t="inlineStr">
        <is>
          <t>Codex</t>
        </is>
      </c>
      <c r="V232" s="79" t="inlineStr">
        <is>
          <t>2026-09-21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IF(COUNTIF($R$6:$R$240,R233)&gt;1,"重复","唯一")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IF(COUNTIF($R$6:$R$240,R234)&gt;1,"重复","唯一")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IF(COUNTIF($R$6:$R$240,R235)&gt;1,"重复","唯一")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IF(COUNTIF($R$6:$R$240,R236)&gt;1,"重复","唯一")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IF(COUNTIF($R$6:$R$240,R237)&gt;1,"重复","唯一")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100F独立组件制作；装饰件已按布局接入运行场景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47包 / 4共享材质；女儿墙方案A 0.80m；17件已导出（含12件装饰接入）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天台;屋顶;女儿墙;外墙;空调;管道;藤蔓;女儿墙挂藤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IF(COUNTIF($R$6:$R$240,R238)&gt;1,"重复","唯一")</f>
        <v/>
      </c>
      <c r="T238" s="69" t="inlineStr">
        <is>
          <t>d9e96fa13e39e4e11abaef6c59b7d6211e9c616717a5ca59488c959dda31cc0a</t>
        </is>
      </c>
      <c r="U238" s="69" t="inlineStr">
        <is>
          <t>Codex</t>
        </is>
      </c>
      <c r="V238" s="69" t="n">
        <v>46286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IF(COUNTIF($R$6:$R$240,R239)&gt;1,"重复","唯一")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>
      <c r="A240" s="69" t="inlineStr">
        <is>
          <t>ENV-ROOFTOP-DECOR-LAYOUT-100F</t>
        </is>
      </c>
      <c r="B240" s="69" t="inlineStr">
        <is>
          <t>100F天台装饰布局</t>
        </is>
      </c>
      <c r="C240" s="69" t="inlineStr">
        <is>
          <t>场景</t>
        </is>
      </c>
      <c r="D240" s="69" t="inlineStr">
        <is>
          <t>environment_layout_3d</t>
        </is>
      </c>
      <c r="E240" s="69" t="inlineStr">
        <is>
          <t>rooftop_100f_decorated_layout</t>
        </is>
      </c>
      <c r="F240" s="69" t="inlineStr">
        <is>
          <t>root_3d</t>
        </is>
      </c>
      <c r="G240" s="69" t="n"/>
      <c r="H240" s="69" t="inlineStr">
        <is>
          <t>Blender Z-up / -Y</t>
        </is>
      </c>
      <c r="I240" s="69" t="inlineStr">
        <is>
          <t>static / per_instance(visual_only+blocking)</t>
        </is>
      </c>
      <c r="J240" s="69" t="inlineStr">
        <is>
          <t>100F天台专用；只摆共享组件实例，不拥有几何</t>
        </is>
      </c>
      <c r="K240" s="69" t="inlineStr">
        <is>
          <t>正式美术已接入</t>
        </is>
      </c>
      <c r="L240" s="69" t="inlineStr">
        <is>
          <t>P1</t>
        </is>
      </c>
      <c r="M240" s="69" t="inlineStr">
        <is>
          <t>v001</t>
        </is>
      </c>
      <c r="N240" s="6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69" t="inlineStr">
        <is>
          <t>assets/art/environments/tower_zones/rooftop/source/layouts/100f_decorated_v001/rooftop_100f_decorated_layout_v001.blend</t>
        </is>
      </c>
      <c r="P240" s="69" t="inlineStr">
        <is>
          <t>assets/art/environments/tower_zones/rooftop/source/layouts/100f_decorated_v001/rooftop_100f_decorated_layout_v001.json; src/world3d/TowerFloorStage3D.gd</t>
        </is>
      </c>
      <c r="Q240" s="69" t="inlineStr">
        <is>
          <t>天台;装饰布局;空调;通风口;水管;藤蔓;女儿墙挂藤;花圃盆栽;100F</t>
        </is>
      </c>
      <c r="R240" s="69">
        <f>LOWER(TRIM(C240)&amp;"|"&amp;TRIM(D240)&amp;"|"&amp;TRIM(E240)&amp;"|"&amp;TRIM(F240)&amp;"|"&amp;TRIM(H240)&amp;"|"&amp;TRIM(I240))</f>
        <v/>
      </c>
      <c r="S240" s="69">
        <f>IF(COUNTIF($R$6:$R$240,R240)&gt;1,"重复","唯一")</f>
        <v/>
      </c>
      <c r="T240" s="69" t="inlineStr">
        <is>
          <t>e65aa1389076254a856b1941e5c680e6663e4e32d8fe260f3a490208cd21a8c5</t>
        </is>
      </c>
      <c r="U240" s="69" t="inlineStr">
        <is>
          <t>摩斯拉</t>
        </is>
      </c>
      <c r="V240" s="69" t="n">
        <v>46287</v>
      </c>
      <c r="W240" s="69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69" t="inlineStr">
        <is>
          <t>100F_decorated_v001</t>
        </is>
      </c>
      <c r="Y240" s="6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</sheetData>
  <autoFilter ref="A5:X240"/>
  <mergeCells count="2">
    <mergeCell ref="A1:X2"/>
    <mergeCell ref="A3:X3"/>
  </mergeCells>
  <conditionalFormatting sqref="S6:S240">
    <cfRule type="containsText" priority="1" operator="containsText" dxfId="0" text="重复"/>
  </conditionalFormatting>
  <conditionalFormatting sqref="K6:K240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40" showDropDown="0" showInputMessage="0" showErrorMessage="0" allowBlank="1" type="list">
      <formula1>"角色,敌人,武器,道具,场景,场景道具,基地资产包,UI,特效,音频"</formula1>
    </dataValidation>
    <dataValidation sqref="K6:K2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0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47独立包（10类）；女儿墙已改方案A 0.80m 并含3件破损变种；11 类装饰（空调/通风口/水管/藤蔓/花圃盆栽）已导出并接入 100F 装饰布局。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266块5m地砖满铺（替代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>
        <is>
          <t>assets/art/props/dungeon_3d/prp_rooftop_room_wall_5x12.tscn</t>
        </is>
      </c>
      <c r="D106" s="69" t="inlineStr">
        <is>
          <t>assets/art/environments/tower_zones/rooftop/components/env_rooftop_ref_room_wall_top3d.glb</t>
        </is>
      </c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>
        <is>
          <t>src/world3d/Base100UpperShell3D.gd</t>
        </is>
      </c>
      <c r="H106" s="69" t="inlineStr">
        <is>
          <t>开</t>
        </is>
      </c>
      <c r="I106" s="69" t="inlineStr">
        <is>
          <t>Base100UpperShell3D</t>
        </is>
      </c>
      <c r="J106" s="69" t="inlineStr">
        <is>
          <t>BoxShape3D；由 Base100UpperShell3D._build_structure_collision() 生成 30×30 连续结构层代理，Prefab 自身不带碰撞节点（内嵌会与结构层重复阻挡）</t>
        </is>
      </c>
      <c r="K106" s="69" t="inlineStr">
        <is>
          <t>5.000×11.900×0.300 m（逻辑高 12.000，顶面留 0.10 给 24m 封顶）</t>
        </is>
      </c>
      <c r="L106" s="69" t="inlineStr">
        <is>
          <t>bottom_center（几何 Y=0 起）；+Z 朝外。⚠️ 与 99F 系（ENV-BASE99-*，-Z 朝外）差 180°：同一条边 base99 用 -90°、本套件用 +90°。</t>
        </is>
      </c>
      <c r="M106" s="69" t="inlineStr">
        <is>
          <t>100F 上层围护东西南三面 17 块（南 6 / 西 6 / 东 5，东面 z=-7.5 门洞槽除外）</t>
        </is>
      </c>
      <c r="N106" s="69" t="inlineStr">
        <is>
          <t>正式美术已接入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>
        <is>
          <t>assets/art/props/dungeon_3d/prp_rooftop_room_window_5x12.tscn</t>
        </is>
      </c>
      <c r="D107" s="69" t="inlineStr">
        <is>
          <t>assets/art/environments/tower_zones/rooftop/components/env_rooftop_ref_room_window_top3d.glb</t>
        </is>
      </c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n"/>
      <c r="H107" s="69" t="inlineStr">
        <is>
          <t>未创建</t>
        </is>
      </c>
      <c r="I107" s="69" t="inlineStr">
        <is>
          <t>Base100UpperShell3D</t>
        </is>
      </c>
      <c r="J107" s="69" t="inlineStr">
        <is>
          <t>Prefab 已声明 collision_owner；尚未在 100F 上层围护场景实例化</t>
        </is>
      </c>
      <c r="K107" s="69" t="inlineStr">
        <is>
          <t>5.000×11.900×0.300 m（逻辑高 12.000）</t>
        </is>
      </c>
      <c r="L107" s="69" t="inlineStr">
        <is>
          <t>bottom_center（几何 Y=0 起）；+Z 朝外。⚠️ 与 99F 系（ENV-BASE99-*，-Z 朝外）差 180°：同一条边 base99 用 -90°、本套件用 +90°。</t>
        </is>
      </c>
      <c r="M107" s="69" t="inlineStr">
        <is>
          <t>已制作并登记；100F 上层围护**未使用**（北面 4 大窗仍用 base99 窗墙）</t>
        </is>
      </c>
      <c r="N107" s="69" t="inlineStr">
        <is>
          <t>正式美术已接入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>
        <is>
          <t>assets/art/props/dungeon_3d/prp_rooftop_room_doorwall_5x12.tscn</t>
        </is>
      </c>
      <c r="D108" s="69" t="inlineStr">
        <is>
          <t>assets/art/environments/tower_zones/rooftop/components/env_rooftop_ref_room_doorwall_top3d.glb</t>
        </is>
      </c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n"/>
      <c r="H108" s="69" t="inlineStr">
        <is>
          <t>未创建</t>
        </is>
      </c>
      <c r="I108" s="69" t="inlineStr">
        <is>
          <t>Base100UpperShell3D</t>
        </is>
      </c>
      <c r="J108" s="69" t="inlineStr">
        <is>
          <t>Prefab 已声明 collision_owner；尚未在 100F 上层围护场景实例化</t>
        </is>
      </c>
      <c r="K108" s="69" t="inlineStr">
        <is>
          <t>5.000×11.900×0.300 m；门洞净空 3.80×6.80 m（两侧垛各 0.60 m）</t>
        </is>
      </c>
      <c r="L108" s="69" t="inlineStr">
        <is>
          <t>bottom_center（几何 Y=0 起）；+Z 朝外。⚠️ 与 99F 系（ENV-BASE99-*，-Z 朝外）差 180°：同一条边 base99 用 -90°、本套件用 +90°。</t>
        </is>
      </c>
      <c r="M108" s="69" t="inlineStr">
        <is>
          <t>已制作并登记；100F 上层围护**未使用**（东面门洞槽仍用 base99 门墙）</t>
        </is>
      </c>
      <c r="N108" s="69" t="inlineStr">
        <is>
          <t>正式美术已接入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>
        <is>
          <t>assets/art/props/dungeon_3d/prp_rooftop_roof_full_5m.tscn</t>
        </is>
      </c>
      <c r="D109" s="69" t="inlineStr">
        <is>
          <t>assets/art/environments/tower_zones/rooftop/components/env_rooftop_ref_roof_full_top3d.glb</t>
        </is>
      </c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>
        <is>
          <t>src/world3d/Base100UpperShell3D.gd</t>
        </is>
      </c>
      <c r="H109" s="69" t="inlineStr">
        <is>
          <t>开</t>
        </is>
      </c>
      <c r="I109" s="69" t="inlineStr">
        <is>
          <t>Base100UpperShell3D</t>
        </is>
      </c>
      <c r="J109" s="69" t="inlineStr">
        <is>
          <t>BoxShape3D；由 Base100UpperShell3D._build_structure_collision() 生成 30×30 连续结构层代理，Prefab 自身不带碰撞节点（内嵌会与结构层重复阻挡）</t>
        </is>
      </c>
      <c r="K109" s="69" t="inlineStr">
        <is>
          <t>5.000×5.000×0.300 m（底面原点到顶面 0.30，摆 y=24 占 24.00..24.30）</t>
        </is>
      </c>
      <c r="L109" s="69" t="inlineStr">
        <is>
          <t>bottom_center（几何 Y=0 起）；+Z 朝外。⚠️ 与 99F 系（ENV-BASE99-*，-Z 朝外）差 180°：同一条边 base99 用 -90°、本套件用 +90°。</t>
        </is>
      </c>
      <c r="M109" s="69" t="inlineStr">
        <is>
          <t>100F 24m 封顶 6×6 网格的 16 个内圈格</t>
        </is>
      </c>
      <c r="N109" s="69" t="inlineStr">
        <is>
          <t>正式美术已接入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>
        <is>
          <t>assets/art/props/dungeon_3d/prp_rooftop_roof_edge_5m.tscn</t>
        </is>
      </c>
      <c r="D110" s="69" t="inlineStr">
        <is>
          <t>assets/art/environments/tower_zones/rooftop/components/env_rooftop_ref_roof_edge_top3d.glb</t>
        </is>
      </c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>
        <is>
          <t>src/world3d/Base100UpperShell3D.gd</t>
        </is>
      </c>
      <c r="H110" s="69" t="inlineStr">
        <is>
          <t>开</t>
        </is>
      </c>
      <c r="I110" s="69" t="inlineStr">
        <is>
          <t>Base100UpperShell3D</t>
        </is>
      </c>
      <c r="J110" s="69" t="inlineStr">
        <is>
          <t>BoxShape3D；由 Base100UpperShell3D._build_structure_collision() 生成 30×30 连续结构层代理，Prefab 自身不带碰撞节点（内嵌会与结构层重复阻挡）</t>
        </is>
      </c>
      <c r="K110" s="69" t="inlineStr">
        <is>
          <t>5.000×5.000×0.300 m（收口线脚在板厚之内，不外扩包络）</t>
        </is>
      </c>
      <c r="L110" s="69" t="inlineStr">
        <is>
          <t>bottom_center（几何 Y=0 起）；+Z 朝外。⚠️ 与 99F 系（ENV-BASE99-*，-Z 朝外）差 180°：同一条边 base99 用 -90°、本套件用 +90°。</t>
        </is>
      </c>
      <c r="M110" s="69" t="inlineStr">
        <is>
          <t>100F 24m 封顶 6×6 网格的 16 个外圈非角格</t>
        </is>
      </c>
      <c r="N110" s="69" t="inlineStr">
        <is>
          <t>正式美术已接入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>
        <is>
          <t>assets/art/props/dungeon_3d/prp_rooftop_roof_corner_5m.tscn</t>
        </is>
      </c>
      <c r="D111" s="69" t="inlineStr">
        <is>
          <t>assets/art/environments/tower_zones/rooftop/components/env_rooftop_ref_roof_corner_top3d.glb</t>
        </is>
      </c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>
        <is>
          <t>src/world3d/Base100UpperShell3D.gd</t>
        </is>
      </c>
      <c r="H111" s="69" t="inlineStr">
        <is>
          <t>开</t>
        </is>
      </c>
      <c r="I111" s="69" t="inlineStr">
        <is>
          <t>Base100UpperShell3D</t>
        </is>
      </c>
      <c r="J111" s="69" t="inlineStr">
        <is>
          <t>BoxShape3D；由 Base100UpperShell3D._build_structure_collision() 生成 30×30 连续结构层代理，Prefab 自身不带碰撞节点（内嵌会与结构层重复阻挡）</t>
        </is>
      </c>
      <c r="K111" s="69" t="inlineStr">
        <is>
          <t>5.000×5.000×0.300 m；2 个表面（骨架收口线脚 + 青绿大面）</t>
        </is>
      </c>
      <c r="L111" s="69" t="inlineStr">
        <is>
          <t>bottom_center（几何 Y=0 起）；+Z 朝外。⚠️ 与 99F 系（ENV-BASE99-*，-Z 朝外）差 180°：同一条边 base99 用 -90°、本套件用 +90°。</t>
        </is>
      </c>
      <c r="M111" s="69" t="inlineStr">
        <is>
          <t>100F 24m 封顶 6×6 网格的 4 个角格</t>
        </is>
      </c>
      <c r="N111" s="69" t="inlineStr">
        <is>
          <t>正式美术已接入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>
        <is>
          <t>assets/art/environments/tower_zones/rooftop/runtime/hvac_small.tscn</t>
        </is>
      </c>
      <c r="D113" s="69" t="inlineStr">
        <is>
          <t>assets/art/environments/tower_zones/rooftop/components/env_rooftop_ref_hvac_small_top3d.glb</t>
        </is>
      </c>
      <c r="E113" s="69" t="inlineStr">
        <is>
          <t>assets/art/environments/tower_zones/rooftop/source/reference_components/v002/天台区块_参考组件库_v002.blend</t>
        </is>
      </c>
      <c r="F113" s="69" t="inlineStr">
        <is>
          <t>Godot视觉装饰PackedScene；100F天台房屋四向外墙墙面（避开门洞）（布局内 4 个实例），由 TowerFloorStage3D 按装饰布局清单实例化</t>
        </is>
      </c>
      <c r="G113" s="69" t="inlineStr">
        <is>
          <t>src/world3d/TowerFloorStage3D.gd</t>
        </is>
      </c>
      <c r="H113" s="69" t="inlineStr">
        <is>
          <t>无</t>
        </is>
      </c>
      <c r="I113" s="69" t="inlineStr">
        <is>
          <t>引擎（visual_only）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100F天台装饰布局 / hvac_small</t>
        </is>
      </c>
      <c r="N113" s="69" t="inlineStr">
        <is>
          <t>正式美术已接入</t>
        </is>
      </c>
      <c r="O113" s="69" t="inlineStr">
        <is>
          <t>v002</t>
        </is>
      </c>
      <c r="P113" s="69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>
        <is>
          <t>assets/art/environments/tower_zones/rooftop/runtime/hvac_vent.tscn</t>
        </is>
      </c>
      <c r="D115" s="69" t="inlineStr">
        <is>
          <t>assets/art/environments/tower_zones/rooftop/components/env_rooftop_ref_hvac_vent_top3d.glb</t>
        </is>
      </c>
      <c r="E115" s="69" t="inlineStr">
        <is>
          <t>assets/art/environments/tower_zones/rooftop/source/reference_components/v002/天台区块_参考组件库_v002.blend</t>
        </is>
      </c>
      <c r="F115" s="69" t="inlineStr">
        <is>
          <t>Godot视觉装饰PackedScene；100F天台房屋南北墙高处（布局内 2 个实例），由 TowerFloorStage3D 按装饰布局清单实例化</t>
        </is>
      </c>
      <c r="G115" s="69" t="inlineStr">
        <is>
          <t>src/world3d/TowerFloorStage3D.gd</t>
        </is>
      </c>
      <c r="H115" s="69" t="inlineStr">
        <is>
          <t>无</t>
        </is>
      </c>
      <c r="I115" s="69" t="inlineStr">
        <is>
          <t>引擎（visual_only）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100F天台装饰布局 / hvac_vent</t>
        </is>
      </c>
      <c r="N115" s="69" t="inlineStr">
        <is>
          <t>正式美术已接入</t>
        </is>
      </c>
      <c r="O115" s="69" t="inlineStr">
        <is>
          <t>v002</t>
        </is>
      </c>
      <c r="P115" s="69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>
        <is>
          <t>assets/art/environments/tower_zones/rooftop/runtime/pipe_straight.tscn</t>
        </is>
      </c>
      <c r="D118" s="69" t="inlineStr">
        <is>
          <t>assets/art/environments/tower_zones/rooftop/components/env_rooftop_ref_pipe_straight_top3d.glb</t>
        </is>
      </c>
      <c r="E118" s="69" t="inlineStr">
        <is>
          <t>assets/art/environments/tower_zones/rooftop/source/reference_components/v002/天台区块_参考组件库_v002.blend</t>
        </is>
      </c>
      <c r="F118" s="69" t="inlineStr">
        <is>
          <t>Godot视觉装饰PackedScene；100F天台房屋四周闭环水管（布局内 32 个实例），由 TowerFloorStage3D 按装饰布局清单实例化</t>
        </is>
      </c>
      <c r="G118" s="69" t="inlineStr">
        <is>
          <t>src/world3d/TowerFloorStage3D.gd</t>
        </is>
      </c>
      <c r="H118" s="69" t="inlineStr">
        <is>
          <t>无</t>
        </is>
      </c>
      <c r="I118" s="69" t="inlineStr">
        <is>
          <t>引擎（visual_only）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100F天台装饰布局 / pipe_straight</t>
        </is>
      </c>
      <c r="N118" s="69" t="inlineStr">
        <is>
          <t>正式美术已接入</t>
        </is>
      </c>
      <c r="O118" s="69" t="inlineStr">
        <is>
          <t>v002</t>
        </is>
      </c>
      <c r="P118" s="69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>
        <is>
          <t>assets/art/environments/tower_zones/rooftop/runtime/pipe_elbow.tscn</t>
        </is>
      </c>
      <c r="D119" s="69" t="inlineStr">
        <is>
          <t>assets/art/environments/tower_zones/rooftop/components/env_rooftop_ref_pipe_elbow_top3d.glb</t>
        </is>
      </c>
      <c r="E119" s="69" t="inlineStr">
        <is>
          <t>assets/art/environments/tower_zones/rooftop/source/reference_components/v002/天台区块_参考组件库_v002.blend</t>
        </is>
      </c>
      <c r="F119" s="69" t="inlineStr">
        <is>
          <t>Godot视觉装饰PackedScene；100F天台闭环水管四角（布局内 4 个实例），由 TowerFloorStage3D 按装饰布局清单实例化</t>
        </is>
      </c>
      <c r="G119" s="69" t="inlineStr">
        <is>
          <t>src/world3d/TowerFloorStage3D.gd</t>
        </is>
      </c>
      <c r="H119" s="69" t="inlineStr">
        <is>
          <t>无</t>
        </is>
      </c>
      <c r="I119" s="69" t="inlineStr">
        <is>
          <t>引擎（visual_only）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100F天台装饰布局 / pipe_elbow</t>
        </is>
      </c>
      <c r="N119" s="69" t="inlineStr">
        <is>
          <t>正式美术已接入</t>
        </is>
      </c>
      <c r="O119" s="69" t="inlineStr">
        <is>
          <t>v002</t>
        </is>
      </c>
      <c r="P119" s="69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>
        <is>
          <t>assets/art/environments/tower_zones/rooftop/runtime/pipe_tee.tscn</t>
        </is>
      </c>
      <c r="D120" s="69" t="inlineStr">
        <is>
          <t>assets/art/environments/tower_zones/rooftop/components/env_rooftop_ref_pipe_tee_top3d.glb</t>
        </is>
      </c>
      <c r="E120" s="69" t="inlineStr">
        <is>
          <t>assets/art/environments/tower_zones/rooftop/source/reference_components/v002/天台区块_参考组件库_v002.blend</t>
        </is>
      </c>
      <c r="F120" s="69" t="inlineStr">
        <is>
          <t>Godot视觉装饰PackedScene；100F天台闭环水管灌溉分支（布局内 2 个实例），由 TowerFloorStage3D 按装饰布局清单实例化</t>
        </is>
      </c>
      <c r="G120" s="69" t="inlineStr">
        <is>
          <t>src/world3d/TowerFloorStage3D.gd</t>
        </is>
      </c>
      <c r="H120" s="69" t="inlineStr">
        <is>
          <t>无</t>
        </is>
      </c>
      <c r="I120" s="69" t="inlineStr">
        <is>
          <t>引擎（visual_only）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100F天台装饰布局 / pipe_tee</t>
        </is>
      </c>
      <c r="N120" s="69" t="inlineStr">
        <is>
          <t>正式美术已接入</t>
        </is>
      </c>
      <c r="O120" s="69" t="inlineStr">
        <is>
          <t>v002</t>
        </is>
      </c>
      <c r="P120" s="69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>
        <is>
          <t>assets/art/environments/tower_zones/rooftop/runtime/pipe_riser.tscn</t>
        </is>
      </c>
      <c r="D121" s="69" t="inlineStr">
        <is>
          <t>assets/art/environments/tower_zones/rooftop/components/env_rooftop_ref_pipe_riser_top3d.glb</t>
        </is>
      </c>
      <c r="E121" s="69" t="inlineStr">
        <is>
          <t>assets/art/environments/tower_zones/rooftop/source/reference_components/v002/天台区块_参考组件库_v002.blend</t>
        </is>
      </c>
      <c r="F121" s="69" t="inlineStr">
        <is>
          <t>Godot视觉装饰PackedScene；100F天台闭环水管至地面立管（布局内 4 个实例），由 TowerFloorStage3D 按装饰布局清单实例化</t>
        </is>
      </c>
      <c r="G121" s="69" t="inlineStr">
        <is>
          <t>src/world3d/TowerFloorStage3D.gd</t>
        </is>
      </c>
      <c r="H121" s="69" t="inlineStr">
        <is>
          <t>无</t>
        </is>
      </c>
      <c r="I121" s="69" t="inlineStr">
        <is>
          <t>引擎（visual_only）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100F天台装饰布局 / pipe_riser</t>
        </is>
      </c>
      <c r="N121" s="69" t="inlineStr">
        <is>
          <t>正式美术已接入</t>
        </is>
      </c>
      <c r="O121" s="69" t="inlineStr">
        <is>
          <t>v002</t>
        </is>
      </c>
      <c r="P121" s="69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>
        <is>
          <t>assets/art/environments/tower_zones/rooftop/runtime/pipe_bracket.tscn</t>
        </is>
      </c>
      <c r="D122" s="69" t="inlineStr">
        <is>
          <t>assets/art/environments/tower_zones/rooftop/components/env_rooftop_ref_pipe_bracket_top3d.glb</t>
        </is>
      </c>
      <c r="E122" s="69" t="inlineStr">
        <is>
          <t>assets/art/environments/tower_zones/rooftop/source/reference_components/v002/天台区块_参考组件库_v002.blend</t>
        </is>
      </c>
      <c r="F122" s="69" t="inlineStr">
        <is>
          <t>Godot视觉装饰PackedScene；100F天台立管墙面固定（布局内 4 个实例），由 TowerFloorStage3D 按装饰布局清单实例化</t>
        </is>
      </c>
      <c r="G122" s="69" t="inlineStr">
        <is>
          <t>src/world3d/TowerFloorStage3D.gd</t>
        </is>
      </c>
      <c r="H122" s="69" t="inlineStr">
        <is>
          <t>无</t>
        </is>
      </c>
      <c r="I122" s="69" t="inlineStr">
        <is>
          <t>引擎（visual_only）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100F天台装饰布局 / pipe_bracket</t>
        </is>
      </c>
      <c r="N122" s="69" t="inlineStr">
        <is>
          <t>正式美术已接入</t>
        </is>
      </c>
      <c r="O122" s="69" t="inlineStr">
        <is>
          <t>v002</t>
        </is>
      </c>
      <c r="P122" s="69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>
        <is>
          <t>assets/art/environments/tower_zones/rooftop/runtime/ivy.tscn</t>
        </is>
      </c>
      <c r="D125" s="69" t="inlineStr">
        <is>
          <t>assets/art/environments/tower_zones/rooftop/components/env_rooftop_ref_ivy_top3d.glb</t>
        </is>
      </c>
      <c r="E125" s="69" t="inlineStr">
        <is>
          <t>assets/art/environments/tower_zones/rooftop/source/reference_components/v002/天台区块_参考组件库_v002.blend</t>
        </is>
      </c>
      <c r="F125" s="69" t="inlineStr">
        <is>
          <t>Godot视觉装饰PackedScene；100F天台房屋墙面分段挂藤（布局内 11 个实例），由 TowerFloorStage3D 按装饰布局清单实例化</t>
        </is>
      </c>
      <c r="G125" s="69" t="inlineStr">
        <is>
          <t>src/world3d/TowerFloorStage3D.gd</t>
        </is>
      </c>
      <c r="H125" s="69" t="inlineStr">
        <is>
          <t>无</t>
        </is>
      </c>
      <c r="I125" s="69" t="inlineStr">
        <is>
          <t>引擎（visual_only）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100F天台装饰布局 / ivy</t>
        </is>
      </c>
      <c r="N125" s="69" t="inlineStr">
        <is>
          <t>正式美术已接入</t>
        </is>
      </c>
      <c r="O125" s="69" t="inlineStr">
        <is>
          <t>v002</t>
        </is>
      </c>
      <c r="P125" s="69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>
        <is>
          <t>assets/art/environments/tower_zones/rooftop/runtime/flowerbox.tscn</t>
        </is>
      </c>
      <c r="D126" s="69" t="inlineStr">
        <is>
          <t>assets/art/environments/tower_zones/rooftop/components/env_rooftop_ref_flowerbox_top3d.glb</t>
        </is>
      </c>
      <c r="E126" s="69" t="inlineStr">
        <is>
          <t>assets/art/environments/tower_zones/rooftop/source/reference_components/v002/天台区块_参考组件库_v002.blend</t>
        </is>
      </c>
      <c r="F126" s="69" t="inlineStr">
        <is>
          <t>Godot视觉装饰PackedScene；100F天台房屋四周贴墙长条花箱（布局内 6 个实例），由 TowerFloorStage3D 按装饰布局清单实例化</t>
        </is>
      </c>
      <c r="G126" s="69" t="inlineStr">
        <is>
          <t>src/world3d/TowerFloorStage3D.gd</t>
        </is>
      </c>
      <c r="H126" s="69" t="inlineStr">
        <is>
          <t>无</t>
        </is>
      </c>
      <c r="I126" s="69" t="inlineStr">
        <is>
          <t>引擎（visual_only）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100F天台装饰布局 / flowerbox</t>
        </is>
      </c>
      <c r="N126" s="69" t="inlineStr">
        <is>
          <t>正式美术已接入</t>
        </is>
      </c>
      <c r="O126" s="69" t="inlineStr">
        <is>
          <t>v002</t>
        </is>
      </c>
      <c r="P126" s="69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>
        <is>
          <t>assets/art/environments/tower_zones/rooftop/runtime/plant_large.tscn</t>
        </is>
      </c>
      <c r="D127" s="69" t="inlineStr">
        <is>
          <t>assets/art/environments/tower_zones/rooftop/components/env_rooftop_ref_plant_large_top3d.glb</t>
        </is>
      </c>
      <c r="E127" s="69" t="inlineStr">
        <is>
          <t>assets/art/environments/tower_zones/rooftop/source/reference_components/v002/天台区块_参考组件库_v002.blend</t>
        </is>
      </c>
      <c r="F127" s="69" t="inlineStr">
        <is>
          <t>Godot视觉装饰PackedScene；100F天台房屋周边高点盆栽（布局内 6 个实例），由 TowerFloorStage3D 按装饰布局清单实例化</t>
        </is>
      </c>
      <c r="G127" s="69" t="inlineStr">
        <is>
          <t>src/world3d/TowerFloorStage3D.gd</t>
        </is>
      </c>
      <c r="H127" s="69" t="inlineStr">
        <is>
          <t>无</t>
        </is>
      </c>
      <c r="I127" s="69" t="inlineStr">
        <is>
          <t>引擎（visual_only）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100F天台装饰布局 / plant_large</t>
        </is>
      </c>
      <c r="N127" s="69" t="inlineStr">
        <is>
          <t>正式美术已接入</t>
        </is>
      </c>
      <c r="O127" s="69" t="inlineStr">
        <is>
          <t>v002</t>
        </is>
      </c>
      <c r="P127" s="69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>
        <is>
          <t>assets/art/environments/tower_zones/rooftop/runtime/plant_small.tscn</t>
        </is>
      </c>
      <c r="D128" s="69" t="inlineStr">
        <is>
          <t>assets/art/environments/tower_zones/rooftop/components/env_rooftop_ref_plant_small_top3d.glb</t>
        </is>
      </c>
      <c r="E128" s="69" t="inlineStr">
        <is>
          <t>assets/art/environments/tower_zones/rooftop/source/reference_components/v002/天台区块_参考组件库_v002.blend</t>
        </is>
      </c>
      <c r="F128" s="69" t="inlineStr">
        <is>
          <t>Godot视觉装饰PackedScene；100F天台房屋周边低点盆栽（布局内 6 个实例），由 TowerFloorStage3D 按装饰布局清单实例化</t>
        </is>
      </c>
      <c r="G128" s="69" t="inlineStr">
        <is>
          <t>src/world3d/TowerFloorStage3D.gd</t>
        </is>
      </c>
      <c r="H128" s="69" t="inlineStr">
        <is>
          <t>无</t>
        </is>
      </c>
      <c r="I128" s="69" t="inlineStr">
        <is>
          <t>引擎（visual_only）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100F天台装饰布局 / plant_small</t>
        </is>
      </c>
      <c r="N128" s="69" t="inlineStr">
        <is>
          <t>正式美术已接入</t>
        </is>
      </c>
      <c r="O128" s="69" t="inlineStr">
        <is>
          <t>v002</t>
        </is>
      </c>
      <c r="P128" s="69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>
        <is>
          <t>assets/art/props/dungeon_3d/prp_rooftop_room_wall_ivy_5x12.tscn</t>
        </is>
      </c>
      <c r="D136" s="69" t="inlineStr">
        <is>
          <t>assets/art/environments/tower_zones/rooftop/components/env_rooftop_ref_room_wall_ivy_top3d.glb</t>
        </is>
      </c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n"/>
      <c r="H136" s="69" t="inlineStr">
        <is>
          <t>未创建</t>
        </is>
      </c>
      <c r="I136" s="69" t="inlineStr">
        <is>
          <t>Base100UpperShell3D</t>
        </is>
      </c>
      <c r="J136" s="69" t="inlineStr">
        <is>
          <t>Prefab 已声明 collision_owner；尚未在 100F 上层围护场景实例化</t>
        </is>
      </c>
      <c r="K136" s="69" t="inlineStr">
        <is>
          <t>5.000×11.900×0.300 m（挂藤装饰在包络之内）</t>
        </is>
      </c>
      <c r="L136" s="69" t="inlineStr">
        <is>
          <t>bottom_center（几何 Y=0 起）；+Z 朝外。⚠️ 与 99F 系（ENV-BASE99-*，-Z 朝外）差 180°：同一条边 base99 用 -90°、本套件用 +90°。</t>
        </is>
      </c>
      <c r="M136" s="69" t="inlineStr">
        <is>
          <t>已制作并登记；100F 上层围护**未使用**（挂藤留给后续装饰批次）</t>
        </is>
      </c>
      <c r="N136" s="69" t="inlineStr">
        <is>
          <t>正式美术已接入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>
        <is>
          <t>assets/art/props/dungeon_3d/prp_rooftop_room_window_ivy_5x12.tscn</t>
        </is>
      </c>
      <c r="D137" s="69" t="inlineStr">
        <is>
          <t>assets/art/environments/tower_zones/rooftop/components/env_rooftop_ref_room_window_ivy_top3d.glb</t>
        </is>
      </c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n"/>
      <c r="H137" s="69" t="inlineStr">
        <is>
          <t>未创建</t>
        </is>
      </c>
      <c r="I137" s="69" t="inlineStr">
        <is>
          <t>Base100UpperShell3D</t>
        </is>
      </c>
      <c r="J137" s="69" t="inlineStr">
        <is>
          <t>Prefab 已声明 collision_owner；尚未在 100F 上层围护场景实例化</t>
        </is>
      </c>
      <c r="K137" s="69" t="inlineStr">
        <is>
          <t>5.000×11.900×0.300 m（挂藤装饰在包络之内）</t>
        </is>
      </c>
      <c r="L137" s="69" t="inlineStr">
        <is>
          <t>bottom_center（几何 Y=0 起）；+Z 朝外。⚠️ 与 99F 系（ENV-BASE99-*，-Z 朝外）差 180°：同一条边 base99 用 -90°、本套件用 +90°。</t>
        </is>
      </c>
      <c r="M137" s="69" t="inlineStr">
        <is>
          <t>已制作并登记；100F 上层围护**未使用**</t>
        </is>
      </c>
      <c r="N137" s="69" t="inlineStr">
        <is>
          <t>正式美术已接入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>
        <is>
          <t>assets/art/props/dungeon_3d/prp_rooftop_room_doorwall_ivy_5x12.tscn</t>
        </is>
      </c>
      <c r="D138" s="69" t="inlineStr">
        <is>
          <t>assets/art/environments/tower_zones/rooftop/components/env_rooftop_ref_room_doorwall_ivy_top3d.glb</t>
        </is>
      </c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n"/>
      <c r="H138" s="69" t="inlineStr">
        <is>
          <t>未创建</t>
        </is>
      </c>
      <c r="I138" s="69" t="inlineStr">
        <is>
          <t>Base100UpperShell3D</t>
        </is>
      </c>
      <c r="J138" s="69" t="inlineStr">
        <is>
          <t>Prefab 已声明 collision_owner；尚未在 100F 上层围护场景实例化</t>
        </is>
      </c>
      <c r="K138" s="69" t="inlineStr">
        <is>
          <t>5.000×11.900×0.300 m；门洞净空 3.80×6.80 m</t>
        </is>
      </c>
      <c r="L138" s="69" t="inlineStr">
        <is>
          <t>bottom_center（几何 Y=0 起）；+Z 朝外。⚠️ 与 99F 系（ENV-BASE99-*，-Z 朝外）差 180°：同一条边 base99 用 -90°、本套件用 +90°。</t>
        </is>
      </c>
      <c r="M138" s="69" t="inlineStr">
        <is>
          <t>已制作并登记；100F 上层围护**未使用**</t>
        </is>
      </c>
      <c r="N138" s="69" t="inlineStr">
        <is>
          <t>正式美术已接入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>
      <c r="A144" s="3" t="inlineStr">
        <is>
          <t>ENV-ROOFTOP-REF-ROOM-DOOR</t>
        </is>
      </c>
      <c r="B144" s="3" t="inlineStr">
        <is>
          <t>房间门组件（门框+门垛）</t>
        </is>
      </c>
      <c r="C144" s="3" t="inlineStr">
        <is>
          <t>assets/art/props/dungeon_3d/prp_rooftop_room_door.tscn</t>
        </is>
      </c>
      <c r="D144" s="3" t="inlineStr">
        <is>
          <t>assets/art/environments/tower_zones/rooftop/components/env_rooftop_ref_room_door_top3d.glb</t>
        </is>
      </c>
      <c r="E144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3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3" t="inlineStr">
        <is>
          <t>未创建</t>
        </is>
      </c>
      <c r="I144" s="3" t="inlineStr">
        <is>
          <t>Base100UpperShell3D</t>
        </is>
      </c>
      <c r="J144" s="3" t="inlineStr">
        <is>
          <t>Prefab 已声明 collision_owner；尚未在 100F 上层围护场景实例化</t>
        </is>
      </c>
      <c r="K144" s="3" t="inlineStr">
        <is>
          <t>门洞净空 3.80×6.80 m；门垛各 0.60 m（外廓随基墙 5.000×11.900×0.300）</t>
        </is>
      </c>
      <c r="L144" s="3" t="inlineStr">
        <is>
          <t>bottom_center（几何 Y=0 起）；+Z 朝外。⚠️ 与 99F 系（ENV-BASE99-*，-Z 朝外）差 180°：同一条边 base99 用 -90°、本套件用 +90°。</t>
        </is>
      </c>
      <c r="M144" s="3" t="inlineStr">
        <is>
          <t>已制作并登记；100F 上层围护**未使用**（东门槽保留 base99 门墙与 RoomDoor3D）</t>
        </is>
      </c>
      <c r="N144" s="3" t="inlineStr">
        <is>
          <t>正式美术已接入</t>
        </is>
      </c>
      <c r="O144" s="3" t="inlineStr">
        <is>
          <t>v002</t>
        </is>
      </c>
      <c r="P144" s="3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>
      <c r="A145" s="3" t="inlineStr">
        <is>
          <t>ENV-ROOFTOP-REF-ROOM-DOOR-LEAF</t>
        </is>
      </c>
      <c r="B145" s="3" t="inlineStr">
        <is>
          <t>房间门扇（静态关闭态）</t>
        </is>
      </c>
      <c r="C145" s="3" t="inlineStr">
        <is>
          <t>assets/art/props/dungeon_3d/prp_rooftop_room_door_leaf.tscn</t>
        </is>
      </c>
      <c r="D145" s="3" t="inlineStr">
        <is>
          <t>assets/art/environments/tower_zones/rooftop/components/env_rooftop_ref_room_door_leaf_top3d.glb</t>
        </is>
      </c>
      <c r="E145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3" t="inlineStr">
        <is>
          <t>厚石门洞的单扇门板视觉；与 ENV-ROOFTOP-REF-ROOM-DOOR 成对；静态关闭态</t>
        </is>
      </c>
      <c r="H145" s="3" t="inlineStr">
        <is>
          <t>未创建</t>
        </is>
      </c>
      <c r="I145" s="3" t="inlineStr">
        <is>
          <t>Base100UpperShell3D</t>
        </is>
      </c>
      <c r="J145" s="3" t="inlineStr">
        <is>
          <t>Prefab 已声明 collision_owner；尚未在 100F 上层围护场景实例化</t>
        </is>
      </c>
      <c r="K145" s="3" t="inlineStr">
        <is>
          <t>板 3.680×6.800×0.180 m；可视包络厚 0.410 m</t>
        </is>
      </c>
      <c r="L145" s="3" t="inlineStr">
        <is>
          <t>bottom_center（几何 Y=0 起）；+Z 朝外。⚠️ 与 99F 系（ENV-BASE99-*，-Z 朝外）差 180°：同一条边 base99 用 -90°、本套件用 +90°。</t>
        </is>
      </c>
      <c r="M145" s="3" t="inlineStr">
        <is>
          <t>已制作并登记；100F 上层围护**未使用**</t>
        </is>
      </c>
      <c r="N145" s="3" t="inlineStr">
        <is>
          <t>正式美术已接入</t>
        </is>
      </c>
      <c r="O145" s="3" t="inlineStr">
        <is>
          <t>v002</t>
        </is>
      </c>
      <c r="P145" s="3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>
      <c r="A146" s="3" t="inlineStr">
        <is>
          <t>ENV-ROOFTOP-DECOR-LAYOUT-100F</t>
        </is>
      </c>
      <c r="B146" s="3" t="inlineStr">
        <is>
          <t>100F天台装饰布局</t>
        </is>
      </c>
      <c r="C146" s="3" t="inlineStr"/>
      <c r="D146" s="3" t="inlineStr"/>
      <c r="E146" s="3" t="inlineStr">
        <is>
          <t>assets/art/environments/tower_zones/rooftop/source/layouts/100f_decorated_v001/rooftop_100f_decorated_layout_v001.blend</t>
        </is>
      </c>
      <c r="F146" s="3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3" t="inlineStr">
        <is>
          <t>src/world3d/TowerFloorStage3D.gd</t>
        </is>
      </c>
      <c r="H146" s="3" t="inlineStr">
        <is>
          <t>开</t>
        </is>
      </c>
      <c r="I146" s="3" t="inlineStr">
        <is>
          <t>引擎（per_instance：默认 visual_only，绿化 blocking）</t>
        </is>
      </c>
      <c r="J146" s="3" t="inlineStr">
        <is>
          <t>BoxShape3D 代理（按 TowerGeometry3D.resolve_visual_bounds 实测可视包络；仅绿化 20 件，layer=1）</t>
        </is>
      </c>
      <c r="K146" s="3" t="inlineStr">
        <is>
          <t>100×80m天台；外围72件（68直段+4外角）；266块5m地砖（开口=中庭6×6+西侧楼梯口3×6）</t>
        </is>
      </c>
      <c r="L146" s="3" t="inlineStr">
        <is>
          <t>世界原点对齐 ROOFTOP_WORLD_RECT；Blender Z-up / -Y；Godot=(Blender X, Blender Z, -Blender Y)</t>
        </is>
      </c>
      <c r="M146" s="3" t="inlineStr">
        <is>
          <t>100F天台 / TowerFloorStage3D 运行时按布局清单重放</t>
        </is>
      </c>
      <c r="N146" s="3" t="inlineStr">
        <is>
          <t>正式美术已接入</t>
        </is>
      </c>
      <c r="O146" s="3" t="inlineStr">
        <is>
          <t>v001</t>
        </is>
      </c>
      <c r="P146" s="3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s="3" t="inlineStr">
        <is>
          <t>v0.1.3</t>
        </is>
      </c>
      <c r="B9" s="3" t="inlineStr">
        <is>
          <t>2026-09-20</t>
        </is>
      </c>
      <c r="C9" s="3" t="inlineStr">
        <is>
          <t>资产升版</t>
        </is>
      </c>
      <c r="D9" s="3" t="inlineStr">
        <is>
          <t>关卡场景</t>
        </is>
      </c>
      <c r="E9" s="3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3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3" t="inlineStr">
        <is>
          <t>摩斯拉</t>
        </is>
      </c>
    </row>
    <row r="10">
      <c r="A10" s="3" t="inlineStr">
        <is>
          <t>v0.1.4</t>
        </is>
      </c>
      <c r="B10" s="3" t="inlineStr">
        <is>
          <t>2026-09-21</t>
        </is>
      </c>
      <c r="C10" s="3" t="inlineStr">
        <is>
          <t>资产升版+新条目</t>
        </is>
      </c>
      <c r="D10" s="3" t="inlineStr">
        <is>
          <t>关卡场景 / 100F天台</t>
        </is>
      </c>
      <c r="E10" s="3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3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3" t="inlineStr">
        <is>
          <t>摩斯拉</t>
        </is>
      </c>
    </row>
    <row r="11">
      <c r="A11" s="3" t="inlineStr">
        <is>
          <t>v0.1.5</t>
        </is>
      </c>
      <c r="B11" s="3" t="inlineStr">
        <is>
          <t>2026-09-21</t>
        </is>
      </c>
      <c r="C11" s="3" t="inlineStr">
        <is>
          <t>条目修正</t>
        </is>
      </c>
      <c r="D11" s="3" t="inlineStr">
        <is>
          <t>关卡场景 / 100F天台</t>
        </is>
      </c>
      <c r="E11" s="3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3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3" t="inlineStr">
        <is>
          <t>摩斯拉</t>
        </is>
      </c>
    </row>
    <row r="12">
      <c r="A12" s="3" t="inlineStr">
        <is>
          <t>v0.1.6</t>
        </is>
      </c>
      <c r="B12" s="3" t="inlineStr">
        <is>
          <t>2026-09-21</t>
        </is>
      </c>
      <c r="C12" s="3" t="inlineStr">
        <is>
          <t>条目修正+新条目</t>
        </is>
      </c>
      <c r="D12" s="3" t="inlineStr">
        <is>
          <t>关卡场景 / 100F天台</t>
        </is>
      </c>
      <c r="E12" s="3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3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3" t="inlineStr">
        <is>
          <t>摩斯拉</t>
        </is>
      </c>
    </row>
    <row r="13">
      <c r="A13" s="3" t="inlineStr">
        <is>
          <t>v0.1.7</t>
        </is>
      </c>
      <c r="B13" s="3" t="inlineStr">
        <is>
          <t>2026-09-21</t>
        </is>
      </c>
      <c r="C13" s="3" t="inlineStr">
        <is>
          <t>条目修正</t>
        </is>
      </c>
      <c r="D13" s="3" t="inlineStr">
        <is>
          <t>关卡场景 / 100F天台</t>
        </is>
      </c>
      <c r="E13" s="3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3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3" t="inlineStr">
        <is>
          <t>摩斯拉</t>
        </is>
      </c>
    </row>
    <row r="14">
      <c r="A14" s="3" t="inlineStr">
        <is>
          <t>v0.1.8</t>
        </is>
      </c>
      <c r="B14" s="3" t="inlineStr">
        <is>
          <t>2026-09-21</t>
        </is>
      </c>
      <c r="C14" s="3" t="inlineStr">
        <is>
          <t>条目修正</t>
        </is>
      </c>
      <c r="D14" s="3" t="inlineStr">
        <is>
          <t>关卡场景 / 100F天台</t>
        </is>
      </c>
      <c r="E14" s="3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3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3" t="inlineStr">
        <is>
          <t>摩斯拉</t>
        </is>
      </c>
    </row>
    <row r="15" s="50">
      <c r="A15" s="3" t="inlineStr">
        <is>
          <t>v0.1.9</t>
        </is>
      </c>
      <c r="B15" s="3" t="inlineStr">
        <is>
          <t>2026-09-21</t>
        </is>
      </c>
      <c r="C15" s="3" t="inlineStr">
        <is>
          <t>条目修正</t>
        </is>
      </c>
      <c r="D15" s="3" t="inlineStr">
        <is>
          <t>关卡场景 / 100F天台</t>
        </is>
      </c>
      <c r="E15" s="3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3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3" t="inlineStr">
        <is>
          <t>摩斯拉</t>
        </is>
      </c>
    </row>
    <row r="16" s="50">
      <c r="A16" s="97" t="inlineStr">
        <is>
          <t>v0.1.10</t>
        </is>
      </c>
      <c r="B16" s="97" t="inlineStr">
        <is>
          <t>2026-09-21</t>
        </is>
      </c>
      <c r="C16" s="97" t="inlineStr">
        <is>
          <t>条目修正</t>
        </is>
      </c>
      <c r="D16" s="97" t="inlineStr">
        <is>
          <t>关卡场景 / 99F基地</t>
        </is>
      </c>
      <c r="E16" s="97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97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97" t="inlineStr">
        <is>
          <t>摩斯拉</t>
        </is>
      </c>
    </row>
    <row r="17">
      <c r="A17" s="97" t="inlineStr">
        <is>
          <t>v0.1.11</t>
        </is>
      </c>
      <c r="B17" s="97" t="inlineStr">
        <is>
          <t>2026-09-22</t>
        </is>
      </c>
      <c r="C17" s="97" t="inlineStr">
        <is>
          <t>条目修正</t>
        </is>
      </c>
      <c r="D17" s="97" t="inlineStr">
        <is>
          <t>关卡场景 / 全塔壳体（100F天台 / 99F基地 / 98F主人的办公室）</t>
        </is>
      </c>
      <c r="E17" s="97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97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97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2026-09-22T03:31:25Z</dcterms:modified>
</cp:coreProperties>
</file>