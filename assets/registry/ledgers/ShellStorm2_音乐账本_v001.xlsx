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e5a1b23e9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bde2ba3a96e4192"/>
    <x:sheet xmlns:r="http://schemas.openxmlformats.org/officeDocument/2006/relationships" name="账本说明" sheetId="2" r:id="R7daf80f2bc07401d"/>
    <x:sheet xmlns:r="http://schemas.openxmlformats.org/officeDocument/2006/relationships" name="资产主表" sheetId="3" r:id="Ra367d54df794432e"/>
    <x:sheet xmlns:r="http://schemas.openxmlformats.org/officeDocument/2006/relationships" name="域变更日志" sheetId="4" r:id="R71875a730adc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200" formatCode="General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6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164" fontId="6" fillId="0" borderId="5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8c7784de244cf" /><Relationship Type="http://schemas.openxmlformats.org/officeDocument/2006/relationships/theme" Target="/xl/theme/theme1.xml" Id="R972aa09103a1420b" /><Relationship Type="http://schemas.openxmlformats.org/officeDocument/2006/relationships/sharedStrings" Target="/xl/sharedStrings.xml" Id="R2b134ec4fa9c4e39" /><Relationship Type="http://schemas.openxmlformats.org/officeDocument/2006/relationships/worksheet" Target="/xl/worksheets/sheet1.xml" Id="R7bde2ba3a96e4192" /><Relationship Type="http://schemas.openxmlformats.org/officeDocument/2006/relationships/worksheet" Target="/xl/worksheets/sheet2.xml" Id="R7daf80f2bc07401d" /><Relationship Type="http://schemas.openxmlformats.org/officeDocument/2006/relationships/worksheet" Target="/xl/worksheets/sheet3.xml" Id="Ra367d54df794432e" /><Relationship Type="http://schemas.openxmlformats.org/officeDocument/2006/relationships/worksheet" Target="/xl/worksheets/sheet4.xml" Id="R71875a730adc4f15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cd9f0a6e85443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str">
        <x:v>SHELLSTORM 2 · 音乐资产账本 v0.1</x:v>
      </x:c>
    </x:row>
    <x:row r="2" ht="12" customHeight="1"/>
    <x:row r="3" ht="23" customHeight="1">
      <x:c r="A3" s="318" t="str">
        <x:v>归属域=音乐｜覆盖大类=音乐｜AssetID 前缀=AUD｜主账本（总目录）=assets/registry/ShellStorm2_美术资产台账_v001.xlsx；本账本可独立并行编辑，跨域契约见主账本</x:v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域内专表 / 3D Prefab 分页</x:t>
        </x:is>
      </x:c>
      <x:c r="J5" s="320" t="n"/>
    </x:row>
    <x:row r="6" ht="42" customHeight="1">
      <x:c r="A6" s="321" t="n">
        <x:f>COUNTA('资产主表'!$A$6:$A$14)</x:f>
        <x:v>9</x:v>
      </x:c>
      <x:c r="B6" s="354" t="n"/>
      <x:c r="C6" s="321" t="n">
        <x:f>COUNTIF('资产主表'!$K$6:$K$14,"已完成")+COUNTIF('资产主表'!$K$6:$K$14,"原型已接入")+COUNTIF('资产主表'!$K$6:$K$14,"正式美术已接入")+COUNTIF('资产主表'!$K$6:$K$14,"已优化并正式接入")+COUNTIF('资产主表'!$K$6:$K$14,"Blender源已完成")+COUNTIF('资产主表'!$K$6:$K$14,"已导入；优化完成")</x:f>
        <x:v>8</x:v>
      </x:c>
      <x:c r="D6" s="354" t="n"/>
      <x:c r="E6" s="321" t="n">
        <x:f>COUNTIF('资产主表'!$K$6:$K$14,"待制作")+COUNTIF('资产主表'!$K$6:$K$14,"程序占位")</x:f>
        <x:v>1</x:v>
      </x:c>
      <x:c r="F6" s="354" t="n"/>
      <x:c r="G6" s="321" t="n">
        <x:f>COUNTIF('资产主表'!$S$6:$S$14,"重复")</x:f>
        <x:v>0</x:v>
      </x:c>
      <x:c r="H6" s="354" t="n"/>
      <x:c r="I6" s="320" t="str">
        <x:v>域内专表：无　|　3D Prefab 分页：无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3" t="inlineStr">
        <x:is>
          <x:t xml:space="preserve">资产数</x:t>
        </x:is>
      </x:c>
      <x:c r="C9" s="323" t="inlineStr">
        <x:is>
          <x:t xml:space="preserve">完成/接入</x:t>
        </x:is>
      </x:c>
      <x:c r="D9" s="323" t="n"/>
      <x:c r="E9" s="320" t="inlineStr">
        <x:is>
          <x:t xml:space="preserve">本账本只登记上列大类；跨域搬运资产须同步主账本《分类与编码》并重跑门禁</x:t>
        </x:is>
      </x:c>
      <x:c r="F9" s="125" t="n"/>
      <x:c r="G9" s="125" t="n"/>
      <x:c r="H9" s="125" t="n"/>
      <x:c r="I9" s="125" t="n"/>
      <x:c r="J9" s="126" t="n"/>
    </x:row>
    <x:row r="10" ht="22" customHeight="1">
      <x:c r="A10" s="301" t="str">
        <x:v>音乐</x:v>
      </x:c>
      <x:c r="B10" s="301" t="n">
        <x:f>COUNTIF('资产主表'!$C$6:$C$14,A10)</x:f>
        <x:v>9</x:v>
      </x:c>
      <x:c r="C10" s="301" t="n">
        <x:f>SUMPRODUCT(('资产主表'!$C$6:$C$14=A10)*(('资产主表'!$K$6:$K$14="已完成")+('资产主表'!$K$6:$K$14="原型已接入")+('资产主表'!$K$6:$K$14="正式美术已接入")+('资产主表'!$K$6:$K$14="已优化并正式接入")+('资产主表'!$K$6:$K$14="Blender源已完成")+('资产主表'!$K$6:$K$14="已导入；优化完成")))</x:f>
        <x:v>8</x:v>
      </x:c>
      <x:c r="D10" s="301" t="n"/>
      <x:c r="E10" s="301" t="n"/>
      <x:c r="F10" s="301" t="n"/>
      <x:c r="G10" s="301" t="n"/>
      <x:c r="H10" s="301" t="n"/>
      <x:c r="I10" s="301" t="n"/>
      <x:c r="J10" s="301" t="n"/>
    </x:row>
    <x:row r="11" ht="22" customHeight="1">
      <x:c r="A11" s="301" t="str">
        <x:v>合计</x:v>
      </x:c>
      <x:c r="B11" s="301" t="n">
        <x:f>SUM(B10:B10)</x:f>
        <x:v>9</x:v>
      </x:c>
      <x:c r="C11" s="301" t="n">
        <x:f>SUM(C10:C10)</x:f>
        <x:v>8</x:v>
      </x:c>
      <x:c r="D11" s="301" t="n"/>
      <x:c r="E11" s="301" t="n"/>
      <x:c r="F11" s="301" t="n"/>
      <x:c r="G11" s="301" t="n"/>
      <x:c r="H11" s="301" t="n"/>
      <x:c r="I11" s="301" t="n"/>
      <x:c r="J11" s="301" t="n"/>
    </x:row>
    <x:row r="12">
      <x:c r="A12" s="323"/>
      <x:c r="B12" s="323"/>
      <x:c r="C12" s="323"/>
      <x:c r="D12" s="323" t="n"/>
      <x:c r="E12" s="323" t="n"/>
      <x:c r="F12" s="323" t="n"/>
      <x:c r="G12" s="323" t="n"/>
      <x:c r="H12" s="323" t="n"/>
      <x:c r="I12" s="323" t="n"/>
      <x:c r="J12" s="323" t="n"/>
    </x:row>
    <x:row r="13">
      <x:c r="A13" s="331" t="n"/>
      <x:c r="B13" s="331" t="n"/>
      <x:c r="C13" s="331" t="n"/>
      <x:c r="D13" s="354" t="n"/>
      <x:c r="E13" s="330" t="n"/>
      <x:c r="F13" s="331" t="n"/>
      <x:c r="G13" s="331" t="n"/>
      <x:c r="H13" s="354" t="n"/>
      <x:c r="I13" s="354" t="n"/>
      <x:c r="J13" s="354" t="n"/>
    </x:row>
    <x:row r="14">
      <x:c r="A14" s="331" t="n"/>
      <x:c r="B14" s="331" t="n"/>
      <x:c r="C14" s="331" t="n"/>
      <x:c r="D14" s="354" t="n"/>
      <x:c r="E14" s="330" t="n"/>
      <x:c r="F14" s="331" t="n"/>
      <x:c r="G14" s="331" t="n"/>
      <x:c r="H14" s="354" t="n"/>
      <x:c r="I14" s="354" t="n"/>
      <x:c r="J14" s="354" t="n"/>
    </x:row>
    <x:row r="15">
      <x:c r="A15" s="331" t="n"/>
      <x:c r="B15" s="331" t="n"/>
      <x:c r="C15" s="331" t="n"/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n"/>
      <x:c r="B16" s="331" t="n"/>
      <x:c r="C16" s="331" t="n"/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n"/>
      <x:c r="B17" s="331" t="n"/>
      <x:c r="C17" s="331" t="n"/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n"/>
      <x:c r="B18" s="331" t="n"/>
      <x:c r="C18" s="331" t="n"/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62" customWidth="1"/>
    <x:col min="3" max="3" width="34" customWidth="1"/>
    <x:col min="4" max="4" width="24" customWidth="1"/>
    <x:col min="5" max="5" width="24" customWidth="1"/>
    <x:col min="6" max="6" width="24" customWidth="1"/>
  </x:cols>
  <x:sheetData>
    <x:row r="1">
      <x:c r="A1" s="317" t="str">
        <x:v>本账本说明 · 音乐</x:v>
      </x:c>
    </x:row>
    <x:row r="2"/>
    <x:row r="3">
      <x:c r="A3" s="318" t="inlineStr">
        <x:is>
          <x:t xml:space="preserve">本表是分账本自描述；机器可读真源为 assets/registry/ledger_index.json，二者不一致时以 JSON 为准</x:t>
        </x:is>
      </x:c>
    </x:row>
    <x:row r="5">
      <x:c r="A5" s="298" t="inlineStr">
        <x:is>
          <x:t xml:space="preserve">项</x:t>
        </x:is>
      </x:c>
      <x:c r="B5" s="298" t="inlineStr">
        <x:is>
          <x:t xml:space="preserve">值</x:t>
        </x:is>
      </x:c>
      <x:c r="C5" s="298" t="n"/>
      <x:c r="D5" s="298" t="n"/>
      <x:c r="E5" s="298" t="n"/>
      <x:c r="F5" s="298" t="n"/>
    </x:row>
    <x:row r="6" ht="30" customHeight="1">
      <x:c r="A6" s="301" t="inlineStr">
        <x:is>
          <x:t xml:space="preserve">账本归属域</x:t>
        </x:is>
      </x:c>
      <x:c r="B6" s="301" t="str">
        <x:v>音乐</x:v>
      </x:c>
      <x:c r="C6" s="301" t="n"/>
      <x:c r="D6" s="301" t="n"/>
      <x:c r="E6" s="301" t="n"/>
      <x:c r="F6" s="301" t="n"/>
    </x:row>
    <x:row r="7" ht="30" customHeight="1">
      <x:c r="A7" s="301" t="inlineStr">
        <x:is>
          <x:t xml:space="preserve">分账本文件</x:t>
        </x:is>
      </x:c>
      <x:c r="B7" s="301" t="str">
        <x:v>assets/registry/ledgers/ShellStorm2_音乐账本_v001.xlsx</x:v>
      </x:c>
      <x:c r="C7" s="301" t="n"/>
      <x:c r="D7" s="301" t="n"/>
      <x:c r="E7" s="301" t="n"/>
      <x:c r="F7" s="301" t="n"/>
    </x:row>
    <x:row r="8" ht="30" customHeight="1">
      <x:c r="A8" s="301" t="inlineStr">
        <x:is>
          <x:t xml:space="preserve">覆盖大类</x:t>
        </x:is>
      </x:c>
      <x:c r="B8" s="301" t="str">
        <x:v>音乐</x:v>
      </x:c>
      <x:c r="C8" s="301" t="n"/>
      <x:c r="D8" s="301" t="n"/>
      <x:c r="E8" s="301" t="n"/>
      <x:c r="F8" s="301" t="n"/>
    </x:row>
    <x:row r="9" ht="30" customHeight="1">
      <x:c r="A9" s="301" t="inlineStr">
        <x:is>
          <x:t xml:space="preserve">AssetID 前缀</x:t>
        </x:is>
      </x:c>
      <x:c r="B9" s="301" t="str">
        <x:v>AUD</x:v>
      </x:c>
      <x:c r="C9" s="301" t="n"/>
      <x:c r="D9" s="301" t="n"/>
      <x:c r="E9" s="301" t="n"/>
      <x:c r="F9" s="301" t="n"/>
    </x:row>
    <x:row r="10" ht="30" customHeight="1">
      <x:c r="A10" s="301" t="inlineStr">
        <x:is>
          <x:t xml:space="preserve">域内专表</x:t>
        </x:is>
      </x:c>
      <x:c r="B10" s="301" t="inlineStr">
        <x:is>
          <x:t xml:space="preserve">无</x:t>
        </x:is>
      </x:c>
      <x:c r="C10" s="301" t="n"/>
      <x:c r="D10" s="301" t="n"/>
      <x:c r="E10" s="301" t="n"/>
      <x:c r="F10" s="301" t="n"/>
    </x:row>
    <x:row r="11" ht="30" customHeight="1">
      <x:c r="A11" s="301" t="inlineStr">
        <x:is>
          <x:t xml:space="preserve">3D Prefab 分页</x:t>
        </x:is>
      </x:c>
      <x:c r="B11" s="301" t="inlineStr">
        <x:is>
          <x:t xml:space="preserve">无</x:t>
        </x:is>
      </x:c>
      <x:c r="C11" s="301" t="n"/>
      <x:c r="D11" s="301" t="n"/>
      <x:c r="E11" s="301" t="n"/>
      <x:c r="F11" s="301" t="n"/>
    </x:row>
    <x:row r="12" ht="30" customHeight="1">
      <x:c r="A12" s="301" t="inlineStr">
        <x:is>
          <x:t xml:space="preserve">动画登记表</x:t>
        </x:is>
      </x:c>
      <x:c r="B12" s="301" t="inlineStr">
        <x:is>
          <x:t xml:space="preserve">无</x:t>
        </x:is>
      </x:c>
      <x:c r="C12" s="301" t="n"/>
      <x:c r="D12" s="301" t="n"/>
      <x:c r="E12" s="301" t="n"/>
      <x:c r="F12" s="301" t="n"/>
    </x:row>
    <x:row r="13" ht="30" customHeight="1">
      <x:c r="A13" s="301" t="inlineStr">
        <x:is>
          <x:t xml:space="preserve">主账本（总目录）</x:t>
        </x:is>
      </x:c>
      <x:c r="B13" s="301" t="inlineStr">
        <x:is>
          <x:t xml:space="preserve">assets/registry/ShellStorm2_美术资产台账_v001.xlsx</x:t>
        </x:is>
      </x:c>
      <x:c r="C13" s="301" t="n"/>
      <x:c r="D13" s="301" t="n"/>
      <x:c r="E13" s="301" t="n"/>
      <x:c r="F13" s="301" t="n"/>
    </x:row>
    <x:row r="14" ht="30" customHeight="1">
      <x:c r="A14" s="301" t="inlineStr">
        <x:is>
          <x:t xml:space="preserve">跨域契约</x:t>
        </x:is>
      </x:c>
      <x:c r="B14" s="301" t="inlineStr">
        <x:is>
          <x:t xml:space="preserve">分类与编码 / 命名与查重 / 版本记录 / Skill 清单 / 3D Prefab 总控 —— 全部只在主账本维护</x:t>
        </x:is>
      </x:c>
      <x:c r="C14" s="301" t="n"/>
      <x:c r="D14" s="301" t="n"/>
      <x:c r="E14" s="301" t="n"/>
      <x:c r="F14" s="301" t="n"/>
    </x:row>
    <x:row r="15" ht="30" customHeight="1">
      <x:c r="A15" s="301" t="inlineStr">
        <x:is>
          <x:t xml:space="preserve">首选制作 Skill</x:t>
        </x:is>
      </x:c>
      <x:c r="B15" s="301" t="str">
        <x:v>music-asset-pipeline</x:v>
      </x:c>
      <x:c r="C15" s="301" t="n"/>
      <x:c r="D15" s="301" t="n"/>
      <x:c r="E15" s="301" t="n"/>
      <x:c r="F15" s="301" t="n"/>
    </x:row>
    <x:row r="16" ht="30" customHeight="1">
      <x:c r="A16" s="301" t="inlineStr">
        <x:is>
          <x:t xml:space="preserve">协作 Skill</x:t>
        </x:is>
      </x:c>
      <x:c r="B16" s="301" t="inlineStr">
        <x:is>
          <x:t xml:space="preserve">无</x:t>
        </x:is>
      </x:c>
      <x:c r="C16" s="301" t="n"/>
      <x:c r="D16" s="301" t="n"/>
      <x:c r="E16" s="301" t="n"/>
      <x:c r="F16" s="301" t="n"/>
    </x:row>
    <x:row r="17" ht="30" customHeight="1">
      <x:c r="A17" s="301" t="inlineStr">
        <x:is>
          <x:t xml:space="preserve">负责人</x:t>
        </x:is>
      </x:c>
      <x:c r="B17" s="301" t="inlineStr">
        <x:is>
          <x:t xml:space="preserve">待分配</x:t>
        </x:is>
      </x:c>
      <x:c r="C17" s="301" t="n"/>
      <x:c r="D17" s="301" t="n"/>
      <x:c r="E17" s="301" t="n"/>
      <x:c r="F17" s="301" t="n"/>
    </x:row>
    <x:row r="18" ht="30" customHeight="1">
      <x:c r="A18" s="301" t="inlineStr">
        <x:is>
          <x:t xml:space="preserve">登记范围</x:t>
        </x:is>
      </x:c>
      <x:c r="B18" s="301" t="str">
        <x:v>场景 BGM、A/B 曲目、循环与 Music 总线资产；曲目映射由 MusicCatalog 持有，播放生命周期由 MusicManager 持有。</x:v>
      </x:c>
      <x:c r="C18" s="301" t="n"/>
      <x:c r="D18" s="301" t="n"/>
      <x:c r="E18" s="301" t="n"/>
      <x:c r="F18" s="301" t="n"/>
    </x:row>
    <x:row r="19" ht="30" customHeight="1">
      <x:c r="A19" s="301" t="inlineStr">
        <x:is>
          <x:t xml:space="preserve">编辑边界</x:t>
        </x:is>
      </x:c>
      <x:c r="B19" s="301" t="inlineStr">
        <x:is>
          <x:t xml:space="preserve">只在本账本内增删改资产行。把资产从一个域搬到另一个域，属于跨域变更：必须同时改主账本《分类与编码》与 ledger_index.json，并重跑门禁。</x:t>
        </x:is>
      </x:c>
      <x:c r="C19" s="301" t="n"/>
      <x:c r="D19" s="301" t="n"/>
      <x:c r="E19" s="301" t="n"/>
      <x:c r="F19" s="301" t="n"/>
    </x:row>
    <x:row r="20" ht="30" customHeight="1">
      <x:c r="A20" s="301" t="inlineStr">
        <x:is>
          <x:t xml:space="preserve">登记口径</x:t>
        </x:is>
      </x:c>
      <x:c r="B20" s="301" t="inlineStr">
        <x:is>
          <x:t xml:space="preserve">资产条目以《资产主表》一行为准；一行只能有一个大类，且必须落在本账本声明的大类内。Prefab 详情按分页登记到对应的 3D-* 表，一行 = 一个实际存在的 Godot PackedScene。</x:t>
        </x:is>
      </x:c>
      <x:c r="C20" s="301" t="n"/>
      <x:c r="D20" s="301" t="n"/>
      <x:c r="E20" s="301" t="n"/>
      <x:c r="F20" s="301" t="n"/>
    </x:row>
    <x:row r="21" ht="30" customHeight="1">
      <x:c r="A21" s="301" t="inlineStr">
        <x:is>
          <x:t xml:space="preserve">门禁</x:t>
        </x:is>
      </x:c>
      <x:c r="B21" s="301" t="str">
        <x:v>python3 scripts/check_media_asset_domains.py；python3 scripts/check_asset_registry.py --scope structure</x:v>
      </x:c>
      <x:c r="C21" s="301" t="n"/>
      <x:c r="D21" s="301" t="n"/>
      <x:c r="E21" s="301" t="n"/>
      <x:c r="F21" s="301" t="n"/>
    </x:row>
    <x:row r="22" ht="30" customHeight="1">
      <x:c r="A22" s="301" t="inlineStr">
        <x:is>
          <x:t xml:space="preserve">无损基线</x:t>
        </x:is>
      </x:c>
      <x:c r="B22" s="301" t="str">
        <x:v>assets/registry/ledger_split_baseline.json + assets/registry/media_domain_split_manifest.json；门禁断言 AssetID/路径/哈希/状态不丢失</x:v>
      </x:c>
      <x:c r="C22" s="301" t="n"/>
      <x:c r="D22" s="301" t="n"/>
      <x:c r="E22" s="301" t="n"/>
      <x:c r="F22" s="301" t="n"/>
    </x:row>
    <x:row r="23" ht="30" customHeight="1">
      <x:c r="A23" s="301" t="inlineStr">
        <x:is>
          <x:t xml:space="preserve">快照日期</x:t>
        </x:is>
      </x:c>
      <x:c r="B23" s="301" t="str">
        <x:v>2026-09-23</x:v>
      </x:c>
      <x:c r="C23" s="301" t="n"/>
      <x:c r="D23" s="301" t="n"/>
      <x:c r="E23" s="301" t="n"/>
      <x:c r="F23" s="301" t="n"/>
    </x:row>
  </x:sheetData>
  <x:mergeCells>
    <x:mergeCell ref="A3:F3"/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92" t="n"/>
      <x:c r="B4" s="392" t="n"/>
      <x:c r="C4" s="392" t="n"/>
      <x:c r="D4" s="392" t="n"/>
      <x:c r="E4" s="392" t="n"/>
      <x:c r="F4" s="392" t="n"/>
      <x:c r="G4" s="392" t="n"/>
      <x:c r="H4" s="392" t="n"/>
      <x:c r="I4" s="392" t="n"/>
      <x:c r="J4" s="392" t="n"/>
      <x:c r="K4" s="392" t="n"/>
      <x:c r="L4" s="392" t="n"/>
      <x:c r="M4" s="392" t="n"/>
      <x:c r="N4" s="392" t="n"/>
      <x:c r="O4" s="392" t="n"/>
      <x:c r="P4" s="392" t="n"/>
      <x:c r="Q4" s="392" t="n"/>
      <x:c r="R4" s="392" t="n"/>
      <x:c r="S4" s="392" t="n"/>
      <x:c r="T4" s="392" t="n"/>
      <x:c r="U4" s="392" t="n"/>
      <x:c r="V4" s="392" t="n"/>
      <x:c r="W4" s="392" t="n"/>
      <x:c r="Y4" s="392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4" t="str">
        <x:v>AUD-BGM-WASTELAND</x:v>
      </x:c>
      <x:c r="B6" s="304" t="str">
        <x:v>末日荒野 BGM</x:v>
      </x:c>
      <x:c r="C6" s="304" t="str">
        <x:v>音乐</x:v>
      </x:c>
      <x:c r="D6" s="304" t="str">
        <x:v>bgm</x:v>
      </x:c>
      <x:c r="E6" s="304" t="str">
        <x:v>bgm_wasteland</x:v>
      </x:c>
      <x:c r="F6" s="304" t="str">
        <x:v>root</x:v>
      </x:c>
      <x:c r="G6" s="304"/>
      <x:c r="H6" s="304" t="str">
        <x:v>不适用</x:v>
      </x:c>
      <x:c r="I6" s="304" t="str">
        <x:v>default</x:v>
      </x:c>
      <x:c r="J6" s="304" t="str">
        <x:v>按事件复用</x:v>
      </x:c>
      <x:c r="K6" s="304" t="str">
        <x:v>待制作</x:v>
      </x:c>
      <x:c r="L6" s="304" t="str">
        <x:v>P2</x:v>
      </x:c>
      <x:c r="M6" s="304" t="str">
        <x:v>v001</x:v>
      </x:c>
      <x:c r="N6" s="304" t="str">
        <x:v>循环 WAV/OGG</x:v>
      </x:c>
      <x:c r="O6" s="304"/>
      <x:c r="P6" s="304" t="str">
        <x:v>bgm_wasteland.wav</x:v>
      </x:c>
      <x:c r="Q6" s="304"/>
      <x:c r="R6" s="304" t="str">
        <x:f>LOWER(TRIM(C6)&amp;"|"&amp;TRIM(D6)&amp;"|"&amp;TRIM(E6)&amp;"|"&amp;TRIM(F6)&amp;"|"&amp;TRIM(H6)&amp;"|"&amp;TRIM(I6))</x:f>
        <x:v>音乐|bgm|bgm_wasteland|root|不适用|default</x:v>
      </x:c>
      <x:c r="S6" s="304" t="str">
        <x:f>IF(COUNTIF($R$6:$R$14,R6)&gt;1,"重复","唯一")</x:f>
        <x:v>唯一</x:v>
      </x:c>
      <x:c r="T6" s="304"/>
      <x:c r="U6" s="304" t="str">
        <x:v>待分配</x:v>
      </x:c>
      <x:c r="V6" s="394" t="n">
        <x:v>46224</x:v>
      </x:c>
      <x:c r="W6" s="304" t="str">
        <x:v>项目现有/待核对</x:v>
      </x:c>
      <x:c r="X6" s="375" t="str">
        <x:v>—</x:v>
      </x:c>
      <x:c r="Y6" s="304" t="str">
        <x:v>2026-08-30 AST-02：仓库未找到 bgm_wasteland.wav/.ogg，原“已完成”状态无文件证据，降级为待制作；不伪造路径或SHA。</x:v>
      </x:c>
    </x:row>
    <x:row r="7">
      <x:c r="A7" s="138" t="str">
        <x:v>AUD-BGM-BASE-PASSION-A</x:v>
      </x:c>
      <x:c r="B7" s="138" t="str">
        <x:v>基地热血激情 BGM A</x:v>
      </x:c>
      <x:c r="C7" s="138" t="str">
        <x:v>音乐</x:v>
      </x:c>
      <x:c r="D7" s="138" t="str">
        <x:v>bgm</x:v>
      </x:c>
      <x:c r="E7" s="138" t="str">
        <x:v>base_passion</x:v>
      </x:c>
      <x:c r="F7" s="138" t="str">
        <x:v>track_a</x:v>
      </x:c>
      <x:c r="G7" s="138"/>
      <x:c r="H7" s="138" t="str">
        <x:v>不适用</x:v>
      </x:c>
      <x:c r="I7" s="138" t="str">
        <x:v>loop</x:v>
      </x:c>
      <x:c r="J7" s="138" t="str">
        <x:v>按场景复用</x:v>
      </x:c>
      <x:c r="K7" s="138" t="str">
        <x:v>原型已接入</x:v>
      </x:c>
      <x:c r="L7" s="138" t="str">
        <x:v>P1</x:v>
      </x:c>
      <x:c r="M7" s="138" t="str">
        <x:v>v001</x:v>
      </x:c>
      <x:c r="N7" s="138" t="str">
        <x:v>OGG/Vorbis；循环；Music 总线</x:v>
      </x:c>
      <x:c r="O7" s="138" t="str">
        <x:v>assets/audio/music/base_passion/base_passion_a_v001.ogg</x:v>
      </x:c>
      <x:c r="P7" s="138" t="str">
        <x:v>src/audio/MusicCatalog.gd；docs/v0.1/14.8_音乐系统与配乐资产.md；tests/verification/verify_music_system.tscn</x:v>
      </x:c>
      <x:c r="Q7" s="138" t="str">
        <x:v>base_passion track_a</x:v>
      </x:c>
      <x:c r="R7" s="138" t="str">
        <x:f>LOWER(TRIM(C7)&amp;"|"&amp;TRIM(D7)&amp;"|"&amp;TRIM(E7)&amp;"|"&amp;TRIM(F7)&amp;"|"&amp;TRIM(H7)&amp;"|"&amp;TRIM(I7))</x:f>
        <x:v>音乐|bgm|base_passion|track_a|不适用|loop</x:v>
      </x:c>
      <x:c r="S7" s="138" t="str">
        <x:f>IF(COUNTIF($R$6:$R$14,R7)&gt;1,"重复","唯一")</x:f>
        <x:v>唯一</x:v>
      </x:c>
      <x:c r="T7" s="138" t="str">
        <x:v>e841cd4e93112d1be28859c2431aade46c52dff27165135e9991cdae6fac5967</x:v>
      </x:c>
      <x:c r="U7" s="138" t="str">
        <x:v>音频</x:v>
      </x:c>
      <x:c r="V7" s="395" t="n">
        <x:v>46264</x:v>
      </x:c>
      <x:c r="W7" s="138" t="str">
        <x:v>Suno.cn 任务 2092992444135116800；商业使用授权须由项目方按生成账户订阅证明复核</x:v>
      </x:c>
      <x:c r="X7" s="375" t="str">
        <x:v>—</x:v>
      </x:c>
      <x:c r="Y7" s="138" t="str">
        <x:v>2026-08-30 AST-04：原 MP3 移入 source/ 保留可恢复母版；运行时转码为规范化 OGG v001；asset_guard PASS；MusicCatalog 已迁移；验收 verify_music_system。</x:v>
      </x:c>
    </x:row>
    <x:row r="8">
      <x:c r="A8" s="138" t="str">
        <x:v>AUD-BGM-BASE-PASSION-B</x:v>
      </x:c>
      <x:c r="B8" s="138" t="str">
        <x:v>基地热血激情 BGM B</x:v>
      </x:c>
      <x:c r="C8" s="138" t="str">
        <x:v>音乐</x:v>
      </x:c>
      <x:c r="D8" s="138" t="str">
        <x:v>bgm</x:v>
      </x:c>
      <x:c r="E8" s="138" t="str">
        <x:v>base_passion</x:v>
      </x:c>
      <x:c r="F8" s="138" t="str">
        <x:v>track_b</x:v>
      </x:c>
      <x:c r="G8" s="138"/>
      <x:c r="H8" s="138" t="str">
        <x:v>不适用</x:v>
      </x:c>
      <x:c r="I8" s="138" t="str">
        <x:v>loop</x:v>
      </x:c>
      <x:c r="J8" s="138" t="str">
        <x:v>按场景复用</x:v>
      </x:c>
      <x:c r="K8" s="138" t="str">
        <x:v>原型已接入</x:v>
      </x:c>
      <x:c r="L8" s="138" t="str">
        <x:v>P1</x:v>
      </x:c>
      <x:c r="M8" s="138" t="str">
        <x:v>v001</x:v>
      </x:c>
      <x:c r="N8" s="138" t="str">
        <x:v>OGG/Vorbis；循环；Music 总线</x:v>
      </x:c>
      <x:c r="O8" s="138" t="str">
        <x:v>assets/audio/music/base_passion/base_passion_b_v001.ogg</x:v>
      </x:c>
      <x:c r="P8" s="138" t="str">
        <x:v>src/audio/MusicCatalog.gd；docs/v0.1/14.8_音乐系统与配乐资产.md；tests/verification/verify_music_system.tscn</x:v>
      </x:c>
      <x:c r="Q8" s="138" t="str">
        <x:v>base_passion track_b</x:v>
      </x:c>
      <x:c r="R8" s="138" t="str">
        <x:f>LOWER(TRIM(C8)&amp;"|"&amp;TRIM(D8)&amp;"|"&amp;TRIM(E8)&amp;"|"&amp;TRIM(F8)&amp;"|"&amp;TRIM(H8)&amp;"|"&amp;TRIM(I8))</x:f>
        <x:v>音乐|bgm|base_passion|track_b|不适用|loop</x:v>
      </x:c>
      <x:c r="S8" s="138" t="str">
        <x:f>IF(COUNTIF($R$6:$R$14,R8)&gt;1,"重复","唯一")</x:f>
        <x:v>唯一</x:v>
      </x:c>
      <x:c r="T8" s="138" t="str">
        <x:v>4a6c1e9aca3fee17f168fb92be212e14cdf252a155c729fc11763c140aaa230f</x:v>
      </x:c>
      <x:c r="U8" s="138" t="str">
        <x:v>音频</x:v>
      </x:c>
      <x:c r="V8" s="395" t="n">
        <x:v>46264</x:v>
      </x:c>
      <x:c r="W8" s="138" t="str">
        <x:v>Suno.cn 任务 2092992444135116801；商业使用授权须由项目方按生成账户订阅证明复核</x:v>
      </x:c>
      <x:c r="X8" s="375" t="str">
        <x:v>—</x:v>
      </x:c>
      <x:c r="Y8" s="138" t="str">
        <x:v>2026-08-30 AST-04：原 MP3 移入 source/ 保留可恢复母版；运行时转码为规范化 OGG v001；asset_guard PASS；MusicCatalog 已迁移；验收 verify_music_system。</x:v>
      </x:c>
    </x:row>
    <x:row r="9">
      <x:c r="A9" s="138" t="str">
        <x:v>AUD-BGM-ROOFTOP-RELAX-A</x:v>
      </x:c>
      <x:c r="B9" s="138" t="str">
        <x:v>天台放松 BGM A</x:v>
      </x:c>
      <x:c r="C9" s="138" t="str">
        <x:v>音乐</x:v>
      </x:c>
      <x:c r="D9" s="138" t="str">
        <x:v>bgm</x:v>
      </x:c>
      <x:c r="E9" s="138" t="str">
        <x:v>rooftop_relax</x:v>
      </x:c>
      <x:c r="F9" s="138" t="str">
        <x:v>track_a</x:v>
      </x:c>
      <x:c r="G9" s="138"/>
      <x:c r="H9" s="138" t="str">
        <x:v>不适用</x:v>
      </x:c>
      <x:c r="I9" s="138" t="str">
        <x:v>loop</x:v>
      </x:c>
      <x:c r="J9" s="138" t="str">
        <x:v>按场景复用</x:v>
      </x:c>
      <x:c r="K9" s="138" t="str">
        <x:v>原型已接入</x:v>
      </x:c>
      <x:c r="L9" s="138" t="str">
        <x:v>P1</x:v>
      </x:c>
      <x:c r="M9" s="138" t="str">
        <x:v>v001</x:v>
      </x:c>
      <x:c r="N9" s="138" t="str">
        <x:v>OGG/Vorbis；循环；Music 总线</x:v>
      </x:c>
      <x:c r="O9" s="138" t="str">
        <x:v>assets/audio/music/rooftop_relax/rooftop_relax_a_v001.ogg</x:v>
      </x:c>
      <x:c r="P9" s="138" t="str">
        <x:v>src/audio/MusicCatalog.gd；docs/v0.1/14.8_音乐系统与配乐资产.md；tests/verification/verify_music_system.tscn</x:v>
      </x:c>
      <x:c r="Q9" s="138" t="str">
        <x:v>rooftop_relax track_a</x:v>
      </x:c>
      <x:c r="R9" s="138" t="str">
        <x:f>LOWER(TRIM(C9)&amp;"|"&amp;TRIM(D9)&amp;"|"&amp;TRIM(E9)&amp;"|"&amp;TRIM(F9)&amp;"|"&amp;TRIM(H9)&amp;"|"&amp;TRIM(I9))</x:f>
        <x:v>音乐|bgm|rooftop_relax|track_a|不适用|loop</x:v>
      </x:c>
      <x:c r="S9" s="138" t="str">
        <x:f>IF(COUNTIF($R$6:$R$14,R9)&gt;1,"重复","唯一")</x:f>
        <x:v>唯一</x:v>
      </x:c>
      <x:c r="T9" s="138" t="str">
        <x:v>370497df60c3ae7ea51beadd897193c4aaddc72eef829aa51ba179d0ba239605</x:v>
      </x:c>
      <x:c r="U9" s="138" t="str">
        <x:v>音频</x:v>
      </x:c>
      <x:c r="V9" s="395" t="n">
        <x:v>46264</x:v>
      </x:c>
      <x:c r="W9" s="138" t="str">
        <x:v>Suno.cn 任务 2092992535981985792；商业使用授权须由项目方按生成账户订阅证明复核</x:v>
      </x:c>
      <x:c r="X9" s="375" t="str">
        <x:v>—</x:v>
      </x:c>
      <x:c r="Y9" s="138" t="str">
        <x:v>2026-08-30 AST-04：原 MP3 移入 source/ 保留可恢复母版；运行时转码为规范化 OGG v001；asset_guard PASS；MusicCatalog 已迁移；验收 verify_music_system。</x:v>
      </x:c>
    </x:row>
    <x:row r="10">
      <x:c r="A10" s="138" t="str">
        <x:v>AUD-BGM-ROOFTOP-RELAX-B</x:v>
      </x:c>
      <x:c r="B10" s="138" t="str">
        <x:v>天台放松 BGM B</x:v>
      </x:c>
      <x:c r="C10" s="138" t="str">
        <x:v>音乐</x:v>
      </x:c>
      <x:c r="D10" s="138" t="str">
        <x:v>bgm</x:v>
      </x:c>
      <x:c r="E10" s="138" t="str">
        <x:v>rooftop_relax</x:v>
      </x:c>
      <x:c r="F10" s="138" t="str">
        <x:v>track_b</x:v>
      </x:c>
      <x:c r="G10" s="138"/>
      <x:c r="H10" s="138" t="str">
        <x:v>不适用</x:v>
      </x:c>
      <x:c r="I10" s="138" t="str">
        <x:v>loop</x:v>
      </x:c>
      <x:c r="J10" s="138" t="str">
        <x:v>按场景复用</x:v>
      </x:c>
      <x:c r="K10" s="138" t="str">
        <x:v>原型已接入</x:v>
      </x:c>
      <x:c r="L10" s="138" t="str">
        <x:v>P1</x:v>
      </x:c>
      <x:c r="M10" s="138" t="str">
        <x:v>v001</x:v>
      </x:c>
      <x:c r="N10" s="138" t="str">
        <x:v>OGG/Vorbis；循环；Music 总线</x:v>
      </x:c>
      <x:c r="O10" s="138" t="str">
        <x:v>assets/audio/music/rooftop_relax/rooftop_relax_b_v001.ogg</x:v>
      </x:c>
      <x:c r="P10" s="138" t="str">
        <x:v>src/audio/MusicCatalog.gd；docs/v0.1/14.8_音乐系统与配乐资产.md；tests/verification/verify_music_system.tscn</x:v>
      </x:c>
      <x:c r="Q10" s="138" t="str">
        <x:v>rooftop_relax track_b</x:v>
      </x:c>
      <x:c r="R10" s="138" t="str">
        <x:f>LOWER(TRIM(C10)&amp;"|"&amp;TRIM(D10)&amp;"|"&amp;TRIM(E10)&amp;"|"&amp;TRIM(F10)&amp;"|"&amp;TRIM(H10)&amp;"|"&amp;TRIM(I10))</x:f>
        <x:v>音乐|bgm|rooftop_relax|track_b|不适用|loop</x:v>
      </x:c>
      <x:c r="S10" s="138" t="str">
        <x:f>IF(COUNTIF($R$6:$R$14,R10)&gt;1,"重复","唯一")</x:f>
        <x:v>唯一</x:v>
      </x:c>
      <x:c r="T10" s="138" t="str">
        <x:v>acda8101b0afc82ca9f127284816d0e54ec1e7f7aa5da7d5808a0f7b6dde7505</x:v>
      </x:c>
      <x:c r="U10" s="138" t="str">
        <x:v>音频</x:v>
      </x:c>
      <x:c r="V10" s="395" t="n">
        <x:v>46264</x:v>
      </x:c>
      <x:c r="W10" s="138" t="str">
        <x:v>Suno.cn 任务 2092992535981985793；商业使用授权须由项目方按生成账户订阅证明复核</x:v>
      </x:c>
      <x:c r="X10" s="375" t="str">
        <x:v>—</x:v>
      </x:c>
      <x:c r="Y10" s="138" t="str">
        <x:v>2026-08-30 AST-04：原 MP3 移入 source/ 保留可恢复母版；运行时转码为规范化 OGG v001；asset_guard PASS；MusicCatalog 已迁移；验收 verify_music_system。</x:v>
      </x:c>
    </x:row>
    <x:row r="11">
      <x:c r="A11" s="138" t="str">
        <x:v>AUD-BGM-DESCENT-SUSPENSE-A</x:v>
      </x:c>
      <x:c r="B11" s="138" t="str">
        <x:v>下塔悬疑 BGM A</x:v>
      </x:c>
      <x:c r="C11" s="138" t="str">
        <x:v>音乐</x:v>
      </x:c>
      <x:c r="D11" s="138" t="str">
        <x:v>bgm</x:v>
      </x:c>
      <x:c r="E11" s="138" t="str">
        <x:v>descent_suspense</x:v>
      </x:c>
      <x:c r="F11" s="138" t="str">
        <x:v>track_a</x:v>
      </x:c>
      <x:c r="G11" s="138"/>
      <x:c r="H11" s="138" t="str">
        <x:v>不适用</x:v>
      </x:c>
      <x:c r="I11" s="138" t="str">
        <x:v>loop</x:v>
      </x:c>
      <x:c r="J11" s="138" t="str">
        <x:v>按场景复用</x:v>
      </x:c>
      <x:c r="K11" s="138" t="str">
        <x:v>原型已接入</x:v>
      </x:c>
      <x:c r="L11" s="138" t="str">
        <x:v>P1</x:v>
      </x:c>
      <x:c r="M11" s="138" t="str">
        <x:v>v001</x:v>
      </x:c>
      <x:c r="N11" s="138" t="str">
        <x:v>OGG/Vorbis；循环；Music 总线</x:v>
      </x:c>
      <x:c r="O11" s="138" t="str">
        <x:v>assets/audio/music/descent_suspense/descent_suspense_a_v001.ogg</x:v>
      </x:c>
      <x:c r="P11" s="138" t="str">
        <x:v>src/audio/MusicCatalog.gd；docs/v0.1/14.8_音乐系统与配乐资产.md；tests/verification/verify_music_system.tscn</x:v>
      </x:c>
      <x:c r="Q11" s="138" t="str">
        <x:v>descent_suspense track_a</x:v>
      </x:c>
      <x:c r="R11" s="138" t="str">
        <x:f>LOWER(TRIM(C11)&amp;"|"&amp;TRIM(D11)&amp;"|"&amp;TRIM(E11)&amp;"|"&amp;TRIM(F11)&amp;"|"&amp;TRIM(H11)&amp;"|"&amp;TRIM(I11))</x:f>
        <x:v>音乐|bgm|descent_suspense|track_a|不适用|loop</x:v>
      </x:c>
      <x:c r="S11" s="138" t="str">
        <x:f>IF(COUNTIF($R$6:$R$14,R11)&gt;1,"重复","唯一")</x:f>
        <x:v>唯一</x:v>
      </x:c>
      <x:c r="T11" s="138" t="str">
        <x:v>924de9ddc3c0bc2700fee9c37771a94888c220afd5bd812e8d8b55880da2fa2a</x:v>
      </x:c>
      <x:c r="U11" s="138" t="str">
        <x:v>音频</x:v>
      </x:c>
      <x:c r="V11" s="395" t="n">
        <x:v>46264</x:v>
      </x:c>
      <x:c r="W11" s="138" t="str">
        <x:v>Suno.cn 任务 2092992639673569280；商业使用授权须由项目方按生成账户订阅证明复核</x:v>
      </x:c>
      <x:c r="X11" s="375" t="str">
        <x:v>—</x:v>
      </x:c>
      <x:c r="Y11" s="138" t="str">
        <x:v>2026-08-30 AST-04：原 MP3 移入 source/ 保留可恢复母版；运行时转码为规范化 OGG v001；asset_guard PASS；MusicCatalog 已迁移；验收 verify_music_system。</x:v>
      </x:c>
    </x:row>
    <x:row r="12">
      <x:c r="A12" s="138" t="str">
        <x:v>AUD-BGM-DESCENT-SUSPENSE-B</x:v>
      </x:c>
      <x:c r="B12" s="138" t="str">
        <x:v>下塔悬疑 BGM B</x:v>
      </x:c>
      <x:c r="C12" s="138" t="str">
        <x:v>音乐</x:v>
      </x:c>
      <x:c r="D12" s="138" t="str">
        <x:v>bgm</x:v>
      </x:c>
      <x:c r="E12" s="138" t="str">
        <x:v>descent_suspense</x:v>
      </x:c>
      <x:c r="F12" s="138" t="str">
        <x:v>track_b</x:v>
      </x:c>
      <x:c r="G12" s="138"/>
      <x:c r="H12" s="138" t="str">
        <x:v>不适用</x:v>
      </x:c>
      <x:c r="I12" s="138" t="str">
        <x:v>loop</x:v>
      </x:c>
      <x:c r="J12" s="138" t="str">
        <x:v>按场景复用</x:v>
      </x:c>
      <x:c r="K12" s="138" t="str">
        <x:v>原型已接入</x:v>
      </x:c>
      <x:c r="L12" s="138" t="str">
        <x:v>P1</x:v>
      </x:c>
      <x:c r="M12" s="138" t="str">
        <x:v>v001</x:v>
      </x:c>
      <x:c r="N12" s="138" t="str">
        <x:v>OGG/Vorbis；循环；Music 总线</x:v>
      </x:c>
      <x:c r="O12" s="138" t="str">
        <x:v>assets/audio/music/descent_suspense/descent_suspense_b_v001.ogg</x:v>
      </x:c>
      <x:c r="P12" s="138" t="str">
        <x:v>src/audio/MusicCatalog.gd；docs/v0.1/14.8_音乐系统与配乐资产.md；tests/verification/verify_music_system.tscn</x:v>
      </x:c>
      <x:c r="Q12" s="138" t="str">
        <x:v>descent_suspense track_b</x:v>
      </x:c>
      <x:c r="R12" s="138" t="str">
        <x:f>LOWER(TRIM(C12)&amp;"|"&amp;TRIM(D12)&amp;"|"&amp;TRIM(E12)&amp;"|"&amp;TRIM(F12)&amp;"|"&amp;TRIM(H12)&amp;"|"&amp;TRIM(I12))</x:f>
        <x:v>音乐|bgm|descent_suspense|track_b|不适用|loop</x:v>
      </x:c>
      <x:c r="S12" s="138" t="str">
        <x:f>IF(COUNTIF($R$6:$R$14,R12)&gt;1,"重复","唯一")</x:f>
        <x:v>唯一</x:v>
      </x:c>
      <x:c r="T12" s="138" t="str">
        <x:v>864f0c644af3a88e0e67c0b69154421c39d74081a4774232f65f1467d2b286d4</x:v>
      </x:c>
      <x:c r="U12" s="138" t="str">
        <x:v>音频</x:v>
      </x:c>
      <x:c r="V12" s="395" t="n">
        <x:v>46264</x:v>
      </x:c>
      <x:c r="W12" s="138" t="str">
        <x:v>Suno.cn 任务 2092992639673569281；商业使用授权须由项目方按生成账户订阅证明复核</x:v>
      </x:c>
      <x:c r="X12" s="375" t="str">
        <x:v>—</x:v>
      </x:c>
      <x:c r="Y12" s="138" t="str">
        <x:v>2026-08-30 AST-04：原 MP3 移入 source/ 保留可恢复母版；运行时转码为规范化 OGG v001；asset_guard PASS；MusicCatalog 已迁移；验收 verify_music_system。</x:v>
      </x:c>
    </x:row>
    <x:row r="13">
      <x:c r="A13" s="138" t="str">
        <x:v>AUD-BGM-BOSS-INTENSE-A</x:v>
      </x:c>
      <x:c r="B13" s="138" t="str">
        <x:v>Boss 激战 BGM A</x:v>
      </x:c>
      <x:c r="C13" s="138" t="str">
        <x:v>音乐</x:v>
      </x:c>
      <x:c r="D13" s="138" t="str">
        <x:v>bgm</x:v>
      </x:c>
      <x:c r="E13" s="138" t="str">
        <x:v>boss_intense</x:v>
      </x:c>
      <x:c r="F13" s="138" t="str">
        <x:v>track_a</x:v>
      </x:c>
      <x:c r="G13" s="138"/>
      <x:c r="H13" s="138" t="str">
        <x:v>不适用</x:v>
      </x:c>
      <x:c r="I13" s="138" t="str">
        <x:v>loop</x:v>
      </x:c>
      <x:c r="J13" s="138" t="str">
        <x:v>按场景复用</x:v>
      </x:c>
      <x:c r="K13" s="138" t="str">
        <x:v>原型已接入</x:v>
      </x:c>
      <x:c r="L13" s="138" t="str">
        <x:v>P1</x:v>
      </x:c>
      <x:c r="M13" s="138" t="str">
        <x:v>v001</x:v>
      </x:c>
      <x:c r="N13" s="138" t="str">
        <x:v>OGG/Vorbis；循环；Music 总线</x:v>
      </x:c>
      <x:c r="O13" s="138" t="str">
        <x:v>assets/audio/music/boss_intense/boss_intense_a_v001.ogg</x:v>
      </x:c>
      <x:c r="P13" s="138" t="str">
        <x:v>src/audio/MusicCatalog.gd；docs/v0.1/14.8_音乐系统与配乐资产.md；tests/verification/verify_music_system.tscn</x:v>
      </x:c>
      <x:c r="Q13" s="138" t="str">
        <x:v>boss_intense track_a</x:v>
      </x:c>
      <x:c r="R13" s="138" t="str">
        <x:f>LOWER(TRIM(C13)&amp;"|"&amp;TRIM(D13)&amp;"|"&amp;TRIM(E13)&amp;"|"&amp;TRIM(F13)&amp;"|"&amp;TRIM(H13)&amp;"|"&amp;TRIM(I13))</x:f>
        <x:v>音乐|bgm|boss_intense|track_a|不适用|loop</x:v>
      </x:c>
      <x:c r="S13" s="138" t="str">
        <x:f>IF(COUNTIF($R$6:$R$14,R13)&gt;1,"重复","唯一")</x:f>
        <x:v>唯一</x:v>
      </x:c>
      <x:c r="T13" s="138" t="str">
        <x:v>55d230a2cf549d656e842650d6120e2da274c6f5903f1e036cab64c8e9a35f5a</x:v>
      </x:c>
      <x:c r="U13" s="138" t="str">
        <x:v>音频</x:v>
      </x:c>
      <x:c r="V13" s="395" t="n">
        <x:v>46264</x:v>
      </x:c>
      <x:c r="W13" s="138" t="str">
        <x:v>Suno.cn 任务 2092992454658625536；商业使用授权须由项目方按生成账户订阅证明复核</x:v>
      </x:c>
      <x:c r="X13" s="375" t="str">
        <x:v>—</x:v>
      </x:c>
      <x:c r="Y13" s="138" t="str">
        <x:v>2026-08-30 AST-04：原 MP3 移入 source/ 保留可恢复母版；运行时转码为规范化 OGG v001；asset_guard PASS；MusicCatalog 已迁移；验收 verify_music_system。</x:v>
      </x:c>
    </x:row>
    <x:row r="14">
      <x:c r="A14" s="138" t="str">
        <x:v>AUD-BGM-BOSS-INTENSE-B</x:v>
      </x:c>
      <x:c r="B14" s="138" t="str">
        <x:v>Boss 激战 BGM B</x:v>
      </x:c>
      <x:c r="C14" s="138" t="str">
        <x:v>音乐</x:v>
      </x:c>
      <x:c r="D14" s="138" t="str">
        <x:v>bgm</x:v>
      </x:c>
      <x:c r="E14" s="138" t="str">
        <x:v>boss_intense</x:v>
      </x:c>
      <x:c r="F14" s="138" t="str">
        <x:v>track_b</x:v>
      </x:c>
      <x:c r="G14" s="138"/>
      <x:c r="H14" s="138" t="str">
        <x:v>不适用</x:v>
      </x:c>
      <x:c r="I14" s="138" t="str">
        <x:v>loop</x:v>
      </x:c>
      <x:c r="J14" s="138" t="str">
        <x:v>按场景复用</x:v>
      </x:c>
      <x:c r="K14" s="138" t="str">
        <x:v>原型已接入</x:v>
      </x:c>
      <x:c r="L14" s="138" t="str">
        <x:v>P1</x:v>
      </x:c>
      <x:c r="M14" s="138" t="str">
        <x:v>v001</x:v>
      </x:c>
      <x:c r="N14" s="138" t="str">
        <x:v>OGG/Vorbis；循环；Music 总线</x:v>
      </x:c>
      <x:c r="O14" s="138" t="str">
        <x:v>assets/audio/music/boss_intense/boss_intense_b_v001.ogg</x:v>
      </x:c>
      <x:c r="P14" s="138" t="str">
        <x:v>src/audio/MusicCatalog.gd；docs/v0.1/14.8_音乐系统与配乐资产.md；tests/verification/verify_music_system.tscn</x:v>
      </x:c>
      <x:c r="Q14" s="138" t="str">
        <x:v>boss_intense track_b</x:v>
      </x:c>
      <x:c r="R14" s="138" t="str">
        <x:f>LOWER(TRIM(C14)&amp;"|"&amp;TRIM(D14)&amp;"|"&amp;TRIM(E14)&amp;"|"&amp;TRIM(F14)&amp;"|"&amp;TRIM(H14)&amp;"|"&amp;TRIM(I14))</x:f>
        <x:v>音乐|bgm|boss_intense|track_b|不适用|loop</x:v>
      </x:c>
      <x:c r="S14" s="138" t="str">
        <x:f>IF(COUNTIF($R$6:$R$14,R14)&gt;1,"重复","唯一")</x:f>
        <x:v>唯一</x:v>
      </x:c>
      <x:c r="T14" s="138" t="str">
        <x:v>70b13c9c0c1974a4c7bbee53de4cca7b05e8d0f6396f70505b7e8a1105fd6c63</x:v>
      </x:c>
      <x:c r="U14" s="138" t="str">
        <x:v>音频</x:v>
      </x:c>
      <x:c r="V14" s="395" t="n">
        <x:v>46264</x:v>
      </x:c>
      <x:c r="W14" s="138" t="str">
        <x:v>Suno.cn 任务 2092992454658625537；商业使用授权须由项目方按生成账户订阅证明复核</x:v>
      </x:c>
      <x:c r="X14" s="375" t="str">
        <x:v>—</x:v>
      </x:c>
      <x:c r="Y14" s="138" t="str">
        <x:v>2026-08-30 AST-04：原 MP3 移入 source/ 保留可恢复母版；运行时转码为规范化 OGG v001；asset_guard PASS；MusicCatalog 已迁移；验收 verify_music_system。</x:v>
      </x:c>
    </x:row>
    <x:row r="15">
      <x:c r="A15" s="138"/>
      <x:c r="B15" s="138"/>
      <x:c r="C15" s="138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303"/>
      <x:c r="W15" s="138"/>
      <x:c r="X15" s="375"/>
      <x:c r="Y15" s="138"/>
    </x:row>
    <x:row r="16">
      <x:c r="A16" s="138"/>
      <x:c r="B16" s="138"/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303"/>
      <x:c r="W16" s="138"/>
      <x:c r="X16" s="375"/>
      <x:c r="Y16" s="138"/>
    </x:row>
    <x:row r="17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303"/>
      <x:c r="W17" s="138"/>
      <x:c r="X17" s="375"/>
      <x:c r="Y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303"/>
      <x:c r="W18" s="138"/>
      <x:c r="X18" s="375"/>
      <x:c r="Y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303"/>
      <x:c r="W19" s="138"/>
      <x:c r="X19" s="375"/>
      <x:c r="Y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303"/>
      <x:c r="W20" s="138"/>
      <x:c r="X20" s="375"/>
      <x:c r="Y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303"/>
      <x:c r="W21" s="138"/>
      <x:c r="X21" s="375"/>
      <x:c r="Y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303"/>
      <x:c r="W22" s="138"/>
      <x:c r="X22" s="375"/>
      <x:c r="Y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303"/>
      <x:c r="W23" s="138"/>
      <x:c r="X23" s="375"/>
      <x:c r="Y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303"/>
      <x:c r="W24" s="138"/>
      <x:c r="X24" s="375"/>
      <x:c r="Y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303"/>
      <x:c r="W25" s="138"/>
      <x:c r="X25" s="375"/>
      <x:c r="Y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303"/>
      <x:c r="W26" s="138"/>
      <x:c r="X26" s="375"/>
      <x:c r="Y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303"/>
      <x:c r="W27" s="138"/>
      <x:c r="X27" s="375"/>
      <x:c r="Y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303"/>
      <x:c r="W28" s="138"/>
      <x:c r="X28" s="375"/>
      <x:c r="Y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303"/>
      <x:c r="W29" s="138"/>
      <x:c r="X29" s="375"/>
      <x:c r="Y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303"/>
      <x:c r="W30" s="138"/>
      <x:c r="X30" s="375"/>
      <x:c r="Y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303"/>
      <x:c r="W31" s="138"/>
      <x:c r="X31" s="375"/>
      <x:c r="Y31" s="138"/>
    </x:row>
    <x:row r="32">
      <x:c r="A32" s="392"/>
      <x:c r="B32" s="392"/>
      <x:c r="C32" s="392"/>
      <x:c r="D32" s="392"/>
      <x:c r="E32" s="392"/>
      <x:c r="F32" s="392"/>
      <x:c r="G32" s="392"/>
      <x:c r="H32" s="392"/>
      <x:c r="I32" s="392"/>
      <x:c r="J32" s="392"/>
      <x:c r="K32" s="392"/>
      <x:c r="L32" s="392"/>
      <x:c r="M32" s="392"/>
      <x:c r="N32" s="392"/>
      <x:c r="O32" s="392"/>
      <x:c r="P32" s="392"/>
      <x:c r="Q32" s="392"/>
      <x:c r="R32" s="392"/>
      <x:c r="S32" s="392"/>
      <x:c r="T32" s="392"/>
      <x:c r="U32" s="392"/>
      <x:c r="V32" s="392"/>
      <x:c r="W32" s="392"/>
      <x:c r="X32" s="375"/>
      <x:c r="Y32" s="392"/>
    </x:row>
    <x:row r="33">
      <x:c r="A33" s="392"/>
      <x:c r="B33" s="392"/>
      <x:c r="C33" s="392"/>
      <x:c r="D33" s="392"/>
      <x:c r="E33" s="392"/>
      <x:c r="F33" s="392"/>
      <x:c r="G33" s="392"/>
      <x:c r="H33" s="392"/>
      <x:c r="I33" s="392"/>
      <x:c r="J33" s="392"/>
      <x:c r="K33" s="392"/>
      <x:c r="L33" s="392"/>
      <x:c r="M33" s="392"/>
      <x:c r="N33" s="392"/>
      <x:c r="O33" s="392"/>
      <x:c r="P33" s="392"/>
      <x:c r="Q33" s="392"/>
      <x:c r="R33" s="392"/>
      <x:c r="S33" s="392"/>
      <x:c r="T33" s="392"/>
      <x:c r="U33" s="392"/>
      <x:c r="V33" s="392"/>
      <x:c r="W33" s="392"/>
      <x:c r="X33" s="375"/>
      <x:c r="Y33" s="392"/>
    </x:row>
    <x:row r="34">
      <x:c r="A34" s="392"/>
      <x:c r="B34" s="392"/>
      <x:c r="C34" s="392"/>
      <x:c r="D34" s="392"/>
      <x:c r="E34" s="392"/>
      <x:c r="F34" s="392"/>
      <x:c r="G34" s="392"/>
      <x:c r="H34" s="392"/>
      <x:c r="I34" s="392"/>
      <x:c r="J34" s="392"/>
      <x:c r="K34" s="392"/>
      <x:c r="L34" s="392"/>
      <x:c r="M34" s="392"/>
      <x:c r="N34" s="392"/>
      <x:c r="O34" s="392"/>
      <x:c r="P34" s="392"/>
      <x:c r="Q34" s="392"/>
      <x:c r="R34" s="392"/>
      <x:c r="S34" s="392"/>
      <x:c r="T34" s="392"/>
      <x:c r="U34" s="392"/>
      <x:c r="V34" s="348"/>
      <x:c r="W34" s="392"/>
      <x:c r="X34" s="375"/>
      <x:c r="Y34" s="392"/>
    </x:row>
    <x:row r="35">
      <x:c r="A35" s="308"/>
      <x:c r="B35" s="309"/>
      <x:c r="C35" s="309"/>
      <x:c r="D35" s="309"/>
      <x:c r="E35" s="309"/>
      <x:c r="F35" s="309"/>
      <x:c r="G35" s="309"/>
      <x:c r="H35" s="309"/>
      <x:c r="I35" s="309"/>
      <x:c r="J35" s="309"/>
      <x:c r="K35" s="309"/>
      <x:c r="L35" s="309"/>
      <x:c r="M35" s="309"/>
      <x:c r="N35" s="309"/>
      <x:c r="O35" s="309"/>
      <x:c r="P35" s="309"/>
      <x:c r="Q35" s="309"/>
      <x:c r="R35" s="309"/>
      <x:c r="S35" s="309"/>
      <x:c r="T35" s="309"/>
      <x:c r="U35" s="309"/>
      <x:c r="V35" s="309"/>
      <x:c r="W35" s="309"/>
      <x:c r="X35" s="375"/>
      <x:c r="Y35" s="309"/>
    </x:row>
    <x:row r="36">
      <x:c r="A36" s="392"/>
      <x:c r="B36" s="392"/>
      <x:c r="C36" s="392"/>
      <x:c r="D36" s="392"/>
      <x:c r="E36" s="392"/>
      <x:c r="F36" s="392"/>
      <x:c r="G36" s="392"/>
      <x:c r="H36" s="392"/>
      <x:c r="I36" s="392"/>
      <x:c r="J36" s="392"/>
      <x:c r="K36" s="392"/>
      <x:c r="L36" s="392"/>
      <x:c r="M36" s="392"/>
      <x:c r="N36" s="392"/>
      <x:c r="O36" s="392"/>
      <x:c r="P36" s="392"/>
      <x:c r="Q36" s="392"/>
      <x:c r="R36" s="392"/>
      <x:c r="S36" s="392"/>
      <x:c r="T36" s="392"/>
      <x:c r="U36" s="392"/>
      <x:c r="V36" s="348"/>
      <x:c r="W36" s="392"/>
      <x:c r="X36" s="375"/>
      <x:c r="Y36" s="392"/>
    </x:row>
    <x:row r="37">
      <x:c r="A37" s="392"/>
      <x:c r="B37" s="392"/>
      <x:c r="C37" s="392"/>
      <x:c r="D37" s="392"/>
      <x:c r="E37" s="392"/>
      <x:c r="F37" s="392"/>
      <x:c r="G37" s="392"/>
      <x:c r="H37" s="392"/>
      <x:c r="I37" s="392"/>
      <x:c r="J37" s="392"/>
      <x:c r="K37" s="392"/>
      <x:c r="L37" s="392"/>
      <x:c r="M37" s="392"/>
      <x:c r="N37" s="392"/>
      <x:c r="O37" s="392"/>
      <x:c r="P37" s="392"/>
      <x:c r="Q37" s="392"/>
      <x:c r="R37" s="392"/>
      <x:c r="S37" s="392"/>
      <x:c r="T37" s="392"/>
      <x:c r="U37" s="392"/>
      <x:c r="V37" s="348"/>
      <x:c r="W37" s="392"/>
      <x:c r="X37" s="375"/>
      <x:c r="Y37" s="392"/>
    </x:row>
    <x:row r="38">
      <x:c r="A38" s="392"/>
      <x:c r="B38" s="392"/>
      <x:c r="C38" s="392"/>
      <x:c r="D38" s="392"/>
      <x:c r="E38" s="392"/>
      <x:c r="F38" s="392"/>
      <x:c r="G38" s="392"/>
      <x:c r="H38" s="392"/>
      <x:c r="I38" s="392"/>
      <x:c r="J38" s="392"/>
      <x:c r="K38" s="392"/>
      <x:c r="L38" s="392"/>
      <x:c r="M38" s="392"/>
      <x:c r="N38" s="392"/>
      <x:c r="O38" s="392"/>
      <x:c r="P38" s="392"/>
      <x:c r="Q38" s="392"/>
      <x:c r="R38" s="392"/>
      <x:c r="S38" s="392"/>
      <x:c r="T38" s="392"/>
      <x:c r="U38" s="392"/>
      <x:c r="V38" s="348"/>
      <x:c r="W38" s="392"/>
      <x:c r="X38" s="375"/>
      <x:c r="Y38" s="392"/>
    </x:row>
    <x:row r="39">
      <x:c r="A39" s="392"/>
      <x:c r="B39" s="392"/>
      <x:c r="C39" s="392"/>
      <x:c r="D39" s="392"/>
      <x:c r="E39" s="392"/>
      <x:c r="F39" s="392"/>
      <x:c r="G39" s="392"/>
      <x:c r="H39" s="392"/>
      <x:c r="I39" s="392"/>
      <x:c r="J39" s="392"/>
      <x:c r="K39" s="392"/>
      <x:c r="L39" s="392"/>
      <x:c r="M39" s="392"/>
      <x:c r="N39" s="392"/>
      <x:c r="O39" s="392"/>
      <x:c r="P39" s="392"/>
      <x:c r="Q39" s="392"/>
      <x:c r="R39" s="392"/>
      <x:c r="S39" s="392"/>
      <x:c r="T39" s="392"/>
      <x:c r="U39" s="392"/>
      <x:c r="V39" s="348"/>
      <x:c r="W39" s="392"/>
      <x:c r="X39" s="375"/>
      <x:c r="Y39" s="392"/>
    </x:row>
    <x:row r="40">
      <x:c r="A40" s="392"/>
      <x:c r="B40" s="392"/>
      <x:c r="C40" s="392"/>
      <x:c r="D40" s="392"/>
      <x:c r="E40" s="392"/>
      <x:c r="F40" s="392"/>
      <x:c r="G40" s="392"/>
      <x:c r="H40" s="392"/>
      <x:c r="I40" s="392"/>
      <x:c r="J40" s="392"/>
      <x:c r="K40" s="392"/>
      <x:c r="L40" s="392"/>
      <x:c r="M40" s="392"/>
      <x:c r="N40" s="392"/>
      <x:c r="O40" s="392"/>
      <x:c r="P40" s="392"/>
      <x:c r="Q40" s="392"/>
      <x:c r="R40" s="392"/>
      <x:c r="S40" s="392"/>
      <x:c r="T40" s="392"/>
      <x:c r="U40" s="392"/>
      <x:c r="V40" s="348"/>
      <x:c r="W40" s="392"/>
      <x:c r="X40" s="375"/>
      <x:c r="Y40" s="392"/>
    </x:row>
    <x:row r="41">
      <x:c r="A41" s="392"/>
      <x:c r="B41" s="392"/>
      <x:c r="C41" s="392"/>
      <x:c r="D41" s="392"/>
      <x:c r="E41" s="392"/>
      <x:c r="F41" s="392"/>
      <x:c r="G41" s="392"/>
      <x:c r="H41" s="392"/>
      <x:c r="I41" s="392"/>
      <x:c r="J41" s="392"/>
      <x:c r="K41" s="392"/>
      <x:c r="L41" s="392"/>
      <x:c r="M41" s="392"/>
      <x:c r="N41" s="392"/>
      <x:c r="O41" s="392"/>
      <x:c r="P41" s="392"/>
      <x:c r="Q41" s="392"/>
      <x:c r="R41" s="392"/>
      <x:c r="S41" s="392"/>
      <x:c r="T41" s="392"/>
      <x:c r="U41" s="392"/>
      <x:c r="V41" s="348"/>
      <x:c r="W41" s="392"/>
      <x:c r="X41" s="375"/>
      <x:c r="Y41" s="392"/>
    </x:row>
    <x:row r="42">
      <x:c r="A42" s="392"/>
      <x:c r="B42" s="392"/>
      <x:c r="C42" s="392"/>
      <x:c r="D42" s="392"/>
      <x:c r="E42" s="392"/>
      <x:c r="F42" s="392"/>
      <x:c r="G42" s="392"/>
      <x:c r="H42" s="392"/>
      <x:c r="I42" s="392"/>
      <x:c r="J42" s="392"/>
      <x:c r="K42" s="392"/>
      <x:c r="L42" s="392"/>
      <x:c r="M42" s="392"/>
      <x:c r="N42" s="392"/>
      <x:c r="O42" s="392"/>
      <x:c r="P42" s="392"/>
      <x:c r="Q42" s="392"/>
      <x:c r="R42" s="392"/>
      <x:c r="S42" s="392"/>
      <x:c r="T42" s="392"/>
      <x:c r="U42" s="392"/>
      <x:c r="V42" s="348"/>
      <x:c r="W42" s="392"/>
      <x:c r="X42" s="375"/>
      <x:c r="Y42" s="392"/>
    </x:row>
    <x:row r="43">
      <x:c r="A43" s="392"/>
      <x:c r="B43" s="392"/>
      <x:c r="C43" s="392"/>
      <x:c r="D43" s="392"/>
      <x:c r="E43" s="392"/>
      <x:c r="F43" s="392"/>
      <x:c r="G43" s="392"/>
      <x:c r="H43" s="392"/>
      <x:c r="I43" s="392"/>
      <x:c r="J43" s="392"/>
      <x:c r="K43" s="392"/>
      <x:c r="L43" s="392"/>
      <x:c r="M43" s="392"/>
      <x:c r="N43" s="392"/>
      <x:c r="O43" s="392"/>
      <x:c r="P43" s="392"/>
      <x:c r="Q43" s="392"/>
      <x:c r="R43" s="392"/>
      <x:c r="S43" s="392"/>
      <x:c r="T43" s="392"/>
      <x:c r="U43" s="392"/>
      <x:c r="V43" s="348"/>
      <x:c r="W43" s="392"/>
      <x:c r="X43" s="375"/>
      <x:c r="Y43" s="392"/>
    </x:row>
    <x:row r="44">
      <x:c r="A44" s="392"/>
      <x:c r="B44" s="392"/>
      <x:c r="C44" s="392"/>
      <x:c r="D44" s="392"/>
      <x:c r="E44" s="392"/>
      <x:c r="F44" s="392"/>
      <x:c r="G44" s="392"/>
      <x:c r="H44" s="392"/>
      <x:c r="I44" s="392"/>
      <x:c r="J44" s="392"/>
      <x:c r="K44" s="392"/>
      <x:c r="L44" s="392"/>
      <x:c r="M44" s="392"/>
      <x:c r="N44" s="392"/>
      <x:c r="O44" s="392"/>
      <x:c r="P44" s="392"/>
      <x:c r="Q44" s="392"/>
      <x:c r="R44" s="392"/>
      <x:c r="S44" s="392"/>
      <x:c r="T44" s="392"/>
      <x:c r="U44" s="392"/>
      <x:c r="V44" s="348"/>
      <x:c r="W44" s="392"/>
      <x:c r="X44" s="375"/>
      <x:c r="Y44" s="392"/>
    </x:row>
    <x:row r="45">
      <x:c r="A45" s="392"/>
      <x:c r="B45" s="392"/>
      <x:c r="C45" s="392"/>
      <x:c r="D45" s="392"/>
      <x:c r="E45" s="392"/>
      <x:c r="F45" s="392"/>
      <x:c r="G45" s="392"/>
      <x:c r="H45" s="392"/>
      <x:c r="I45" s="392"/>
      <x:c r="J45" s="392"/>
      <x:c r="K45" s="392"/>
      <x:c r="L45" s="392"/>
      <x:c r="M45" s="392"/>
      <x:c r="N45" s="392"/>
      <x:c r="O45" s="392"/>
      <x:c r="P45" s="392"/>
      <x:c r="Q45" s="392"/>
      <x:c r="R45" s="392"/>
      <x:c r="S45" s="392"/>
      <x:c r="T45" s="392"/>
      <x:c r="U45" s="392"/>
      <x:c r="V45" s="348"/>
      <x:c r="W45" s="392"/>
      <x:c r="X45" s="375"/>
      <x:c r="Y45" s="392"/>
    </x:row>
    <x:row r="46">
      <x:c r="A46" s="392"/>
      <x:c r="B46" s="392"/>
      <x:c r="C46" s="392"/>
      <x:c r="D46" s="392"/>
      <x:c r="E46" s="392"/>
      <x:c r="F46" s="392"/>
      <x:c r="G46" s="392"/>
      <x:c r="H46" s="392"/>
      <x:c r="I46" s="392"/>
      <x:c r="J46" s="392"/>
      <x:c r="K46" s="392"/>
      <x:c r="L46" s="392"/>
      <x:c r="M46" s="392"/>
      <x:c r="N46" s="392"/>
      <x:c r="O46" s="392"/>
      <x:c r="P46" s="392"/>
      <x:c r="Q46" s="392"/>
      <x:c r="R46" s="392"/>
      <x:c r="S46" s="392"/>
      <x:c r="T46" s="392"/>
      <x:c r="U46" s="392"/>
      <x:c r="V46" s="348"/>
      <x:c r="W46" s="392"/>
      <x:c r="X46" s="375"/>
      <x:c r="Y46" s="392"/>
    </x:row>
    <x:row r="47">
      <x:c r="A47" s="392"/>
      <x:c r="B47" s="392"/>
      <x:c r="C47" s="392"/>
      <x:c r="D47" s="392"/>
      <x:c r="E47" s="392"/>
      <x:c r="F47" s="392"/>
      <x:c r="G47" s="392"/>
      <x:c r="H47" s="392"/>
      <x:c r="I47" s="392"/>
      <x:c r="J47" s="392"/>
      <x:c r="K47" s="392"/>
      <x:c r="L47" s="392"/>
      <x:c r="M47" s="392"/>
      <x:c r="N47" s="392"/>
      <x:c r="O47" s="392"/>
      <x:c r="P47" s="392"/>
      <x:c r="Q47" s="392"/>
      <x:c r="R47" s="392"/>
      <x:c r="S47" s="392"/>
      <x:c r="T47" s="392"/>
      <x:c r="U47" s="392"/>
      <x:c r="V47" s="348"/>
      <x:c r="W47" s="392"/>
      <x:c r="X47" s="375"/>
      <x:c r="Y47" s="392"/>
    </x:row>
    <x:row r="48">
      <x:c r="A48" s="392"/>
      <x:c r="B48" s="392"/>
      <x:c r="C48" s="392"/>
      <x:c r="D48" s="392"/>
      <x:c r="E48" s="392"/>
      <x:c r="F48" s="392"/>
      <x:c r="G48" s="392"/>
      <x:c r="H48" s="392"/>
      <x:c r="I48" s="392"/>
      <x:c r="J48" s="392"/>
      <x:c r="K48" s="392"/>
      <x:c r="L48" s="392"/>
      <x:c r="M48" s="392"/>
      <x:c r="N48" s="392"/>
      <x:c r="O48" s="392"/>
      <x:c r="P48" s="392"/>
      <x:c r="Q48" s="392"/>
      <x:c r="R48" s="392"/>
      <x:c r="S48" s="392"/>
      <x:c r="T48" s="392"/>
      <x:c r="U48" s="392"/>
      <x:c r="V48" s="348"/>
      <x:c r="W48" s="392"/>
      <x:c r="X48" s="375"/>
      <x:c r="Y48" s="392"/>
    </x:row>
    <x:row r="49">
      <x:c r="A49" s="392"/>
      <x:c r="B49" s="392"/>
      <x:c r="C49" s="392"/>
      <x:c r="D49" s="392"/>
      <x:c r="E49" s="392"/>
      <x:c r="F49" s="392"/>
      <x:c r="G49" s="392"/>
      <x:c r="H49" s="392"/>
      <x:c r="I49" s="392"/>
      <x:c r="J49" s="392"/>
      <x:c r="K49" s="392"/>
      <x:c r="L49" s="392"/>
      <x:c r="M49" s="392"/>
      <x:c r="N49" s="392"/>
      <x:c r="O49" s="392"/>
      <x:c r="P49" s="392"/>
      <x:c r="Q49" s="392"/>
      <x:c r="R49" s="392"/>
      <x:c r="S49" s="392"/>
      <x:c r="T49" s="392"/>
      <x:c r="U49" s="392"/>
      <x:c r="V49" s="348"/>
      <x:c r="W49" s="392"/>
      <x:c r="X49" s="375"/>
      <x:c r="Y49" s="392"/>
    </x:row>
    <x:row r="50">
      <x:c r="A50" s="392"/>
      <x:c r="B50" s="392"/>
      <x:c r="C50" s="392"/>
      <x:c r="D50" s="392"/>
      <x:c r="E50" s="392"/>
      <x:c r="F50" s="392"/>
      <x:c r="G50" s="392"/>
      <x:c r="H50" s="392"/>
      <x:c r="I50" s="392"/>
      <x:c r="J50" s="392"/>
      <x:c r="K50" s="392"/>
      <x:c r="L50" s="392"/>
      <x:c r="M50" s="392"/>
      <x:c r="N50" s="392"/>
      <x:c r="O50" s="392"/>
      <x:c r="P50" s="392"/>
      <x:c r="Q50" s="392"/>
      <x:c r="R50" s="392"/>
      <x:c r="S50" s="392"/>
      <x:c r="T50" s="392"/>
      <x:c r="U50" s="392"/>
      <x:c r="V50" s="348"/>
      <x:c r="W50" s="392"/>
      <x:c r="X50" s="375"/>
      <x:c r="Y50" s="392"/>
    </x:row>
    <x:row r="51">
      <x:c r="A51" s="392"/>
      <x:c r="B51" s="392"/>
      <x:c r="C51" s="392"/>
      <x:c r="D51" s="392"/>
      <x:c r="E51" s="392"/>
      <x:c r="F51" s="392"/>
      <x:c r="G51" s="392"/>
      <x:c r="H51" s="392"/>
      <x:c r="I51" s="392"/>
      <x:c r="J51" s="392"/>
      <x:c r="K51" s="392"/>
      <x:c r="L51" s="392"/>
      <x:c r="M51" s="392"/>
      <x:c r="N51" s="392"/>
      <x:c r="O51" s="392"/>
      <x:c r="P51" s="392"/>
      <x:c r="Q51" s="392"/>
      <x:c r="R51" s="392"/>
      <x:c r="S51" s="392"/>
      <x:c r="T51" s="392"/>
      <x:c r="U51" s="392"/>
      <x:c r="V51" s="348"/>
      <x:c r="W51" s="392"/>
      <x:c r="X51" s="375"/>
      <x:c r="Y51" s="392"/>
    </x:row>
    <x:row r="52">
      <x:c r="A52" s="392"/>
      <x:c r="B52" s="392"/>
      <x:c r="C52" s="392"/>
      <x:c r="D52" s="392"/>
      <x:c r="E52" s="392"/>
      <x:c r="F52" s="392"/>
      <x:c r="G52" s="392"/>
      <x:c r="H52" s="392"/>
      <x:c r="I52" s="392"/>
      <x:c r="J52" s="392"/>
      <x:c r="K52" s="392"/>
      <x:c r="L52" s="392"/>
      <x:c r="M52" s="392"/>
      <x:c r="N52" s="392"/>
      <x:c r="O52" s="392"/>
      <x:c r="P52" s="392"/>
      <x:c r="Q52" s="392"/>
      <x:c r="R52" s="392"/>
      <x:c r="S52" s="392"/>
      <x:c r="T52" s="392"/>
      <x:c r="U52" s="392"/>
      <x:c r="V52" s="348"/>
      <x:c r="W52" s="392"/>
      <x:c r="X52" s="375"/>
      <x:c r="Y52" s="392"/>
    </x:row>
    <x:row r="53">
      <x:c r="A53" s="392"/>
      <x:c r="B53" s="392"/>
      <x:c r="C53" s="392"/>
      <x:c r="D53" s="392"/>
      <x:c r="E53" s="392"/>
      <x:c r="F53" s="392"/>
      <x:c r="G53" s="392"/>
      <x:c r="H53" s="392"/>
      <x:c r="I53" s="392"/>
      <x:c r="J53" s="392"/>
      <x:c r="K53" s="392"/>
      <x:c r="L53" s="392"/>
      <x:c r="M53" s="392"/>
      <x:c r="N53" s="392"/>
      <x:c r="O53" s="392"/>
      <x:c r="P53" s="392"/>
      <x:c r="Q53" s="392"/>
      <x:c r="R53" s="392"/>
      <x:c r="S53" s="392"/>
      <x:c r="T53" s="392"/>
      <x:c r="U53" s="392"/>
      <x:c r="V53" s="348"/>
      <x:c r="W53" s="392"/>
      <x:c r="X53" s="375"/>
      <x:c r="Y53" s="392"/>
    </x:row>
    <x:row r="54">
      <x:c r="A54" s="392"/>
      <x:c r="B54" s="392"/>
      <x:c r="C54" s="392"/>
      <x:c r="D54" s="392"/>
      <x:c r="E54" s="392"/>
      <x:c r="F54" s="392"/>
      <x:c r="G54" s="392"/>
      <x:c r="H54" s="392"/>
      <x:c r="I54" s="392"/>
      <x:c r="J54" s="392"/>
      <x:c r="K54" s="392"/>
      <x:c r="L54" s="392"/>
      <x:c r="M54" s="392"/>
      <x:c r="N54" s="392"/>
      <x:c r="O54" s="392"/>
      <x:c r="P54" s="392"/>
      <x:c r="Q54" s="392"/>
      <x:c r="R54" s="392"/>
      <x:c r="S54" s="392"/>
      <x:c r="T54" s="392"/>
      <x:c r="U54" s="392"/>
      <x:c r="V54" s="348"/>
      <x:c r="W54" s="392"/>
      <x:c r="X54" s="375"/>
      <x:c r="Y54" s="392"/>
    </x:row>
    <x:row r="55">
      <x:c r="A55" s="392"/>
      <x:c r="B55" s="392"/>
      <x:c r="C55" s="392"/>
      <x:c r="D55" s="392"/>
      <x:c r="E55" s="392"/>
      <x:c r="F55" s="392"/>
      <x:c r="G55" s="392"/>
      <x:c r="H55" s="392"/>
      <x:c r="I55" s="392"/>
      <x:c r="J55" s="392"/>
      <x:c r="K55" s="392"/>
      <x:c r="L55" s="392"/>
      <x:c r="M55" s="392"/>
      <x:c r="N55" s="392"/>
      <x:c r="O55" s="392"/>
      <x:c r="P55" s="392"/>
      <x:c r="Q55" s="392"/>
      <x:c r="R55" s="392"/>
      <x:c r="S55" s="392"/>
      <x:c r="T55" s="392"/>
      <x:c r="U55" s="392"/>
      <x:c r="V55" s="348"/>
      <x:c r="W55" s="392"/>
      <x:c r="X55" s="375"/>
      <x:c r="Y55" s="392"/>
    </x:row>
    <x:row r="56">
      <x:c r="A56" s="392"/>
      <x:c r="B56" s="392"/>
      <x:c r="C56" s="392"/>
      <x:c r="D56" s="392"/>
      <x:c r="E56" s="392"/>
      <x:c r="F56" s="392"/>
      <x:c r="G56" s="392"/>
      <x:c r="H56" s="392"/>
      <x:c r="I56" s="392"/>
      <x:c r="J56" s="392"/>
      <x:c r="K56" s="392"/>
      <x:c r="L56" s="392"/>
      <x:c r="M56" s="392"/>
      <x:c r="N56" s="392"/>
      <x:c r="O56" s="392"/>
      <x:c r="P56" s="392"/>
      <x:c r="Q56" s="392"/>
      <x:c r="R56" s="392"/>
      <x:c r="S56" s="392"/>
      <x:c r="T56" s="392"/>
      <x:c r="U56" s="392"/>
      <x:c r="V56" s="348"/>
      <x:c r="W56" s="392"/>
      <x:c r="X56" s="375"/>
      <x:c r="Y56" s="392"/>
    </x:row>
    <x:row r="57">
      <x:c r="A57" s="392"/>
      <x:c r="B57" s="392"/>
      <x:c r="C57" s="392"/>
      <x:c r="D57" s="392"/>
      <x:c r="E57" s="392"/>
      <x:c r="F57" s="392"/>
      <x:c r="G57" s="392"/>
      <x:c r="H57" s="392"/>
      <x:c r="I57" s="392"/>
      <x:c r="J57" s="392"/>
      <x:c r="K57" s="392"/>
      <x:c r="L57" s="392"/>
      <x:c r="M57" s="392"/>
      <x:c r="N57" s="392"/>
      <x:c r="O57" s="392"/>
      <x:c r="P57" s="392"/>
      <x:c r="Q57" s="392"/>
      <x:c r="R57" s="392"/>
      <x:c r="S57" s="392"/>
      <x:c r="T57" s="392"/>
      <x:c r="U57" s="392"/>
      <x:c r="V57" s="348"/>
      <x:c r="W57" s="392"/>
      <x:c r="X57" s="375"/>
      <x:c r="Y57" s="392"/>
    </x:row>
    <x:row r="58">
      <x:c r="A58" s="392"/>
      <x:c r="B58" s="392"/>
      <x:c r="C58" s="392"/>
      <x:c r="D58" s="392"/>
      <x:c r="E58" s="392"/>
      <x:c r="F58" s="392"/>
      <x:c r="G58" s="392"/>
      <x:c r="H58" s="392"/>
      <x:c r="I58" s="392"/>
      <x:c r="J58" s="392"/>
      <x:c r="K58" s="392"/>
      <x:c r="L58" s="392"/>
      <x:c r="M58" s="392"/>
      <x:c r="N58" s="392"/>
      <x:c r="O58" s="392"/>
      <x:c r="P58" s="392"/>
      <x:c r="Q58" s="392"/>
      <x:c r="R58" s="392"/>
      <x:c r="S58" s="392"/>
      <x:c r="T58" s="392"/>
      <x:c r="U58" s="392"/>
      <x:c r="V58" s="348"/>
      <x:c r="W58" s="392"/>
      <x:c r="X58" s="375"/>
      <x:c r="Y58" s="392"/>
    </x:row>
    <x:row r="59">
      <x:c r="A59" s="392"/>
      <x:c r="B59" s="392"/>
      <x:c r="C59" s="392"/>
      <x:c r="D59" s="392"/>
      <x:c r="E59" s="392"/>
      <x:c r="F59" s="392"/>
      <x:c r="G59" s="392"/>
      <x:c r="H59" s="392"/>
      <x:c r="I59" s="392"/>
      <x:c r="J59" s="392"/>
      <x:c r="K59" s="392"/>
      <x:c r="L59" s="392"/>
      <x:c r="M59" s="392"/>
      <x:c r="N59" s="392"/>
      <x:c r="O59" s="392"/>
      <x:c r="P59" s="392"/>
      <x:c r="Q59" s="392"/>
      <x:c r="R59" s="392"/>
      <x:c r="S59" s="392"/>
      <x:c r="T59" s="392"/>
      <x:c r="U59" s="392"/>
      <x:c r="V59" s="348"/>
      <x:c r="W59" s="392"/>
      <x:c r="X59" s="375"/>
      <x:c r="Y59" s="392"/>
    </x:row>
    <x:row r="60">
      <x:c r="A60" s="392"/>
      <x:c r="B60" s="392"/>
      <x:c r="C60" s="392"/>
      <x:c r="D60" s="392"/>
      <x:c r="E60" s="392"/>
      <x:c r="F60" s="392"/>
      <x:c r="G60" s="392"/>
      <x:c r="H60" s="392"/>
      <x:c r="I60" s="392"/>
      <x:c r="J60" s="392"/>
      <x:c r="K60" s="392"/>
      <x:c r="L60" s="392"/>
      <x:c r="M60" s="392"/>
      <x:c r="N60" s="392"/>
      <x:c r="O60" s="392"/>
      <x:c r="P60" s="392"/>
      <x:c r="Q60" s="392"/>
      <x:c r="R60" s="392"/>
      <x:c r="S60" s="392"/>
      <x:c r="T60" s="392"/>
      <x:c r="U60" s="392"/>
      <x:c r="V60" s="348"/>
      <x:c r="W60" s="392"/>
      <x:c r="X60" s="375"/>
      <x:c r="Y60" s="392"/>
    </x:row>
    <x:row r="61">
      <x:c r="A61" s="392"/>
      <x:c r="B61" s="392"/>
      <x:c r="C61" s="392"/>
      <x:c r="D61" s="392"/>
      <x:c r="E61" s="392"/>
      <x:c r="F61" s="392"/>
      <x:c r="G61" s="392"/>
      <x:c r="H61" s="392"/>
      <x:c r="I61" s="392"/>
      <x:c r="J61" s="392"/>
      <x:c r="K61" s="392"/>
      <x:c r="L61" s="392"/>
      <x:c r="M61" s="392"/>
      <x:c r="N61" s="392"/>
      <x:c r="O61" s="392"/>
      <x:c r="P61" s="392"/>
      <x:c r="Q61" s="392"/>
      <x:c r="R61" s="392"/>
      <x:c r="S61" s="392"/>
      <x:c r="T61" s="392"/>
      <x:c r="U61" s="392"/>
      <x:c r="V61" s="348"/>
      <x:c r="W61" s="392"/>
      <x:c r="X61" s="375"/>
      <x:c r="Y61" s="392"/>
    </x:row>
    <x:row r="62">
      <x:c r="A62" s="392"/>
      <x:c r="B62" s="392"/>
      <x:c r="C62" s="392"/>
      <x:c r="D62" s="392"/>
      <x:c r="E62" s="392"/>
      <x:c r="F62" s="392"/>
      <x:c r="G62" s="392"/>
      <x:c r="H62" s="392"/>
      <x:c r="I62" s="392"/>
      <x:c r="J62" s="392"/>
      <x:c r="K62" s="392"/>
      <x:c r="L62" s="392"/>
      <x:c r="M62" s="392"/>
      <x:c r="N62" s="392"/>
      <x:c r="O62" s="392"/>
      <x:c r="P62" s="392"/>
      <x:c r="Q62" s="392"/>
      <x:c r="R62" s="392"/>
      <x:c r="S62" s="392"/>
      <x:c r="T62" s="392"/>
      <x:c r="U62" s="392"/>
      <x:c r="V62" s="348"/>
      <x:c r="W62" s="392"/>
      <x:c r="X62" s="375"/>
      <x:c r="Y62" s="392"/>
    </x:row>
    <x:row r="63">
      <x:c r="A63" s="392"/>
      <x:c r="B63" s="392"/>
      <x:c r="C63" s="392"/>
      <x:c r="D63" s="392"/>
      <x:c r="E63" s="392"/>
      <x:c r="F63" s="392"/>
      <x:c r="G63" s="392"/>
      <x:c r="H63" s="392"/>
      <x:c r="I63" s="392"/>
      <x:c r="J63" s="392"/>
      <x:c r="K63" s="392"/>
      <x:c r="L63" s="392"/>
      <x:c r="M63" s="392"/>
      <x:c r="N63" s="392"/>
      <x:c r="O63" s="392"/>
      <x:c r="P63" s="392"/>
      <x:c r="Q63" s="392"/>
      <x:c r="R63" s="392"/>
      <x:c r="S63" s="392"/>
      <x:c r="T63" s="392"/>
      <x:c r="U63" s="392"/>
      <x:c r="V63" s="348"/>
      <x:c r="W63" s="392"/>
      <x:c r="X63" s="375"/>
      <x:c r="Y63" s="392"/>
    </x:row>
    <x:row r="64">
      <x:c r="A64" s="392"/>
      <x:c r="B64" s="392"/>
      <x:c r="C64" s="392"/>
      <x:c r="D64" s="392"/>
      <x:c r="E64" s="392"/>
      <x:c r="F64" s="392"/>
      <x:c r="G64" s="392"/>
      <x:c r="H64" s="392"/>
      <x:c r="I64" s="392"/>
      <x:c r="J64" s="392"/>
      <x:c r="K64" s="392"/>
      <x:c r="L64" s="392"/>
      <x:c r="M64" s="392"/>
      <x:c r="N64" s="392"/>
      <x:c r="O64" s="392"/>
      <x:c r="P64" s="392"/>
      <x:c r="Q64" s="392"/>
      <x:c r="R64" s="392"/>
      <x:c r="S64" s="392"/>
      <x:c r="T64" s="392"/>
      <x:c r="U64" s="392"/>
      <x:c r="V64" s="348"/>
      <x:c r="W64" s="392"/>
      <x:c r="X64" s="375"/>
      <x:c r="Y64" s="392"/>
    </x:row>
    <x:row r="65">
      <x:c r="A65" s="392"/>
      <x:c r="B65" s="392"/>
      <x:c r="C65" s="392"/>
      <x:c r="D65" s="392"/>
      <x:c r="E65" s="392"/>
      <x:c r="F65" s="392"/>
      <x:c r="G65" s="392"/>
      <x:c r="H65" s="392"/>
      <x:c r="I65" s="392"/>
      <x:c r="J65" s="392"/>
      <x:c r="K65" s="392"/>
      <x:c r="L65" s="392"/>
      <x:c r="M65" s="392"/>
      <x:c r="N65" s="392"/>
      <x:c r="O65" s="392"/>
      <x:c r="P65" s="392"/>
      <x:c r="Q65" s="392"/>
      <x:c r="R65" s="392"/>
      <x:c r="S65" s="392"/>
      <x:c r="T65" s="392"/>
      <x:c r="U65" s="392"/>
      <x:c r="V65" s="348"/>
      <x:c r="W65" s="392"/>
      <x:c r="X65" s="375"/>
      <x:c r="Y65" s="392"/>
    </x:row>
    <x:row r="66">
      <x:c r="A66" s="392"/>
      <x:c r="B66" s="392"/>
      <x:c r="C66" s="392"/>
      <x:c r="D66" s="392"/>
      <x:c r="E66" s="392"/>
      <x:c r="F66" s="392"/>
      <x:c r="G66" s="392"/>
      <x:c r="H66" s="392"/>
      <x:c r="I66" s="392"/>
      <x:c r="J66" s="392"/>
      <x:c r="K66" s="392"/>
      <x:c r="L66" s="392"/>
      <x:c r="M66" s="392"/>
      <x:c r="N66" s="392"/>
      <x:c r="O66" s="392"/>
      <x:c r="P66" s="392"/>
      <x:c r="Q66" s="392"/>
      <x:c r="R66" s="392"/>
      <x:c r="S66" s="392"/>
      <x:c r="T66" s="392"/>
      <x:c r="U66" s="392"/>
      <x:c r="V66" s="348"/>
      <x:c r="W66" s="392"/>
      <x:c r="X66" s="375"/>
      <x:c r="Y66" s="392"/>
    </x:row>
    <x:row r="67">
      <x:c r="A67" s="392"/>
      <x:c r="B67" s="392"/>
      <x:c r="C67" s="392"/>
      <x:c r="D67" s="392"/>
      <x:c r="E67" s="392"/>
      <x:c r="F67" s="392"/>
      <x:c r="G67" s="392"/>
      <x:c r="H67" s="392"/>
      <x:c r="I67" s="392"/>
      <x:c r="J67" s="392"/>
      <x:c r="K67" s="392"/>
      <x:c r="L67" s="392"/>
      <x:c r="M67" s="392"/>
      <x:c r="N67" s="392"/>
      <x:c r="O67" s="392"/>
      <x:c r="P67" s="392"/>
      <x:c r="Q67" s="392"/>
      <x:c r="R67" s="392"/>
      <x:c r="S67" s="392"/>
      <x:c r="T67" s="392"/>
      <x:c r="U67" s="392"/>
      <x:c r="V67" s="392"/>
      <x:c r="W67" s="392"/>
      <x:c r="X67" s="375"/>
      <x:c r="Y67" s="392"/>
    </x:row>
    <x:row r="68">
      <x:c r="A68" s="392"/>
      <x:c r="B68" s="392"/>
      <x:c r="C68" s="392"/>
      <x:c r="D68" s="392"/>
      <x:c r="E68" s="392"/>
      <x:c r="F68" s="392"/>
      <x:c r="G68" s="392"/>
      <x:c r="H68" s="392"/>
      <x:c r="I68" s="392"/>
      <x:c r="J68" s="392"/>
      <x:c r="K68" s="392"/>
      <x:c r="L68" s="392"/>
      <x:c r="M68" s="392"/>
      <x:c r="N68" s="392"/>
      <x:c r="O68" s="392"/>
      <x:c r="P68" s="392"/>
      <x:c r="Q68" s="392"/>
      <x:c r="R68" s="392"/>
      <x:c r="S68" s="392"/>
      <x:c r="T68" s="392"/>
      <x:c r="U68" s="392"/>
      <x:c r="V68" s="392"/>
      <x:c r="W68" s="392"/>
      <x:c r="X68" s="375"/>
      <x:c r="Y68" s="392"/>
    </x:row>
    <x:row r="69">
      <x:c r="A69" s="392"/>
      <x:c r="B69" s="392"/>
      <x:c r="C69" s="392"/>
      <x:c r="D69" s="392"/>
      <x:c r="E69" s="392"/>
      <x:c r="F69" s="392"/>
      <x:c r="G69" s="392"/>
      <x:c r="H69" s="392"/>
      <x:c r="I69" s="392"/>
      <x:c r="J69" s="392"/>
      <x:c r="K69" s="392"/>
      <x:c r="L69" s="392"/>
      <x:c r="M69" s="392"/>
      <x:c r="N69" s="392"/>
      <x:c r="O69" s="392"/>
      <x:c r="P69" s="392"/>
      <x:c r="Q69" s="392"/>
      <x:c r="R69" s="392"/>
      <x:c r="S69" s="392"/>
      <x:c r="T69" s="392"/>
      <x:c r="U69" s="392"/>
      <x:c r="V69" s="392"/>
      <x:c r="W69" s="392"/>
      <x:c r="X69" s="375"/>
      <x:c r="Y69" s="392"/>
    </x:row>
    <x:row r="70">
      <x:c r="A70" s="392"/>
      <x:c r="B70" s="392"/>
      <x:c r="C70" s="392"/>
      <x:c r="D70" s="392"/>
      <x:c r="E70" s="392"/>
      <x:c r="F70" s="392"/>
      <x:c r="G70" s="392"/>
      <x:c r="H70" s="392"/>
      <x:c r="I70" s="392"/>
      <x:c r="J70" s="392"/>
      <x:c r="K70" s="392"/>
      <x:c r="L70" s="392"/>
      <x:c r="M70" s="392"/>
      <x:c r="N70" s="392"/>
      <x:c r="O70" s="392"/>
      <x:c r="P70" s="392"/>
      <x:c r="Q70" s="392"/>
      <x:c r="R70" s="392"/>
      <x:c r="S70" s="392"/>
      <x:c r="T70" s="392"/>
      <x:c r="U70" s="392"/>
      <x:c r="V70" s="392"/>
      <x:c r="W70" s="392"/>
      <x:c r="X70" s="375"/>
      <x:c r="Y70" s="392"/>
    </x:row>
    <x:row r="71">
      <x:c r="A71" s="392"/>
      <x:c r="B71" s="392"/>
      <x:c r="C71" s="392"/>
      <x:c r="D71" s="392"/>
      <x:c r="E71" s="392"/>
      <x:c r="F71" s="392"/>
      <x:c r="G71" s="392"/>
      <x:c r="H71" s="392"/>
      <x:c r="I71" s="392"/>
      <x:c r="J71" s="392"/>
      <x:c r="K71" s="392"/>
      <x:c r="L71" s="392"/>
      <x:c r="M71" s="392"/>
      <x:c r="N71" s="392"/>
      <x:c r="O71" s="392"/>
      <x:c r="P71" s="392"/>
      <x:c r="Q71" s="392"/>
      <x:c r="R71" s="392"/>
      <x:c r="S71" s="392"/>
      <x:c r="T71" s="392"/>
      <x:c r="U71" s="392"/>
      <x:c r="V71" s="392"/>
      <x:c r="W71" s="392"/>
      <x:c r="X71" s="375"/>
      <x:c r="Y71" s="392"/>
    </x:row>
    <x:row r="72">
      <x:c r="A72"/>
      <x:c r="B72"/>
      <x:c r="C72"/>
      <x:c r="D72"/>
      <x:c r="E72"/>
      <x:c r="F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 s="375"/>
      <x:c r="Y72"/>
    </x:row>
    <x:row r="73">
      <x:c r="A73"/>
      <x:c r="B73"/>
      <x:c r="C73"/>
      <x:c r="D73"/>
      <x:c r="E73"/>
      <x:c r="F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 s="375"/>
      <x:c r="Y73"/>
    </x:row>
    <x:row r="74">
      <x:c r="A74"/>
      <x:c r="B74"/>
      <x:c r="C74"/>
      <x:c r="D74"/>
      <x:c r="E74"/>
      <x:c r="F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 s="375"/>
      <x:c r="Y74"/>
    </x:row>
    <x:row r="75">
      <x:c r="A75"/>
      <x:c r="B75"/>
      <x:c r="C75"/>
      <x:c r="D75"/>
      <x:c r="E75"/>
      <x:c r="F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 s="375"/>
      <x:c r="Y75"/>
    </x:row>
    <x:row r="76">
      <x:c r="A76"/>
      <x:c r="B76"/>
      <x:c r="C76"/>
      <x:c r="D76"/>
      <x:c r="E76"/>
      <x:c r="F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 s="375"/>
      <x:c r="Y76"/>
    </x:row>
    <x:row r="77">
      <x:c r="A77"/>
      <x:c r="B77"/>
      <x:c r="C77"/>
      <x:c r="D77"/>
      <x:c r="E77"/>
      <x:c r="F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 s="375"/>
      <x:c r="Y77"/>
    </x:row>
    <x:row r="78">
      <x:c r="A78"/>
      <x:c r="B78"/>
      <x:c r="C78"/>
      <x:c r="D78"/>
      <x:c r="E78"/>
      <x:c r="F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 s="375"/>
      <x:c r="Y78"/>
    </x:row>
    <x:row r="79" ht="155" customHeight="1">
      <x:c r="A79"/>
      <x:c r="B79"/>
      <x:c r="C79"/>
      <x:c r="D79"/>
      <x:c r="E79"/>
      <x:c r="F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 s="375"/>
      <x:c r="Y79"/>
    </x:row>
    <x:row r="113" ht="155" customHeight="1"/>
    <x:row r="120" ht="155" customHeight="1"/>
    <x:row r="123" ht="155" customHeight="1"/>
    <x:row r="124" ht="34" customHeight="1"/>
    <x:row r="125" ht="34" customHeight="1"/>
    <x:row r="126" ht="34" customHeight="1"/>
    <x:row r="127" ht="34" customHeight="1"/>
    <x:row r="128" ht="155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3" ht="155" customHeight="1"/>
    <x:row r="146" ht="44" customHeight="1"/>
    <x:row r="147" ht="44" customHeight="1"/>
    <x:row r="148" ht="44" customHeight="1"/>
    <x:row r="149" ht="44" customHeight="1"/>
    <x:row r="150" ht="44" customHeight="1"/>
    <x:row r="151" ht="44" customHeight="1"/>
    <x:row r="152" ht="44" customHeight="1"/>
    <x:row r="153" ht="44" customHeight="1"/>
    <x:row r="154" ht="44" customHeight="1"/>
    <x:row r="155" ht="44" customHeight="1"/>
    <x:row r="156" ht="132" customHeight="1"/>
    <x:row r="157" ht="118" customHeight="1"/>
    <x:row r="158" ht="118" customHeight="1"/>
    <x:row r="159" ht="118" customHeight="1"/>
    <x:row r="160" ht="118" customHeight="1"/>
    <x:row r="161" ht="132" customHeight="1"/>
    <x:row r="162" ht="132" customHeight="1"/>
    <x:row r="163" ht="155" customHeight="1"/>
    <x:row r="164" ht="132" customHeight="1"/>
    <x:row r="165" ht="132" customHeight="1"/>
    <x:row r="166" ht="132" customHeight="1"/>
    <x:row r="167" ht="155" customHeight="1"/>
    <x:row r="168" ht="220" customHeight="1"/>
    <x:row r="169" ht="220" customHeight="1"/>
    <x:row r="172" ht="42" customHeight="1"/>
    <x:row r="173" ht="42" customHeight="1"/>
    <x:row r="174" ht="44" customHeight="1"/>
    <x:row r="175" ht="44" customHeight="1"/>
    <x:row r="176" ht="44" customHeight="1"/>
    <x:row r="177" ht="44" customHeight="1"/>
    <x:row r="178" ht="44" customHeight="1"/>
    <x:row r="179" ht="44" customHeight="1"/>
    <x:row r="180" ht="44" customHeight="1"/>
    <x:row r="181" ht="44" customHeight="1"/>
    <x:row r="182" ht="44" customHeight="1"/>
    <x:row r="183" ht="44" customHeight="1"/>
    <x:row r="184" ht="44" customHeight="1"/>
    <x:row r="185" ht="44" customHeight="1"/>
    <x:row r="186" ht="44" customHeight="1"/>
    <x:row r="187" ht="44" customHeight="1"/>
    <x:row r="188" ht="44" customHeight="1"/>
    <x:row r="189" ht="44" customHeight="1"/>
    <x:row r="190" ht="44" customHeight="1"/>
    <x:row r="191" ht="44" customHeight="1"/>
    <x:row r="192" ht="44" customHeight="1"/>
    <x:row r="193" ht="44" customHeight="1"/>
    <x:row r="194" ht="44" customHeight="1"/>
    <x:row r="195" ht="44" customHeight="1"/>
    <x:row r="196" ht="44" customHeight="1"/>
    <x:row r="197" ht="44" customHeight="1"/>
    <x:row r="198" ht="44" customHeight="1"/>
    <x:row r="199" ht="44" customHeight="1"/>
    <x:row r="200" ht="44" customHeight="1"/>
    <x:row r="201" ht="44" customHeight="1"/>
    <x:row r="202" ht="44" customHeight="1"/>
    <x:row r="203" ht="44" customHeight="1"/>
    <x:row r="204" ht="44" customHeight="1"/>
    <x:row r="240" ht="255" customHeight="1"/>
    <x:row r="281" ht="66" customHeight="1"/>
    <x:row r="282" ht="66" customHeight="1"/>
    <x:row r="283" ht="66" customHeight="1"/>
    <x:row r="284" ht="66" customHeight="1"/>
    <x:row r="285" ht="66" customHeight="1"/>
    <x:row r="286" ht="66" customHeight="1"/>
    <x:row r="287" ht="56" customHeight="1"/>
    <x:row r="301" ht="132" customHeight="1"/>
    <x:row r="302" ht="54" customHeight="1"/>
    <x:row r="303" ht="54" customHeight="1"/>
    <x:row r="304" ht="54" customHeight="1"/>
    <x:row r="305" ht="54" customHeight="1"/>
    <x:row r="306" ht="54" customHeight="1"/>
    <x:row r="307" ht="54" customHeight="1"/>
    <x:row r="308" ht="54" customHeight="1"/>
    <x:row r="309" ht="54" customHeight="1"/>
    <x:row r="310" ht="54" customHeight="1"/>
    <x:row r="311" ht="72" customHeight="1"/>
    <x:row r="312" ht="54" customHeight="1"/>
    <x:row r="313" ht="54" customHeight="1"/>
    <x:row r="314" ht="54" customHeight="1"/>
    <x:row r="315" ht="54" customHeight="1"/>
    <x:row r="316" ht="54" customHeight="1"/>
    <x:row r="317" ht="54" customHeight="1"/>
    <x:row r="318" ht="54" customHeight="1"/>
    <x:row r="319" ht="54" customHeight="1"/>
    <x:row r="320" ht="54" customHeight="1"/>
    <x:row r="321" ht="54" customHeight="1"/>
    <x:row r="322" ht="54" customHeight="1"/>
    <x:row r="323" ht="54" customHeight="1"/>
    <x:row r="324" ht="54" customHeight="1"/>
    <x:row r="325" ht="54" customHeight="1"/>
    <x:row r="326" ht="54" customHeight="1"/>
    <x:row r="327" ht="54" customHeight="1"/>
    <x:row r="328" ht="54" customHeight="1"/>
    <x:row r="329" ht="54" customHeight="1"/>
    <x:row r="330" ht="54" customHeight="1"/>
    <x:row r="331" ht="54" customHeight="1"/>
    <x:row r="332" ht="54" customHeight="1"/>
    <x:row r="333" ht="54" customHeight="1"/>
    <x:row r="334" ht="54" customHeight="1"/>
    <x:row r="335" ht="54" customHeight="1"/>
    <x:row r="336" ht="54" customHeight="1"/>
    <x:row r="337" ht="54" customHeight="1"/>
    <x:row r="338" ht="54" customHeight="1"/>
    <x:row r="339" ht="54" customHeight="1"/>
    <x:row r="340" ht="54" customHeight="1"/>
    <x:row r="341" ht="54" customHeight="1"/>
    <x:row r="342" ht="54" customHeight="1"/>
    <x:row r="343" ht="54" customHeight="1"/>
    <x:row r="344" ht="54" customHeight="1"/>
    <x:row r="345" ht="54" customHeight="1"/>
    <x:row r="346" ht="54" customHeight="1"/>
    <x:row r="347" ht="54" customHeight="1"/>
    <x:row r="348" ht="54" customHeight="1"/>
    <x:row r="349" ht="54" customHeight="1"/>
    <x:row r="350" ht="54" customHeight="1"/>
    <x:row r="351" ht="54" customHeight="1"/>
    <x:row r="352" ht="54" customHeight="1"/>
    <x:row r="353" ht="54" customHeight="1"/>
    <x:row r="354" ht="54" customHeight="1"/>
    <x:row r="355" ht="54" customHeight="1"/>
    <x:row r="356" ht="54" customHeight="1"/>
    <x:row r="357" ht="54" customHeight="1"/>
    <x:row r="358" ht="54" customHeight="1"/>
    <x:row r="359" ht="72" customHeight="1"/>
    <x:row r="360" ht="54" customHeight="1"/>
    <x:row r="361" ht="54" customHeight="1"/>
    <x:row r="362" ht="54" customHeight="1"/>
    <x:row r="363" ht="54" customHeight="1"/>
    <x:row r="364" ht="54" customHeight="1"/>
    <x:row r="365" ht="54" customHeight="1"/>
    <x:row r="366" ht="54" customHeight="1"/>
    <x:row r="367" ht="54" customHeight="1"/>
    <x:row r="368" ht="72" customHeight="1"/>
    <x:row r="369" ht="54" customHeight="1"/>
    <x:row r="370" ht="54" customHeight="1"/>
    <x:row r="371" ht="54" customHeight="1"/>
    <x:row r="372" ht="54" customHeight="1"/>
    <x:row r="373" ht="54" customHeight="1"/>
    <x:row r="374" ht="54" customHeight="1"/>
    <x:row r="375" ht="54" customHeight="1"/>
    <x:row r="376" ht="54" customHeight="1"/>
    <x:row r="377" ht="54" customHeight="1"/>
    <x:row r="378" ht="54" customHeight="1"/>
    <x:row r="379" ht="54" customHeight="1"/>
    <x:row r="380" ht="54" customHeight="1"/>
    <x:row r="381" ht="54" customHeight="1"/>
    <x:row r="382" ht="54" customHeight="1"/>
    <x:row r="383" ht="54" customHeight="1"/>
    <x:row r="384" ht="54" customHeight="1"/>
    <x:row r="385" ht="54" customHeight="1"/>
    <x:row r="386" ht="54" customHeight="1"/>
    <x:row r="387" ht="54" customHeight="1"/>
    <x:row r="388" ht="54" customHeight="1"/>
    <x:row r="389" ht="54" customHeight="1"/>
    <x:row r="390" ht="54" customHeight="1"/>
    <x:row r="391" ht="54" customHeight="1"/>
    <x:row r="392" ht="54" customHeight="1"/>
    <x:row r="393" ht="54" customHeight="1"/>
    <x:row r="394" ht="54" customHeight="1"/>
    <x:row r="395" ht="54" customHeight="1"/>
    <x:row r="396" ht="54" customHeight="1"/>
    <x:row r="397" ht="54" customHeight="1"/>
    <x:row r="398" ht="54" customHeight="1"/>
    <x:row r="399" ht="54" customHeight="1"/>
    <x:row r="400" ht="54" customHeight="1"/>
    <x:row r="401" ht="54" customHeight="1"/>
    <x:row r="402" ht="54" customHeight="1"/>
    <x:row r="403" ht="54" customHeight="1"/>
    <x:row r="404" ht="54" customHeight="1"/>
    <x:row r="405" ht="54" customHeight="1"/>
    <x:row r="406" ht="54" customHeight="1"/>
    <x:row r="407" ht="54" customHeight="1"/>
    <x:row r="408" ht="54" customHeight="1"/>
    <x:row r="409" ht="54" customHeight="1"/>
    <x:row r="410" ht="54" customHeight="1"/>
    <x:row r="411" ht="54" customHeight="1"/>
    <x:row r="412" ht="54" customHeight="1"/>
    <x:row r="413" ht="76" customHeight="1"/>
    <x:row r="414" ht="72" customHeight="1"/>
    <x:row r="415" ht="72" customHeight="1"/>
    <x:row r="416" ht="72" customHeight="1"/>
    <x:row r="424" ht="85" customHeight="1"/>
    <x:row r="425" ht="85" customHeight="1"/>
    <x:row r="426" ht="85" customHeight="1"/>
    <x:row r="427" ht="85" customHeight="1"/>
    <x:row r="429" ht="120" customHeight="1"/>
  </x:sheetData>
  <x:mergeCells>
    <x:mergeCell ref="A1:X2"/>
    <x:mergeCell ref="A3:X3"/>
  </x:mergeCells>
  <x:conditionalFormatting sqref="S6:S79">
    <x:cfRule type="containsText" dxfId="0" priority="1" operator="containsText" text="重复"/>
  </x:conditionalFormatting>
  <x:conditionalFormatting sqref="K6:K79">
    <x:cfRule type="containsText" dxfId="1" priority="2" operator="containsText" text="已完成"/>
    <x:cfRule type="containsText" dxfId="2" priority="3" operator="containsText" text="待制作"/>
  </x:conditionalFormatting>
  <x:dataValidations count="4">
    <x:dataValidation type="list" allowBlank="1" showDropDown="0" showInputMessage="0" showErrorMessage="0" sqref="C6:C79">
      <x:formula1>"角色,敌人,武器,道具,场景,场景道具,基地资产包,UI,特效,音频"</x:formula1>
    </x:dataValidation>
    <x:dataValidation type="list" allowBlank="1" showDropDown="0" showInputMessage="0" showErrorMessage="0" sqref="K6:K79">
      <x:formula1>"待制作,程序占位,已完成,原型已接入,弃用,旧资产已从正式基地移除,正式美术已接入,已优化并正式接入,Blender源已完成,已导入；优化完成,已从运行场景移除,白盒组件"</x:formula1>
    </x:dataValidation>
    <x:dataValidation type="list" allowBlank="1" showDropDown="0" showInputMessage="0" showErrorMessage="0" sqref="L6:L79">
      <x:formula1>"P0,P1,P2,P3"</x:formula1>
    </x:dataValidation>
    <x:dataValidation type="list" sqref="C6:C14">
      <x:formula1>"音乐"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d9f0a6e85443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70" customWidth="1"/>
    <x:col min="6" max="6" width="48" customWidth="1"/>
    <x:col min="7" max="7" width="12" customWidth="1"/>
  </x:cols>
  <x:sheetData>
    <x:row r="1">
      <x:c r="A1" s="317" t="str">
        <x:v>音乐账本变更日志</x:v>
      </x:c>
    </x:row>
    <x:row r="2"/>
    <x:row r="3">
      <x:c r="A3" s="318" t="inlineStr">
        <x:is>
          <x:t xml:space="preserve">只记录本账本的域内变更；跨域与全局变更记录在主账本《版本记录》</x:t>
        </x:is>
      </x:c>
    </x:row>
    <x:row r="5">
      <x:c r="A5" s="298" t="inlineStr">
        <x:is>
          <x:t xml:space="preserve">台账版本</x:t>
        </x:is>
      </x:c>
      <x:c r="B5" s="298" t="inlineStr">
        <x:is>
          <x:t xml:space="preserve">日期</x:t>
        </x:is>
      </x:c>
      <x:c r="C5" s="298" t="inlineStr">
        <x:is>
          <x:t xml:space="preserve">变更类型</x:t>
        </x:is>
      </x:c>
      <x:c r="D5" s="298" t="inlineStr">
        <x:is>
          <x:t xml:space="preserve">范围</x:t>
        </x:is>
      </x:c>
      <x:c r="E5" s="298" t="inlineStr">
        <x:is>
          <x:t xml:space="preserve">说明</x:t>
        </x:is>
      </x:c>
      <x:c r="F5" s="298" t="inlineStr">
        <x:is>
          <x:t xml:space="preserve">兼容性</x:t>
        </x:is>
      </x:c>
      <x:c r="G5" s="298" t="inlineStr">
        <x:is>
          <x:t xml:space="preserve">负责人</x:t>
        </x:is>
      </x:c>
    </x:row>
    <x:row r="6" ht="46" customHeight="1">
      <x:c r="A6" s="301" t="str">
        <x:v>v0.2.0</x:v>
      </x:c>
      <x:c r="B6" s="301" t="str">
        <x:v>2026-09-23</x:v>
      </x:c>
      <x:c r="C6" s="301" t="str">
        <x:v>P2 独立域拆分</x:v>
      </x:c>
      <x:c r="D6" s="301" t="str">
        <x:v>音乐</x:v>
      </x:c>
      <x:c r="E6" s="301" t="str">
        <x:v>由表现资源账本拆出 9 条音乐资产；本账本接管大类=音乐，匹配独立 Skill 与验收流程。</x:v>
      </x:c>
      <x:c r="F6" s="301" t="str">
        <x:v>AssetID、路径、SHA-256、制作状态与授权信息不变；仅账本归属和大类名称迁移。</x:v>
      </x:c>
      <x:c r="G6" s="301" t="str">
        <x:v>Codex</x:v>
      </x:c>
    </x:row>
  </x:sheetData>
  <x:mergeCells>
    <x:mergeCell ref="A3:G3"/>
    <x:mergeCell ref="A1:G2"/>
  </x:mergeCells>
  <x:pageMargins left="0.7" right="0.7" top="0.75" bottom="0.75" header="0.3" footer="0.3"/>
</x:worksheet>
</file>