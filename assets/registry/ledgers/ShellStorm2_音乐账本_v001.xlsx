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域变更日志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2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Linux Libertine G"/>
      <family val="2"/>
      <b val="1"/>
      <color rgb="FF17563A"/>
      <sz val="11"/>
    </font>
    <font>
      <name val="Linux Libertine G"/>
      <family val="2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17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7" fillId="0" borderId="4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164" fontId="17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7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17" fillId="0" borderId="3" applyAlignment="1" pivotButton="0" quotePrefix="0" xfId="20">
      <alignment horizontal="general" vertical="top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7" fillId="0" borderId="4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164" fontId="17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7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6"/>
          <bgColor rgb="FF000000"/>
        </patternFill>
      </fill>
    </dxf>
    <dxf>
      <fill>
        <patternFill patternType="solid">
          <fgColor rgb="FF8A4B08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29" min="1" max="1"/>
    <col width="16.71" customWidth="1" style="29" min="2" max="3"/>
    <col width="3.58" customWidth="1" style="29" min="4" max="4"/>
    <col width="9.550000000000001" customWidth="1" style="29" min="5" max="5"/>
    <col width="35.81" customWidth="1" style="29" min="6" max="6"/>
    <col width="50.13" customWidth="1" style="29" min="7" max="7"/>
    <col width="3.58" customWidth="1" style="29" min="8" max="8"/>
    <col width="25.07" customWidth="1" style="29" min="9" max="10"/>
  </cols>
  <sheetData>
    <row r="1" ht="24.75" customHeight="1" s="30">
      <c r="A1" s="31" t="inlineStr">
        <is>
          <t>SHELLSTORM 2 · 音乐资产账本 v0.1</t>
        </is>
      </c>
    </row>
    <row r="2" ht="12" customHeight="1" s="30"/>
    <row r="3" ht="22.5" customHeight="1" s="30">
      <c r="A3" s="32" t="inlineStr">
        <is>
          <t>归属域=音乐｜覆盖大类=音乐｜AssetID 前缀=AUD｜主账本（总目录）=assets/registry/ShellStorm2_美术资产台账_v001.xlsx；本账本可独立并行编辑，跨域契约见主账本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</row>
    <row r="5" ht="27.6" customHeight="1" s="30">
      <c r="A5" s="34" t="inlineStr">
        <is>
          <t>资产总数</t>
        </is>
      </c>
      <c r="B5" s="34" t="n"/>
      <c r="C5" s="34" t="inlineStr">
        <is>
          <t>已完成/已接入</t>
        </is>
      </c>
      <c r="D5" s="34" t="n"/>
      <c r="E5" s="34" t="inlineStr">
        <is>
          <t>待制作/程序占位</t>
        </is>
      </c>
      <c r="F5" s="34" t="n"/>
      <c r="G5" s="34" t="inlineStr">
        <is>
          <t>重复警报</t>
        </is>
      </c>
      <c r="H5" s="34" t="n"/>
      <c r="I5" s="34" t="inlineStr">
        <is>
          <t>域内专表 / 3D Prefab 分页</t>
        </is>
      </c>
      <c r="J5" s="34" t="n"/>
    </row>
    <row r="6" ht="42" customHeight="1" s="30">
      <c r="A6" s="35">
        <f>COUNTA('资产主表'!$A$6:$A$14)</f>
        <v/>
      </c>
      <c r="B6" s="33" t="n"/>
      <c r="C6" s="35">
        <f>COUNTIF('资产主表'!$K$6:$K$14,"已完成")+COUNTIF('资产主表'!$K$6:$K$14,"原型已接入")+COUNTIF('资产主表'!$K$6:$K$14,"正式美术已接入")+COUNTIF('资产主表'!$K$6:$K$14,"已优化并正式接入")+COUNTIF('资产主表'!$K$6:$K$14,"Blender源已完成")+COUNTIF('资产主表'!$K$6:$K$14,"已导入；优化完成")+COUNTIF('资产主表'!$K$6:$K$14,"白模源已完成；QA PASS")</f>
        <v/>
      </c>
      <c r="D6" s="33" t="n"/>
      <c r="E6" s="35">
        <f>COUNTIF('资产主表'!$K$6:$K$14,"待制作")+COUNTIF('资产主表'!$K$6:$K$14,"程序占位")</f>
        <v/>
      </c>
      <c r="F6" s="33" t="n"/>
      <c r="G6" s="35">
        <f>COUNTIF('资产主表'!$S$6:$S$14,"重复")</f>
        <v/>
      </c>
      <c r="H6" s="33" t="n"/>
      <c r="I6" s="34" t="inlineStr">
        <is>
          <t>域内专表：无　|　3D Prefab 分页：无</t>
        </is>
      </c>
    </row>
    <row r="7" ht="15" customHeight="1" s="30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</row>
    <row r="8" ht="15" customHeight="1" s="30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</row>
    <row r="9" ht="31.5" customHeight="1" s="30">
      <c r="A9" s="36" t="inlineStr">
        <is>
          <t>大类</t>
        </is>
      </c>
      <c r="B9" s="36" t="inlineStr">
        <is>
          <t>资产数</t>
        </is>
      </c>
      <c r="C9" s="36" t="inlineStr">
        <is>
          <t>完成/接入</t>
        </is>
      </c>
      <c r="D9" s="36" t="n"/>
      <c r="E9" s="37" t="inlineStr">
        <is>
          <t>本账本只登记上列大类；跨域搬运资产须同步主账本《分类与编码》并重跑门禁</t>
        </is>
      </c>
      <c r="F9" s="38" t="n"/>
      <c r="G9" s="38" t="n"/>
      <c r="H9" s="38" t="n"/>
      <c r="I9" s="38" t="n"/>
      <c r="J9" s="39" t="n"/>
    </row>
    <row r="10" ht="21.75" customHeight="1" s="30">
      <c r="A10" s="40" t="inlineStr">
        <is>
          <t>音乐</t>
        </is>
      </c>
      <c r="B10" s="40">
        <f>COUNTIF('资产主表'!$C$6:$C$14,A10)</f>
        <v/>
      </c>
      <c r="C10" s="40">
        <f>SUMPRODUCT(('资产主表'!$C$6:$C$14=A10)*(('资产主表'!$K$6:$K$14="已完成")+('资产主表'!$K$6:$K$14="原型已接入")+('资产主表'!$K$6:$K$14="正式美术已接入")+('资产主表'!$K$6:$K$14="已优化并正式接入")+('资产主表'!$K$6:$K$14="Blender源已完成")+('资产主表'!$K$6:$K$14="已导入；优化完成")+('资产主表'!$K$6:$K$14="白模源已完成；QA PASS")))</f>
        <v/>
      </c>
      <c r="D10" s="40" t="n"/>
      <c r="E10" s="40" t="n"/>
      <c r="F10" s="40" t="n"/>
      <c r="G10" s="40" t="n"/>
      <c r="H10" s="40" t="n"/>
      <c r="I10" s="40" t="n"/>
      <c r="J10" s="40" t="n"/>
    </row>
    <row r="11" ht="21.75" customHeight="1" s="30">
      <c r="A11" s="40" t="inlineStr">
        <is>
          <t>合计</t>
        </is>
      </c>
      <c r="B11" s="40">
        <f>COUNTIF('资产主表'!$C$6:$C$14,A11)</f>
        <v/>
      </c>
      <c r="C11" s="40">
        <f>SUMPRODUCT(('资产主表'!$C$6:$C$14=A11)*(('资产主表'!$K$6:$K$14="已完成")+('资产主表'!$K$6:$K$14="原型已接入")+('资产主表'!$K$6:$K$14="正式美术已接入")+('资产主表'!$K$6:$K$14="已优化并正式接入")+('资产主表'!$K$6:$K$14="Blender源已完成")+('资产主表'!$K$6:$K$14="已导入；优化完成")+('资产主表'!$K$6:$K$14="白模源已完成；QA PASS")))</f>
        <v/>
      </c>
      <c r="D11" s="40" t="n"/>
      <c r="E11" s="40" t="n"/>
      <c r="F11" s="40" t="n"/>
      <c r="G11" s="40" t="n"/>
      <c r="H11" s="40" t="n"/>
      <c r="I11" s="40" t="n"/>
      <c r="J11" s="40" t="n"/>
    </row>
    <row r="12" ht="15" customHeight="1" s="30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 ht="15" customHeight="1" s="30">
      <c r="A13" s="41" t="n"/>
      <c r="B13" s="41" t="n"/>
      <c r="C13" s="41" t="n"/>
      <c r="D13" s="33" t="n"/>
      <c r="E13" s="42" t="n"/>
      <c r="F13" s="41" t="n"/>
      <c r="G13" s="41" t="n"/>
      <c r="H13" s="33" t="n"/>
      <c r="I13" s="33" t="n"/>
      <c r="J13" s="33" t="n"/>
    </row>
    <row r="14" ht="15" customHeight="1" s="30">
      <c r="A14" s="41" t="n"/>
      <c r="B14" s="41" t="n"/>
      <c r="C14" s="41" t="n"/>
      <c r="D14" s="33" t="n"/>
      <c r="E14" s="42" t="n"/>
      <c r="F14" s="41" t="n"/>
      <c r="G14" s="41" t="n"/>
      <c r="H14" s="33" t="n"/>
      <c r="I14" s="33" t="n"/>
      <c r="J14" s="33" t="n"/>
    </row>
    <row r="15" ht="15" customHeight="1" s="30">
      <c r="A15" s="41" t="n"/>
      <c r="B15" s="41" t="n"/>
      <c r="C15" s="41" t="n"/>
      <c r="D15" s="33" t="n"/>
      <c r="E15" s="33" t="n"/>
      <c r="F15" s="33" t="n"/>
      <c r="G15" s="33" t="n"/>
      <c r="H15" s="33" t="n"/>
      <c r="I15" s="33" t="n"/>
      <c r="J15" s="33" t="n"/>
    </row>
    <row r="16" ht="15" customHeight="1" s="30">
      <c r="A16" s="41" t="n"/>
      <c r="B16" s="41" t="n"/>
      <c r="C16" s="41" t="n"/>
      <c r="D16" s="33" t="n"/>
      <c r="E16" s="33" t="n"/>
      <c r="F16" s="33" t="n"/>
      <c r="G16" s="33" t="n"/>
      <c r="H16" s="33" t="n"/>
      <c r="I16" s="33" t="n"/>
      <c r="J16" s="33" t="n"/>
    </row>
    <row r="17" ht="15" customHeight="1" s="30">
      <c r="A17" s="41" t="n"/>
      <c r="B17" s="41" t="n"/>
      <c r="C17" s="41" t="n"/>
      <c r="D17" s="33" t="n"/>
      <c r="E17" s="33" t="n"/>
      <c r="F17" s="33" t="n"/>
      <c r="G17" s="33" t="n"/>
      <c r="H17" s="33" t="n"/>
      <c r="I17" s="33" t="n"/>
      <c r="J17" s="33" t="n"/>
    </row>
    <row r="18" ht="15" customHeight="1" s="30">
      <c r="A18" s="41" t="n"/>
      <c r="B18" s="41" t="n"/>
      <c r="C18" s="41" t="n"/>
      <c r="D18" s="33" t="n"/>
      <c r="E18" s="33" t="n"/>
      <c r="F18" s="33" t="n"/>
      <c r="G18" s="33" t="n"/>
      <c r="H18" s="33" t="n"/>
      <c r="I18" s="33" t="n"/>
      <c r="J18" s="33" t="n"/>
    </row>
    <row r="19" ht="15" customHeight="1" s="3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 ht="15" customHeight="1" s="3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29" min="1" max="1"/>
    <col width="74" customWidth="1" style="29" min="2" max="2"/>
    <col width="40.58" customWidth="1" style="29" min="3" max="3"/>
    <col width="28.65" customWidth="1" style="29" min="4" max="6"/>
  </cols>
  <sheetData>
    <row r="1" ht="15" customHeight="1" s="30">
      <c r="A1" s="43" t="inlineStr">
        <is>
          <t>本账本说明 · 音乐</t>
        </is>
      </c>
    </row>
    <row r="2" ht="15" customHeight="1" s="30"/>
    <row r="3" ht="15" customHeight="1" s="30">
      <c r="A3" s="32" t="inlineStr">
        <is>
          <t>本表是分账本自描述；机器可读真源为 assets/registry/ledger_index.json，二者不一致时以 JSON 为准</t>
        </is>
      </c>
    </row>
    <row r="5" ht="15" customHeight="1" s="30">
      <c r="A5" s="36" t="inlineStr">
        <is>
          <t>项</t>
        </is>
      </c>
      <c r="B5" s="36" t="inlineStr">
        <is>
          <t>值</t>
        </is>
      </c>
      <c r="C5" s="36" t="n"/>
      <c r="D5" s="36" t="n"/>
      <c r="E5" s="36" t="n"/>
      <c r="F5" s="36" t="n"/>
    </row>
    <row r="6" ht="30" customHeight="1" s="30">
      <c r="A6" s="40" t="inlineStr">
        <is>
          <t>账本归属域</t>
        </is>
      </c>
      <c r="B6" s="40" t="inlineStr">
        <is>
          <t>音乐</t>
        </is>
      </c>
      <c r="C6" s="40" t="n"/>
      <c r="D6" s="40" t="n"/>
      <c r="E6" s="40" t="n"/>
      <c r="F6" s="40" t="n"/>
    </row>
    <row r="7" ht="30" customHeight="1" s="30">
      <c r="A7" s="40" t="inlineStr">
        <is>
          <t>分账本文件</t>
        </is>
      </c>
      <c r="B7" s="44" t="inlineStr">
        <is>
          <t>assets/registry/ledgers/ShellStorm2_音乐账本_v001.xlsx</t>
        </is>
      </c>
      <c r="C7" s="40" t="n"/>
      <c r="D7" s="40" t="n"/>
      <c r="E7" s="40" t="n"/>
      <c r="F7" s="40" t="n"/>
    </row>
    <row r="8" ht="30" customHeight="1" s="30">
      <c r="A8" s="40" t="inlineStr">
        <is>
          <t>覆盖大类</t>
        </is>
      </c>
      <c r="B8" s="40" t="inlineStr">
        <is>
          <t>音乐</t>
        </is>
      </c>
      <c r="C8" s="40" t="n"/>
      <c r="D8" s="40" t="n"/>
      <c r="E8" s="40" t="n"/>
      <c r="F8" s="40" t="n"/>
    </row>
    <row r="9" ht="30" customHeight="1" s="30">
      <c r="A9" s="44" t="inlineStr">
        <is>
          <t>AssetID 前缀</t>
        </is>
      </c>
      <c r="B9" s="44" t="inlineStr">
        <is>
          <t>AUD</t>
        </is>
      </c>
      <c r="C9" s="40" t="n"/>
      <c r="D9" s="40" t="n"/>
      <c r="E9" s="40" t="n"/>
      <c r="F9" s="40" t="n"/>
    </row>
    <row r="10" ht="30" customHeight="1" s="30">
      <c r="A10" s="40" t="inlineStr">
        <is>
          <t>域内专表</t>
        </is>
      </c>
      <c r="B10" s="40" t="inlineStr">
        <is>
          <t>无</t>
        </is>
      </c>
      <c r="C10" s="40" t="n"/>
      <c r="D10" s="40" t="n"/>
      <c r="E10" s="40" t="n"/>
      <c r="F10" s="40" t="n"/>
    </row>
    <row r="11" ht="30" customHeight="1" s="30">
      <c r="A11" s="44" t="inlineStr">
        <is>
          <t>3D Prefab 分页</t>
        </is>
      </c>
      <c r="B11" s="40" t="inlineStr">
        <is>
          <t>无</t>
        </is>
      </c>
      <c r="C11" s="40" t="n"/>
      <c r="D11" s="40" t="n"/>
      <c r="E11" s="40" t="n"/>
      <c r="F11" s="40" t="n"/>
    </row>
    <row r="12" ht="30" customHeight="1" s="30">
      <c r="A12" s="40" t="inlineStr">
        <is>
          <t>动画登记表</t>
        </is>
      </c>
      <c r="B12" s="40" t="inlineStr">
        <is>
          <t>无</t>
        </is>
      </c>
      <c r="C12" s="40" t="n"/>
      <c r="D12" s="40" t="n"/>
      <c r="E12" s="40" t="n"/>
      <c r="F12" s="40" t="n"/>
    </row>
    <row r="13" ht="30" customHeight="1" s="30">
      <c r="A13" s="40" t="inlineStr">
        <is>
          <t>主账本（总目录）</t>
        </is>
      </c>
      <c r="B13" s="44" t="inlineStr">
        <is>
          <t>assets/registry/ShellStorm2_美术资产台账_v001.xlsx</t>
        </is>
      </c>
      <c r="C13" s="40" t="n"/>
      <c r="D13" s="40" t="n"/>
      <c r="E13" s="40" t="n"/>
      <c r="F13" s="40" t="n"/>
    </row>
    <row r="14" ht="30" customHeight="1" s="30">
      <c r="A14" s="40" t="inlineStr">
        <is>
          <t>跨域契约</t>
        </is>
      </c>
      <c r="B14" s="40" t="inlineStr">
        <is>
          <t>分类与编码 / 命名与查重 / 版本记录 / Skill 清单 / 3D Prefab 总控 —— 全部只在主账本维护</t>
        </is>
      </c>
      <c r="C14" s="40" t="n"/>
      <c r="D14" s="40" t="n"/>
      <c r="E14" s="40" t="n"/>
      <c r="F14" s="40" t="n"/>
    </row>
    <row r="15" ht="30" customHeight="1" s="30">
      <c r="A15" s="40" t="inlineStr">
        <is>
          <t>首选制作 Skill</t>
        </is>
      </c>
      <c r="B15" s="44" t="inlineStr">
        <is>
          <t>music-asset-pipeline</t>
        </is>
      </c>
      <c r="C15" s="40" t="n"/>
      <c r="D15" s="40" t="n"/>
      <c r="E15" s="40" t="n"/>
      <c r="F15" s="40" t="n"/>
    </row>
    <row r="16" ht="30" customHeight="1" s="30">
      <c r="A16" s="40" t="inlineStr">
        <is>
          <t>协作 Skill</t>
        </is>
      </c>
      <c r="B16" s="40" t="inlineStr">
        <is>
          <t>无</t>
        </is>
      </c>
      <c r="C16" s="40" t="n"/>
      <c r="D16" s="40" t="n"/>
      <c r="E16" s="40" t="n"/>
      <c r="F16" s="40" t="n"/>
    </row>
    <row r="17" ht="30" customHeight="1" s="30">
      <c r="A17" s="40" t="inlineStr">
        <is>
          <t>负责人</t>
        </is>
      </c>
      <c r="B17" s="40" t="inlineStr">
        <is>
          <t>待分配</t>
        </is>
      </c>
      <c r="C17" s="40" t="n"/>
      <c r="D17" s="40" t="n"/>
      <c r="E17" s="40" t="n"/>
      <c r="F17" s="40" t="n"/>
    </row>
    <row r="18" ht="30" customHeight="1" s="30">
      <c r="A18" s="40" t="inlineStr">
        <is>
          <t>登记范围</t>
        </is>
      </c>
      <c r="B18" s="40" t="inlineStr">
        <is>
          <t>场景 BGM、A/B 曲目、循环与 Music 总线资产；曲目映射由 MusicCatalog 持有，播放生命周期由 MusicManager 持有。</t>
        </is>
      </c>
      <c r="C18" s="40" t="n"/>
      <c r="D18" s="40" t="n"/>
      <c r="E18" s="40" t="n"/>
      <c r="F18" s="40" t="n"/>
    </row>
    <row r="19" ht="30" customHeight="1" s="30">
      <c r="A19" s="40" t="inlineStr">
        <is>
          <t>编辑边界</t>
        </is>
      </c>
      <c r="B19" s="4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0" t="n"/>
      <c r="D19" s="40" t="n"/>
      <c r="E19" s="40" t="n"/>
      <c r="F19" s="40" t="n"/>
    </row>
    <row r="20" ht="30" customHeight="1" s="30">
      <c r="A20" s="40" t="inlineStr">
        <is>
          <t>登记口径</t>
        </is>
      </c>
      <c r="B20" s="4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0" t="n"/>
      <c r="D20" s="40" t="n"/>
      <c r="E20" s="40" t="n"/>
      <c r="F20" s="40" t="n"/>
    </row>
    <row r="21" ht="30" customHeight="1" s="30">
      <c r="A21" s="40" t="inlineStr">
        <is>
          <t>门禁</t>
        </is>
      </c>
      <c r="B21" s="44" t="inlineStr">
        <is>
          <t>python3 scripts/check_media_asset_domains.py；python3 scripts/check_asset_registry.py --scope structure</t>
        </is>
      </c>
      <c r="C21" s="40" t="n"/>
      <c r="D21" s="40" t="n"/>
      <c r="E21" s="40" t="n"/>
      <c r="F21" s="40" t="n"/>
    </row>
    <row r="22" ht="30" customHeight="1" s="30">
      <c r="A22" s="40" t="inlineStr">
        <is>
          <t>无损基线</t>
        </is>
      </c>
      <c r="B22" s="44" t="inlineStr">
        <is>
          <t>assets/registry/ledger_split_baseline.json + assets/registry/media_domain_split_manifest.json；门禁断言 AssetID/路径/哈希/状态不丢失</t>
        </is>
      </c>
      <c r="C22" s="40" t="n"/>
      <c r="D22" s="40" t="n"/>
      <c r="E22" s="40" t="n"/>
      <c r="F22" s="40" t="n"/>
    </row>
    <row r="23" ht="30" customHeight="1" s="30">
      <c r="A23" s="40" t="inlineStr">
        <is>
          <t>快照日期</t>
        </is>
      </c>
      <c r="B23" s="44" t="inlineStr">
        <is>
          <t>2026-09-23</t>
        </is>
      </c>
      <c r="C23" s="40" t="n"/>
      <c r="D23" s="40" t="n"/>
      <c r="E23" s="40" t="n"/>
      <c r="F23" s="40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29" min="1" max="1"/>
    <col width="21.48" customWidth="1" style="29" min="2" max="2"/>
    <col width="11.94" customWidth="1" style="29" min="3" max="3"/>
    <col width="21.48" customWidth="1" style="29" min="4" max="4"/>
    <col width="26.26" customWidth="1" style="29" min="5" max="5"/>
    <col width="14.33" customWidth="1" style="29" min="6" max="6"/>
    <col width="29.84" customWidth="1" style="29" min="7" max="7"/>
    <col width="22.68" customWidth="1" style="29" min="8" max="8"/>
    <col width="17.9" customWidth="1" style="29" min="9" max="9"/>
    <col width="21.48" customWidth="1" style="29" min="10" max="10"/>
    <col width="14.33" customWidth="1" style="29" min="11" max="11"/>
    <col width="9.550000000000001" customWidth="1" style="29" min="12" max="12"/>
    <col width="10.74" customWidth="1" style="29" min="13" max="13"/>
    <col width="19.1" customWidth="1" style="29" min="14" max="14"/>
    <col width="42.97" customWidth="1" style="29" min="15" max="15"/>
    <col width="40.58" customWidth="1" style="29" min="16" max="16"/>
    <col width="31.03" customWidth="1" style="29" min="17" max="17"/>
    <col width="50.13" customWidth="1" style="29" min="18" max="18"/>
    <col width="14.33" customWidth="1" style="29" min="19" max="19"/>
    <col width="35.81" customWidth="1" style="29" min="20" max="20"/>
    <col width="14.33" customWidth="1" style="29" min="21" max="21"/>
    <col width="15.51" customWidth="1" style="29" min="22" max="22"/>
    <col width="19.1" customWidth="1" style="29" min="23" max="23"/>
    <col width="62.06" customWidth="1" style="29" min="24" max="24"/>
  </cols>
  <sheetData>
    <row r="1" ht="24.75" customHeight="1" s="30">
      <c r="A1" s="43" t="inlineStr">
        <is>
          <t>资产主表 · 唯一登记源</t>
        </is>
      </c>
    </row>
    <row r="2" ht="12" customHeight="1" s="30"/>
    <row r="3" ht="22.5" customHeight="1" s="30">
      <c r="A3" s="32" t="inlineStr">
        <is>
          <t>查重键由公式生成；S 列出现“重复”时禁止制作，先合并或建立变体父子关系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Y4" s="33" t="n"/>
    </row>
    <row r="5" ht="31.5" customHeight="1" s="30">
      <c r="A5" s="45" t="inlineStr">
        <is>
          <t>AssetID</t>
        </is>
      </c>
      <c r="B5" s="46" t="inlineStr">
        <is>
          <t>中文名</t>
        </is>
      </c>
      <c r="C5" s="46" t="inlineStr">
        <is>
          <t>大类</t>
        </is>
      </c>
      <c r="D5" s="46" t="inlineStr">
        <is>
          <t>子类</t>
        </is>
      </c>
      <c r="E5" s="46" t="inlineStr">
        <is>
          <t>逻辑ID/源键</t>
        </is>
      </c>
      <c r="F5" s="46" t="inlineStr">
        <is>
          <t>组件槽</t>
        </is>
      </c>
      <c r="G5" s="46" t="inlineStr">
        <is>
          <t>变体父ID</t>
        </is>
      </c>
      <c r="H5" s="46" t="inlineStr">
        <is>
          <t>视角</t>
        </is>
      </c>
      <c r="I5" s="46" t="inlineStr">
        <is>
          <t>状态/动画</t>
        </is>
      </c>
      <c r="J5" s="46" t="inlineStr">
        <is>
          <t>复用范围</t>
        </is>
      </c>
      <c r="K5" s="46" t="inlineStr">
        <is>
          <t>制作状态</t>
        </is>
      </c>
      <c r="L5" s="46" t="inlineStr">
        <is>
          <t>优先级</t>
        </is>
      </c>
      <c r="M5" s="46" t="inlineStr">
        <is>
          <t>版本</t>
        </is>
      </c>
      <c r="N5" s="46" t="inlineStr">
        <is>
          <t>规格(px)</t>
        </is>
      </c>
      <c r="O5" s="46" t="inlineStr">
        <is>
          <t>文件路径</t>
        </is>
      </c>
      <c r="P5" s="46" t="inlineStr">
        <is>
          <t>源码/策划依据</t>
        </is>
      </c>
      <c r="Q5" s="46" t="inlineStr">
        <is>
          <t>关键词/别名</t>
        </is>
      </c>
      <c r="R5" s="46" t="inlineStr">
        <is>
          <t>查重键</t>
        </is>
      </c>
      <c r="S5" s="46" t="inlineStr">
        <is>
          <t>查重结果</t>
        </is>
      </c>
      <c r="T5" s="47" t="inlineStr">
        <is>
          <t>SHA-256</t>
        </is>
      </c>
      <c r="U5" s="46" t="inlineStr">
        <is>
          <t>负责人</t>
        </is>
      </c>
      <c r="V5" s="46" t="inlineStr">
        <is>
          <t>更新时间</t>
        </is>
      </c>
      <c r="W5" s="46" t="inlineStr">
        <is>
          <t>来源/许可</t>
        </is>
      </c>
      <c r="X5" s="48" t="inlineStr">
        <is>
          <t>源编号（Blender collection）</t>
        </is>
      </c>
      <c r="Y5" s="49" t="inlineStr">
        <is>
          <t>备注</t>
        </is>
      </c>
    </row>
    <row r="6" ht="91" customHeight="1" s="30">
      <c r="A6" s="50" t="inlineStr">
        <is>
          <t>AUD-BGM-WASTELAND</t>
        </is>
      </c>
      <c r="B6" s="51" t="inlineStr">
        <is>
          <t>末日荒野 BGM</t>
        </is>
      </c>
      <c r="C6" s="51" t="inlineStr">
        <is>
          <t>音乐</t>
        </is>
      </c>
      <c r="D6" s="50" t="inlineStr">
        <is>
          <t>bgm</t>
        </is>
      </c>
      <c r="E6" s="50" t="inlineStr">
        <is>
          <t>bgm_wasteland</t>
        </is>
      </c>
      <c r="F6" s="50" t="inlineStr">
        <is>
          <t>root</t>
        </is>
      </c>
      <c r="G6" s="51" t="n"/>
      <c r="H6" s="51" t="inlineStr">
        <is>
          <t>不适用</t>
        </is>
      </c>
      <c r="I6" s="50" t="inlineStr">
        <is>
          <t>default</t>
        </is>
      </c>
      <c r="J6" s="51" t="inlineStr">
        <is>
          <t>按事件复用</t>
        </is>
      </c>
      <c r="K6" s="51" t="inlineStr">
        <is>
          <t>待制作</t>
        </is>
      </c>
      <c r="L6" s="50" t="inlineStr">
        <is>
          <t>P2</t>
        </is>
      </c>
      <c r="M6" s="50" t="inlineStr">
        <is>
          <t>v001</t>
        </is>
      </c>
      <c r="N6" s="51" t="inlineStr">
        <is>
          <t>循环 WAV/OGG</t>
        </is>
      </c>
      <c r="O6" s="51" t="n"/>
      <c r="P6" s="50" t="inlineStr">
        <is>
          <t>bgm_wasteland.wav</t>
        </is>
      </c>
      <c r="Q6" s="51" t="n"/>
      <c r="R6" s="51">
        <f>LOWER(TRIM(C6)&amp;"|"&amp;TRIM(D6)&amp;"|"&amp;TRIM(E6)&amp;"|"&amp;TRIM(F6)&amp;"|"&amp;TRIM(H6)&amp;"|"&amp;TRIM(I6))</f>
        <v/>
      </c>
      <c r="S6" s="51">
        <f>IF(COUNTIF($R$6:$R$14,R6)&gt;1,"重复","唯一")</f>
        <v/>
      </c>
      <c r="T6" s="51" t="n"/>
      <c r="U6" s="51" t="inlineStr">
        <is>
          <t>待分配</t>
        </is>
      </c>
      <c r="V6" s="52" t="n">
        <v>46224</v>
      </c>
      <c r="W6" s="51" t="inlineStr">
        <is>
          <t>项目现有/待核对</t>
        </is>
      </c>
      <c r="X6" s="53" t="inlineStr">
        <is>
          <t>—</t>
        </is>
      </c>
      <c r="Y6" s="50" t="inlineStr">
        <is>
          <t>2026-08-30 AST-02：仓库未找到 bgm_wasteland.wav/.ogg，原“已完成”状态无文件证据，降级为待制作；不伪造路径或SHA。</t>
        </is>
      </c>
    </row>
    <row r="7" ht="131.3" customHeight="1" s="30">
      <c r="A7" s="54" t="inlineStr">
        <is>
          <t>AUD-BGM-BASE-PASSION-A</t>
        </is>
      </c>
      <c r="B7" s="41" t="inlineStr">
        <is>
          <t>基地热血激情 BGM A</t>
        </is>
      </c>
      <c r="C7" s="41" t="inlineStr">
        <is>
          <t>音乐</t>
        </is>
      </c>
      <c r="D7" s="54" t="inlineStr">
        <is>
          <t>bgm</t>
        </is>
      </c>
      <c r="E7" s="54" t="inlineStr">
        <is>
          <t>base_passion</t>
        </is>
      </c>
      <c r="F7" s="54" t="inlineStr">
        <is>
          <t>track_a</t>
        </is>
      </c>
      <c r="G7" s="41" t="n"/>
      <c r="H7" s="41" t="inlineStr">
        <is>
          <t>不适用</t>
        </is>
      </c>
      <c r="I7" s="54" t="inlineStr">
        <is>
          <t>loop</t>
        </is>
      </c>
      <c r="J7" s="41" t="inlineStr">
        <is>
          <t>按场景复用</t>
        </is>
      </c>
      <c r="K7" s="41" t="inlineStr">
        <is>
          <t>原型已接入</t>
        </is>
      </c>
      <c r="L7" s="54" t="inlineStr">
        <is>
          <t>P1</t>
        </is>
      </c>
      <c r="M7" s="54" t="inlineStr">
        <is>
          <t>v001</t>
        </is>
      </c>
      <c r="N7" s="54" t="inlineStr">
        <is>
          <t>OGG/Vorbis；循环；Music 总线</t>
        </is>
      </c>
      <c r="O7" s="54" t="inlineStr">
        <is>
          <t>assets/audio/music/base_passion/base_passion_a_v001.ogg</t>
        </is>
      </c>
      <c r="P7" s="54" t="inlineStr">
        <is>
          <t>src/audio/MusicCatalog.gd；docs/v0.1/14.8_音乐系统与配乐资产.md；tests/verification/verify_music_system.tscn</t>
        </is>
      </c>
      <c r="Q7" s="54" t="inlineStr">
        <is>
          <t>base_passion track_a</t>
        </is>
      </c>
      <c r="R7" s="41">
        <f>LOWER(TRIM(C7)&amp;"|"&amp;TRIM(D7)&amp;"|"&amp;TRIM(E7)&amp;"|"&amp;TRIM(F7)&amp;"|"&amp;TRIM(H7)&amp;"|"&amp;TRIM(I7))</f>
        <v/>
      </c>
      <c r="S7" s="41">
        <f>IF(COUNTIF($R$6:$R$14,R7)&gt;1,"重复","唯一")</f>
        <v/>
      </c>
      <c r="T7" s="54" t="inlineStr">
        <is>
          <t>e841cd4e93112d1be28859c2431aade46c52dff27165135e9991cdae6fac5967</t>
        </is>
      </c>
      <c r="U7" s="41" t="inlineStr">
        <is>
          <t>音频</t>
        </is>
      </c>
      <c r="V7" s="41" t="n">
        <v>46264</v>
      </c>
      <c r="W7" s="54" t="inlineStr">
        <is>
          <t>Suno.cn 任务 2092992444135116800；商业使用授权须由项目方按生成账户订阅证明复核</t>
        </is>
      </c>
      <c r="X7" s="53" t="inlineStr">
        <is>
          <t>—</t>
        </is>
      </c>
      <c r="Y7" s="54" t="inlineStr">
        <is>
          <t>2026-08-30 AST-04：原 MP3 移入 source/ 保留可恢复母版；运行时转码为规范化 OGG v001；asset_guard PASS；MusicCatalog 已迁移；验收 verify_music_system。</t>
        </is>
      </c>
    </row>
    <row r="8" ht="131.3" customHeight="1" s="30">
      <c r="A8" s="54" t="inlineStr">
        <is>
          <t>AUD-BGM-BASE-PASSION-B</t>
        </is>
      </c>
      <c r="B8" s="41" t="inlineStr">
        <is>
          <t>基地热血激情 BGM B</t>
        </is>
      </c>
      <c r="C8" s="41" t="inlineStr">
        <is>
          <t>音乐</t>
        </is>
      </c>
      <c r="D8" s="54" t="inlineStr">
        <is>
          <t>bgm</t>
        </is>
      </c>
      <c r="E8" s="54" t="inlineStr">
        <is>
          <t>base_passion</t>
        </is>
      </c>
      <c r="F8" s="54" t="inlineStr">
        <is>
          <t>track_b</t>
        </is>
      </c>
      <c r="G8" s="41" t="n"/>
      <c r="H8" s="41" t="inlineStr">
        <is>
          <t>不适用</t>
        </is>
      </c>
      <c r="I8" s="54" t="inlineStr">
        <is>
          <t>loop</t>
        </is>
      </c>
      <c r="J8" s="41" t="inlineStr">
        <is>
          <t>按场景复用</t>
        </is>
      </c>
      <c r="K8" s="41" t="inlineStr">
        <is>
          <t>原型已接入</t>
        </is>
      </c>
      <c r="L8" s="54" t="inlineStr">
        <is>
          <t>P1</t>
        </is>
      </c>
      <c r="M8" s="54" t="inlineStr">
        <is>
          <t>v001</t>
        </is>
      </c>
      <c r="N8" s="54" t="inlineStr">
        <is>
          <t>OGG/Vorbis；循环；Music 总线</t>
        </is>
      </c>
      <c r="O8" s="54" t="inlineStr">
        <is>
          <t>assets/audio/music/base_passion/base_passion_b_v001.ogg</t>
        </is>
      </c>
      <c r="P8" s="54" t="inlineStr">
        <is>
          <t>src/audio/MusicCatalog.gd；docs/v0.1/14.8_音乐系统与配乐资产.md；tests/verification/verify_music_system.tscn</t>
        </is>
      </c>
      <c r="Q8" s="54" t="inlineStr">
        <is>
          <t>base_passion track_b</t>
        </is>
      </c>
      <c r="R8" s="41">
        <f>LOWER(TRIM(C8)&amp;"|"&amp;TRIM(D8)&amp;"|"&amp;TRIM(E8)&amp;"|"&amp;TRIM(F8)&amp;"|"&amp;TRIM(H8)&amp;"|"&amp;TRIM(I8))</f>
        <v/>
      </c>
      <c r="S8" s="41">
        <f>IF(COUNTIF($R$6:$R$14,R8)&gt;1,"重复","唯一")</f>
        <v/>
      </c>
      <c r="T8" s="54" t="inlineStr">
        <is>
          <t>4a6c1e9aca3fee17f168fb92be212e14cdf252a155c729fc11763c140aaa230f</t>
        </is>
      </c>
      <c r="U8" s="41" t="inlineStr">
        <is>
          <t>音频</t>
        </is>
      </c>
      <c r="V8" s="41" t="n">
        <v>46264</v>
      </c>
      <c r="W8" s="54" t="inlineStr">
        <is>
          <t>Suno.cn 任务 2092992444135116801；商业使用授权须由项目方按生成账户订阅证明复核</t>
        </is>
      </c>
      <c r="X8" s="53" t="inlineStr">
        <is>
          <t>—</t>
        </is>
      </c>
      <c r="Y8" s="54" t="inlineStr">
        <is>
          <t>2026-08-30 AST-04：原 MP3 移入 source/ 保留可恢复母版；运行时转码为规范化 OGG v001；asset_guard PASS；MusicCatalog 已迁移；验收 verify_music_system。</t>
        </is>
      </c>
    </row>
    <row r="9" ht="131.3" customHeight="1" s="30">
      <c r="A9" s="54" t="inlineStr">
        <is>
          <t>AUD-BGM-ROOFTOP-RELAX-A</t>
        </is>
      </c>
      <c r="B9" s="41" t="inlineStr">
        <is>
          <t>天台放松 BGM A</t>
        </is>
      </c>
      <c r="C9" s="41" t="inlineStr">
        <is>
          <t>音乐</t>
        </is>
      </c>
      <c r="D9" s="54" t="inlineStr">
        <is>
          <t>bgm</t>
        </is>
      </c>
      <c r="E9" s="54" t="inlineStr">
        <is>
          <t>rooftop_relax</t>
        </is>
      </c>
      <c r="F9" s="54" t="inlineStr">
        <is>
          <t>track_a</t>
        </is>
      </c>
      <c r="G9" s="41" t="n"/>
      <c r="H9" s="41" t="inlineStr">
        <is>
          <t>不适用</t>
        </is>
      </c>
      <c r="I9" s="54" t="inlineStr">
        <is>
          <t>loop</t>
        </is>
      </c>
      <c r="J9" s="41" t="inlineStr">
        <is>
          <t>按场景复用</t>
        </is>
      </c>
      <c r="K9" s="41" t="inlineStr">
        <is>
          <t>原型已接入</t>
        </is>
      </c>
      <c r="L9" s="54" t="inlineStr">
        <is>
          <t>P1</t>
        </is>
      </c>
      <c r="M9" s="54" t="inlineStr">
        <is>
          <t>v001</t>
        </is>
      </c>
      <c r="N9" s="54" t="inlineStr">
        <is>
          <t>OGG/Vorbis；循环；Music 总线</t>
        </is>
      </c>
      <c r="O9" s="54" t="inlineStr">
        <is>
          <t>assets/audio/music/rooftop_relax/rooftop_relax_a_v001.ogg</t>
        </is>
      </c>
      <c r="P9" s="54" t="inlineStr">
        <is>
          <t>src/audio/MusicCatalog.gd；docs/v0.1/14.8_音乐系统与配乐资产.md；tests/verification/verify_music_system.tscn</t>
        </is>
      </c>
      <c r="Q9" s="54" t="inlineStr">
        <is>
          <t>rooftop_relax track_a</t>
        </is>
      </c>
      <c r="R9" s="41">
        <f>LOWER(TRIM(C9)&amp;"|"&amp;TRIM(D9)&amp;"|"&amp;TRIM(E9)&amp;"|"&amp;TRIM(F9)&amp;"|"&amp;TRIM(H9)&amp;"|"&amp;TRIM(I9))</f>
        <v/>
      </c>
      <c r="S9" s="41">
        <f>IF(COUNTIF($R$6:$R$14,R9)&gt;1,"重复","唯一")</f>
        <v/>
      </c>
      <c r="T9" s="54" t="inlineStr">
        <is>
          <t>370497df60c3ae7ea51beadd897193c4aaddc72eef829aa51ba179d0ba239605</t>
        </is>
      </c>
      <c r="U9" s="41" t="inlineStr">
        <is>
          <t>音频</t>
        </is>
      </c>
      <c r="V9" s="41" t="n">
        <v>46264</v>
      </c>
      <c r="W9" s="54" t="inlineStr">
        <is>
          <t>Suno.cn 任务 2092992535981985792；商业使用授权须由项目方按生成账户订阅证明复核</t>
        </is>
      </c>
      <c r="X9" s="53" t="inlineStr">
        <is>
          <t>—</t>
        </is>
      </c>
      <c r="Y9" s="54" t="inlineStr">
        <is>
          <t>2026-08-30 AST-04：原 MP3 移入 source/ 保留可恢复母版；运行时转码为规范化 OGG v001；asset_guard PASS；MusicCatalog 已迁移；验收 verify_music_system。</t>
        </is>
      </c>
    </row>
    <row r="10" ht="131.3" customHeight="1" s="30">
      <c r="A10" s="54" t="inlineStr">
        <is>
          <t>AUD-BGM-ROOFTOP-RELAX-B</t>
        </is>
      </c>
      <c r="B10" s="41" t="inlineStr">
        <is>
          <t>天台放松 BGM B</t>
        </is>
      </c>
      <c r="C10" s="41" t="inlineStr">
        <is>
          <t>音乐</t>
        </is>
      </c>
      <c r="D10" s="54" t="inlineStr">
        <is>
          <t>bgm</t>
        </is>
      </c>
      <c r="E10" s="54" t="inlineStr">
        <is>
          <t>rooftop_relax</t>
        </is>
      </c>
      <c r="F10" s="54" t="inlineStr">
        <is>
          <t>track_b</t>
        </is>
      </c>
      <c r="G10" s="41" t="n"/>
      <c r="H10" s="41" t="inlineStr">
        <is>
          <t>不适用</t>
        </is>
      </c>
      <c r="I10" s="54" t="inlineStr">
        <is>
          <t>loop</t>
        </is>
      </c>
      <c r="J10" s="41" t="inlineStr">
        <is>
          <t>按场景复用</t>
        </is>
      </c>
      <c r="K10" s="41" t="inlineStr">
        <is>
          <t>原型已接入</t>
        </is>
      </c>
      <c r="L10" s="54" t="inlineStr">
        <is>
          <t>P1</t>
        </is>
      </c>
      <c r="M10" s="54" t="inlineStr">
        <is>
          <t>v001</t>
        </is>
      </c>
      <c r="N10" s="54" t="inlineStr">
        <is>
          <t>OGG/Vorbis；循环；Music 总线</t>
        </is>
      </c>
      <c r="O10" s="54" t="inlineStr">
        <is>
          <t>assets/audio/music/rooftop_relax/rooftop_relax_b_v001.ogg</t>
        </is>
      </c>
      <c r="P10" s="54" t="inlineStr">
        <is>
          <t>src/audio/MusicCatalog.gd；docs/v0.1/14.8_音乐系统与配乐资产.md；tests/verification/verify_music_system.tscn</t>
        </is>
      </c>
      <c r="Q10" s="54" t="inlineStr">
        <is>
          <t>rooftop_relax track_b</t>
        </is>
      </c>
      <c r="R10" s="41">
        <f>LOWER(TRIM(C10)&amp;"|"&amp;TRIM(D10)&amp;"|"&amp;TRIM(E10)&amp;"|"&amp;TRIM(F10)&amp;"|"&amp;TRIM(H10)&amp;"|"&amp;TRIM(I10))</f>
        <v/>
      </c>
      <c r="S10" s="41">
        <f>IF(COUNTIF($R$6:$R$14,R10)&gt;1,"重复","唯一")</f>
        <v/>
      </c>
      <c r="T10" s="54" t="inlineStr">
        <is>
          <t>acda8101b0afc82ca9f127284816d0e54ec1e7f7aa5da7d5808a0f7b6dde7505</t>
        </is>
      </c>
      <c r="U10" s="41" t="inlineStr">
        <is>
          <t>音频</t>
        </is>
      </c>
      <c r="V10" s="41" t="n">
        <v>46264</v>
      </c>
      <c r="W10" s="54" t="inlineStr">
        <is>
          <t>Suno.cn 任务 2092992535981985793；商业使用授权须由项目方按生成账户订阅证明复核</t>
        </is>
      </c>
      <c r="X10" s="53" t="inlineStr">
        <is>
          <t>—</t>
        </is>
      </c>
      <c r="Y10" s="54" t="inlineStr">
        <is>
          <t>2026-08-30 AST-04：原 MP3 移入 source/ 保留可恢复母版；运行时转码为规范化 OGG v001；asset_guard PASS；MusicCatalog 已迁移；验收 verify_music_system。</t>
        </is>
      </c>
    </row>
    <row r="11" ht="131.3" customHeight="1" s="30">
      <c r="A11" s="54" t="inlineStr">
        <is>
          <t>AUD-BGM-DESCENT-SUSPENSE-A</t>
        </is>
      </c>
      <c r="B11" s="41" t="inlineStr">
        <is>
          <t>下塔悬疑 BGM A</t>
        </is>
      </c>
      <c r="C11" s="41" t="inlineStr">
        <is>
          <t>音乐</t>
        </is>
      </c>
      <c r="D11" s="54" t="inlineStr">
        <is>
          <t>bgm</t>
        </is>
      </c>
      <c r="E11" s="54" t="inlineStr">
        <is>
          <t>descent_suspense</t>
        </is>
      </c>
      <c r="F11" s="54" t="inlineStr">
        <is>
          <t>track_a</t>
        </is>
      </c>
      <c r="G11" s="41" t="n"/>
      <c r="H11" s="41" t="inlineStr">
        <is>
          <t>不适用</t>
        </is>
      </c>
      <c r="I11" s="54" t="inlineStr">
        <is>
          <t>loop</t>
        </is>
      </c>
      <c r="J11" s="41" t="inlineStr">
        <is>
          <t>按场景复用</t>
        </is>
      </c>
      <c r="K11" s="41" t="inlineStr">
        <is>
          <t>原型已接入</t>
        </is>
      </c>
      <c r="L11" s="54" t="inlineStr">
        <is>
          <t>P1</t>
        </is>
      </c>
      <c r="M11" s="54" t="inlineStr">
        <is>
          <t>v001</t>
        </is>
      </c>
      <c r="N11" s="54" t="inlineStr">
        <is>
          <t>OGG/Vorbis；循环；Music 总线</t>
        </is>
      </c>
      <c r="O11" s="54" t="inlineStr">
        <is>
          <t>assets/audio/music/descent_suspense/descent_suspense_a_v001.ogg</t>
        </is>
      </c>
      <c r="P11" s="54" t="inlineStr">
        <is>
          <t>src/audio/MusicCatalog.gd；docs/v0.1/14.8_音乐系统与配乐资产.md；tests/verification/verify_music_system.tscn</t>
        </is>
      </c>
      <c r="Q11" s="54" t="inlineStr">
        <is>
          <t>descent_suspense track_a</t>
        </is>
      </c>
      <c r="R11" s="41">
        <f>LOWER(TRIM(C11)&amp;"|"&amp;TRIM(D11)&amp;"|"&amp;TRIM(E11)&amp;"|"&amp;TRIM(F11)&amp;"|"&amp;TRIM(H11)&amp;"|"&amp;TRIM(I11))</f>
        <v/>
      </c>
      <c r="S11" s="41">
        <f>IF(COUNTIF($R$6:$R$14,R11)&gt;1,"重复","唯一")</f>
        <v/>
      </c>
      <c r="T11" s="54" t="inlineStr">
        <is>
          <t>924de9ddc3c0bc2700fee9c37771a94888c220afd5bd812e8d8b55880da2fa2a</t>
        </is>
      </c>
      <c r="U11" s="41" t="inlineStr">
        <is>
          <t>音频</t>
        </is>
      </c>
      <c r="V11" s="41" t="n">
        <v>46264</v>
      </c>
      <c r="W11" s="54" t="inlineStr">
        <is>
          <t>Suno.cn 任务 2092992639673569280；商业使用授权须由项目方按生成账户订阅证明复核</t>
        </is>
      </c>
      <c r="X11" s="53" t="inlineStr">
        <is>
          <t>—</t>
        </is>
      </c>
      <c r="Y11" s="54" t="inlineStr">
        <is>
          <t>2026-08-30 AST-04：原 MP3 移入 source/ 保留可恢复母版；运行时转码为规范化 OGG v001；asset_guard PASS；MusicCatalog 已迁移；验收 verify_music_system。</t>
        </is>
      </c>
    </row>
    <row r="12" ht="131.3" customHeight="1" s="30">
      <c r="A12" s="54" t="inlineStr">
        <is>
          <t>AUD-BGM-DESCENT-SUSPENSE-B</t>
        </is>
      </c>
      <c r="B12" s="41" t="inlineStr">
        <is>
          <t>下塔悬疑 BGM B</t>
        </is>
      </c>
      <c r="C12" s="41" t="inlineStr">
        <is>
          <t>音乐</t>
        </is>
      </c>
      <c r="D12" s="54" t="inlineStr">
        <is>
          <t>bgm</t>
        </is>
      </c>
      <c r="E12" s="54" t="inlineStr">
        <is>
          <t>descent_suspense</t>
        </is>
      </c>
      <c r="F12" s="54" t="inlineStr">
        <is>
          <t>track_b</t>
        </is>
      </c>
      <c r="G12" s="41" t="n"/>
      <c r="H12" s="41" t="inlineStr">
        <is>
          <t>不适用</t>
        </is>
      </c>
      <c r="I12" s="54" t="inlineStr">
        <is>
          <t>loop</t>
        </is>
      </c>
      <c r="J12" s="41" t="inlineStr">
        <is>
          <t>按场景复用</t>
        </is>
      </c>
      <c r="K12" s="41" t="inlineStr">
        <is>
          <t>原型已接入</t>
        </is>
      </c>
      <c r="L12" s="54" t="inlineStr">
        <is>
          <t>P1</t>
        </is>
      </c>
      <c r="M12" s="54" t="inlineStr">
        <is>
          <t>v001</t>
        </is>
      </c>
      <c r="N12" s="54" t="inlineStr">
        <is>
          <t>OGG/Vorbis；循环；Music 总线</t>
        </is>
      </c>
      <c r="O12" s="54" t="inlineStr">
        <is>
          <t>assets/audio/music/descent_suspense/descent_suspense_b_v001.ogg</t>
        </is>
      </c>
      <c r="P12" s="54" t="inlineStr">
        <is>
          <t>src/audio/MusicCatalog.gd；docs/v0.1/14.8_音乐系统与配乐资产.md；tests/verification/verify_music_system.tscn</t>
        </is>
      </c>
      <c r="Q12" s="54" t="inlineStr">
        <is>
          <t>descent_suspense track_b</t>
        </is>
      </c>
      <c r="R12" s="41">
        <f>LOWER(TRIM(C12)&amp;"|"&amp;TRIM(D12)&amp;"|"&amp;TRIM(E12)&amp;"|"&amp;TRIM(F12)&amp;"|"&amp;TRIM(H12)&amp;"|"&amp;TRIM(I12))</f>
        <v/>
      </c>
      <c r="S12" s="41">
        <f>IF(COUNTIF($R$6:$R$14,R12)&gt;1,"重复","唯一")</f>
        <v/>
      </c>
      <c r="T12" s="54" t="inlineStr">
        <is>
          <t>864f0c644af3a88e0e67c0b69154421c39d74081a4774232f65f1467d2b286d4</t>
        </is>
      </c>
      <c r="U12" s="41" t="inlineStr">
        <is>
          <t>音频</t>
        </is>
      </c>
      <c r="V12" s="41" t="n">
        <v>46264</v>
      </c>
      <c r="W12" s="54" t="inlineStr">
        <is>
          <t>Suno.cn 任务 2092992639673569281；商业使用授权须由项目方按生成账户订阅证明复核</t>
        </is>
      </c>
      <c r="X12" s="53" t="inlineStr">
        <is>
          <t>—</t>
        </is>
      </c>
      <c r="Y12" s="54" t="inlineStr">
        <is>
          <t>2026-08-30 AST-04：原 MP3 移入 source/ 保留可恢复母版；运行时转码为规范化 OGG v001；asset_guard PASS；MusicCatalog 已迁移；验收 verify_music_system。</t>
        </is>
      </c>
    </row>
    <row r="13" ht="131.3" customHeight="1" s="30">
      <c r="A13" s="54" t="inlineStr">
        <is>
          <t>AUD-BGM-BOSS-INTENSE-A</t>
        </is>
      </c>
      <c r="B13" s="54" t="inlineStr">
        <is>
          <t>Boss 激战 BGM A</t>
        </is>
      </c>
      <c r="C13" s="41" t="inlineStr">
        <is>
          <t>音乐</t>
        </is>
      </c>
      <c r="D13" s="54" t="inlineStr">
        <is>
          <t>bgm</t>
        </is>
      </c>
      <c r="E13" s="54" t="inlineStr">
        <is>
          <t>boss_intense</t>
        </is>
      </c>
      <c r="F13" s="54" t="inlineStr">
        <is>
          <t>track_a</t>
        </is>
      </c>
      <c r="G13" s="41" t="n"/>
      <c r="H13" s="41" t="inlineStr">
        <is>
          <t>不适用</t>
        </is>
      </c>
      <c r="I13" s="54" t="inlineStr">
        <is>
          <t>loop</t>
        </is>
      </c>
      <c r="J13" s="41" t="inlineStr">
        <is>
          <t>按场景复用</t>
        </is>
      </c>
      <c r="K13" s="41" t="inlineStr">
        <is>
          <t>原型已接入</t>
        </is>
      </c>
      <c r="L13" s="54" t="inlineStr">
        <is>
          <t>P1</t>
        </is>
      </c>
      <c r="M13" s="54" t="inlineStr">
        <is>
          <t>v001</t>
        </is>
      </c>
      <c r="N13" s="54" t="inlineStr">
        <is>
          <t>OGG/Vorbis；循环；Music 总线</t>
        </is>
      </c>
      <c r="O13" s="54" t="inlineStr">
        <is>
          <t>assets/audio/music/boss_intense/boss_intense_a_v001.ogg</t>
        </is>
      </c>
      <c r="P13" s="54" t="inlineStr">
        <is>
          <t>src/audio/MusicCatalog.gd；docs/v0.1/14.8_音乐系统与配乐资产.md；tests/verification/verify_music_system.tscn</t>
        </is>
      </c>
      <c r="Q13" s="54" t="inlineStr">
        <is>
          <t>boss_intense track_a</t>
        </is>
      </c>
      <c r="R13" s="41">
        <f>LOWER(TRIM(C13)&amp;"|"&amp;TRIM(D13)&amp;"|"&amp;TRIM(E13)&amp;"|"&amp;TRIM(F13)&amp;"|"&amp;TRIM(H13)&amp;"|"&amp;TRIM(I13))</f>
        <v/>
      </c>
      <c r="S13" s="41">
        <f>IF(COUNTIF($R$6:$R$14,R13)&gt;1,"重复","唯一")</f>
        <v/>
      </c>
      <c r="T13" s="54" t="inlineStr">
        <is>
          <t>55d230a2cf549d656e842650d6120e2da274c6f5903f1e036cab64c8e9a35f5a</t>
        </is>
      </c>
      <c r="U13" s="41" t="inlineStr">
        <is>
          <t>音频</t>
        </is>
      </c>
      <c r="V13" s="41" t="n">
        <v>46264</v>
      </c>
      <c r="W13" s="54" t="inlineStr">
        <is>
          <t>Suno.cn 任务 2092992454658625536；商业使用授权须由项目方按生成账户订阅证明复核</t>
        </is>
      </c>
      <c r="X13" s="53" t="inlineStr">
        <is>
          <t>—</t>
        </is>
      </c>
      <c r="Y13" s="54" t="inlineStr">
        <is>
          <t>2026-08-30 AST-04：原 MP3 移入 source/ 保留可恢复母版；运行时转码为规范化 OGG v001；asset_guard PASS；MusicCatalog 已迁移；验收 verify_music_system。</t>
        </is>
      </c>
    </row>
    <row r="14" ht="131.3" customHeight="1" s="30">
      <c r="A14" s="54" t="inlineStr">
        <is>
          <t>AUD-BGM-BOSS-INTENSE-B</t>
        </is>
      </c>
      <c r="B14" s="54" t="inlineStr">
        <is>
          <t>Boss 激战 BGM B</t>
        </is>
      </c>
      <c r="C14" s="41" t="inlineStr">
        <is>
          <t>音乐</t>
        </is>
      </c>
      <c r="D14" s="54" t="inlineStr">
        <is>
          <t>bgm</t>
        </is>
      </c>
      <c r="E14" s="54" t="inlineStr">
        <is>
          <t>boss_intense</t>
        </is>
      </c>
      <c r="F14" s="54" t="inlineStr">
        <is>
          <t>track_b</t>
        </is>
      </c>
      <c r="G14" s="41" t="n"/>
      <c r="H14" s="41" t="inlineStr">
        <is>
          <t>不适用</t>
        </is>
      </c>
      <c r="I14" s="54" t="inlineStr">
        <is>
          <t>loop</t>
        </is>
      </c>
      <c r="J14" s="41" t="inlineStr">
        <is>
          <t>按场景复用</t>
        </is>
      </c>
      <c r="K14" s="41" t="inlineStr">
        <is>
          <t>原型已接入</t>
        </is>
      </c>
      <c r="L14" s="54" t="inlineStr">
        <is>
          <t>P1</t>
        </is>
      </c>
      <c r="M14" s="54" t="inlineStr">
        <is>
          <t>v001</t>
        </is>
      </c>
      <c r="N14" s="54" t="inlineStr">
        <is>
          <t>OGG/Vorbis；循环；Music 总线</t>
        </is>
      </c>
      <c r="O14" s="54" t="inlineStr">
        <is>
          <t>assets/audio/music/boss_intense/boss_intense_b_v001.ogg</t>
        </is>
      </c>
      <c r="P14" s="54" t="inlineStr">
        <is>
          <t>src/audio/MusicCatalog.gd；docs/v0.1/14.8_音乐系统与配乐资产.md；tests/verification/verify_music_system.tscn</t>
        </is>
      </c>
      <c r="Q14" s="54" t="inlineStr">
        <is>
          <t>boss_intense track_b</t>
        </is>
      </c>
      <c r="R14" s="41">
        <f>LOWER(TRIM(C14)&amp;"|"&amp;TRIM(D14)&amp;"|"&amp;TRIM(E14)&amp;"|"&amp;TRIM(F14)&amp;"|"&amp;TRIM(H14)&amp;"|"&amp;TRIM(I14))</f>
        <v/>
      </c>
      <c r="S14" s="41">
        <f>IF(COUNTIF($R$6:$R$14,R14)&gt;1,"重复","唯一")</f>
        <v/>
      </c>
      <c r="T14" s="54" t="inlineStr">
        <is>
          <t>70b13c9c0c1974a4c7bbee53de4cca7b05e8d0f6396f70505b7e8a1105fd6c63</t>
        </is>
      </c>
      <c r="U14" s="41" t="inlineStr">
        <is>
          <t>音频</t>
        </is>
      </c>
      <c r="V14" s="41" t="n">
        <v>46264</v>
      </c>
      <c r="W14" s="54" t="inlineStr">
        <is>
          <t>Suno.cn 任务 2092992454658625537；商业使用授权须由项目方按生成账户订阅证明复核</t>
        </is>
      </c>
      <c r="X14" s="53" t="inlineStr">
        <is>
          <t>—</t>
        </is>
      </c>
      <c r="Y14" s="54" t="inlineStr">
        <is>
          <t>2026-08-30 AST-04：原 MP3 移入 source/ 保留可恢复母版；运行时转码为规范化 OGG v001；asset_guard PASS；MusicCatalog 已迁移；验收 verify_music_system。</t>
        </is>
      </c>
    </row>
    <row r="15" ht="15" customHeight="1" s="30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54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41" t="n"/>
      <c r="V15" s="55" t="n"/>
      <c r="W15" s="41" t="n"/>
      <c r="X15" s="53" t="n"/>
      <c r="Y15" s="41" t="n"/>
    </row>
    <row r="16" ht="15" customHeight="1" s="30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54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55" t="n"/>
      <c r="W16" s="41" t="n"/>
      <c r="X16" s="53" t="n"/>
      <c r="Y16" s="41" t="n"/>
    </row>
    <row r="17" ht="15" customHeight="1" s="30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54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55" t="n"/>
      <c r="W17" s="41" t="n"/>
      <c r="X17" s="53" t="n"/>
      <c r="Y17" s="41" t="n"/>
    </row>
    <row r="18" ht="15" customHeight="1" s="30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54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55" t="n"/>
      <c r="W18" s="41" t="n"/>
      <c r="X18" s="53" t="n"/>
      <c r="Y18" s="41" t="n"/>
    </row>
    <row r="19" ht="15" customHeight="1" s="30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54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55" t="n"/>
      <c r="W19" s="41" t="n"/>
      <c r="X19" s="53" t="n"/>
      <c r="Y19" s="41" t="n"/>
    </row>
    <row r="20" ht="15" customHeight="1" s="3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54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55" t="n"/>
      <c r="W20" s="41" t="n"/>
      <c r="X20" s="53" t="n"/>
      <c r="Y20" s="41" t="n"/>
    </row>
    <row r="21" ht="15" customHeight="1" s="30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54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55" t="n"/>
      <c r="W21" s="41" t="n"/>
      <c r="X21" s="53" t="n"/>
      <c r="Y21" s="41" t="n"/>
    </row>
    <row r="22" ht="15" customHeight="1" s="30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54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55" t="n"/>
      <c r="W22" s="41" t="n"/>
      <c r="X22" s="53" t="n"/>
      <c r="Y22" s="41" t="n"/>
    </row>
    <row r="23" ht="15" customHeight="1" s="30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54" t="n"/>
      <c r="M23" s="41" t="n"/>
      <c r="N23" s="41" t="n"/>
      <c r="O23" s="41" t="n"/>
      <c r="P23" s="41" t="n"/>
      <c r="Q23" s="41" t="n"/>
      <c r="R23" s="41" t="n"/>
      <c r="S23" s="41" t="n"/>
      <c r="T23" s="41" t="n"/>
      <c r="U23" s="41" t="n"/>
      <c r="V23" s="55" t="n"/>
      <c r="W23" s="41" t="n"/>
      <c r="X23" s="53" t="n"/>
      <c r="Y23" s="41" t="n"/>
    </row>
    <row r="24" ht="15" customHeight="1" s="30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54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55" t="n"/>
      <c r="W24" s="41" t="n"/>
      <c r="X24" s="53" t="n"/>
      <c r="Y24" s="41" t="n"/>
    </row>
    <row r="25" ht="15" customHeight="1" s="30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54" t="n"/>
      <c r="M25" s="41" t="n"/>
      <c r="N25" s="41" t="n"/>
      <c r="O25" s="41" t="n"/>
      <c r="P25" s="41" t="n"/>
      <c r="Q25" s="41" t="n"/>
      <c r="R25" s="41" t="n"/>
      <c r="S25" s="41" t="n"/>
      <c r="T25" s="41" t="n"/>
      <c r="U25" s="41" t="n"/>
      <c r="V25" s="55" t="n"/>
      <c r="W25" s="41" t="n"/>
      <c r="X25" s="53" t="n"/>
      <c r="Y25" s="41" t="n"/>
    </row>
    <row r="26" ht="15" customHeight="1" s="30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54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55" t="n"/>
      <c r="W26" s="41" t="n"/>
      <c r="X26" s="53" t="n"/>
      <c r="Y26" s="41" t="n"/>
    </row>
    <row r="27" ht="15" customHeight="1" s="30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  <c r="J27" s="41" t="n"/>
      <c r="K27" s="41" t="n"/>
      <c r="L27" s="54" t="n"/>
      <c r="M27" s="41" t="n"/>
      <c r="N27" s="41" t="n"/>
      <c r="O27" s="41" t="n"/>
      <c r="P27" s="41" t="n"/>
      <c r="Q27" s="41" t="n"/>
      <c r="R27" s="41" t="n"/>
      <c r="S27" s="41" t="n"/>
      <c r="T27" s="41" t="n"/>
      <c r="U27" s="41" t="n"/>
      <c r="V27" s="55" t="n"/>
      <c r="W27" s="41" t="n"/>
      <c r="X27" s="53" t="n"/>
      <c r="Y27" s="41" t="n"/>
    </row>
    <row r="28" ht="15" customHeight="1" s="30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54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55" t="n"/>
      <c r="W28" s="41" t="n"/>
      <c r="X28" s="53" t="n"/>
      <c r="Y28" s="41" t="n"/>
    </row>
    <row r="29" ht="15" customHeight="1" s="30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  <c r="K29" s="41" t="n"/>
      <c r="L29" s="54" t="n"/>
      <c r="M29" s="41" t="n"/>
      <c r="N29" s="41" t="n"/>
      <c r="O29" s="41" t="n"/>
      <c r="P29" s="41" t="n"/>
      <c r="Q29" s="41" t="n"/>
      <c r="R29" s="41" t="n"/>
      <c r="S29" s="41" t="n"/>
      <c r="T29" s="41" t="n"/>
      <c r="U29" s="41" t="n"/>
      <c r="V29" s="55" t="n"/>
      <c r="W29" s="41" t="n"/>
      <c r="X29" s="53" t="n"/>
      <c r="Y29" s="41" t="n"/>
    </row>
    <row r="30" ht="15" customHeight="1" s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  <c r="K30" s="41" t="n"/>
      <c r="L30" s="54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55" t="n"/>
      <c r="W30" s="41" t="n"/>
      <c r="X30" s="53" t="n"/>
      <c r="Y30" s="41" t="n"/>
    </row>
    <row r="31" ht="15" customHeight="1" s="30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  <c r="L31" s="54" t="n"/>
      <c r="M31" s="41" t="n"/>
      <c r="N31" s="41" t="n"/>
      <c r="O31" s="41" t="n"/>
      <c r="P31" s="41" t="n"/>
      <c r="Q31" s="41" t="n"/>
      <c r="R31" s="41" t="n"/>
      <c r="S31" s="41" t="n"/>
      <c r="T31" s="41" t="n"/>
      <c r="U31" s="41" t="n"/>
      <c r="V31" s="55" t="n"/>
      <c r="W31" s="41" t="n"/>
      <c r="X31" s="53" t="n"/>
      <c r="Y31" s="41" t="n"/>
    </row>
    <row r="32" ht="15" customHeight="1" s="3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53" t="n"/>
      <c r="Y32" s="33" t="n"/>
    </row>
    <row r="33" ht="15" customHeight="1" s="3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53" t="n"/>
      <c r="Y33" s="33" t="n"/>
    </row>
    <row r="34" ht="15" customHeight="1" s="30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56" t="n"/>
      <c r="W34" s="33" t="n"/>
      <c r="X34" s="53" t="n"/>
      <c r="Y34" s="33" t="n"/>
    </row>
    <row r="35" ht="15" customHeight="1" s="30">
      <c r="A35" s="57" t="n"/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8" t="n"/>
      <c r="U35" s="58" t="n"/>
      <c r="V35" s="58" t="n"/>
      <c r="W35" s="58" t="n"/>
      <c r="X35" s="53" t="n"/>
      <c r="Y35" s="58" t="n"/>
    </row>
    <row r="36" ht="15" customHeight="1" s="3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56" t="n"/>
      <c r="W36" s="33" t="n"/>
      <c r="X36" s="53" t="n"/>
      <c r="Y36" s="33" t="n"/>
    </row>
    <row r="37" ht="15" customHeight="1" s="3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56" t="n"/>
      <c r="W37" s="33" t="n"/>
      <c r="X37" s="53" t="n"/>
      <c r="Y37" s="33" t="n"/>
    </row>
    <row r="38" ht="15" customHeight="1" s="3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56" t="n"/>
      <c r="W38" s="33" t="n"/>
      <c r="X38" s="53" t="n"/>
      <c r="Y38" s="33" t="n"/>
    </row>
    <row r="39" ht="15" customHeight="1" s="3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56" t="n"/>
      <c r="W39" s="33" t="n"/>
      <c r="X39" s="53" t="n"/>
      <c r="Y39" s="33" t="n"/>
    </row>
    <row r="40" ht="15" customHeight="1" s="3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56" t="n"/>
      <c r="W40" s="33" t="n"/>
      <c r="X40" s="53" t="n"/>
      <c r="Y40" s="33" t="n"/>
    </row>
    <row r="41" ht="15" customHeight="1" s="3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56" t="n"/>
      <c r="W41" s="33" t="n"/>
      <c r="X41" s="53" t="n"/>
      <c r="Y41" s="33" t="n"/>
    </row>
    <row r="42" ht="15" customHeight="1" s="3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56" t="n"/>
      <c r="W42" s="33" t="n"/>
      <c r="X42" s="53" t="n"/>
      <c r="Y42" s="33" t="n"/>
    </row>
    <row r="43" ht="15" customHeight="1" s="3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56" t="n"/>
      <c r="W43" s="33" t="n"/>
      <c r="X43" s="53" t="n"/>
      <c r="Y43" s="33" t="n"/>
    </row>
    <row r="44" ht="15" customHeight="1" s="3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56" t="n"/>
      <c r="W44" s="33" t="n"/>
      <c r="X44" s="53" t="n"/>
      <c r="Y44" s="33" t="n"/>
    </row>
    <row r="45" ht="15" customHeight="1" s="3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56" t="n"/>
      <c r="W45" s="33" t="n"/>
      <c r="X45" s="53" t="n"/>
      <c r="Y45" s="33" t="n"/>
    </row>
    <row r="46" ht="15" customHeight="1" s="3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56" t="n"/>
      <c r="W46" s="33" t="n"/>
      <c r="X46" s="53" t="n"/>
      <c r="Y46" s="33" t="n"/>
    </row>
    <row r="47" ht="15" customHeight="1" s="3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56" t="n"/>
      <c r="W47" s="33" t="n"/>
      <c r="X47" s="53" t="n"/>
      <c r="Y47" s="33" t="n"/>
    </row>
    <row r="48" ht="15" customHeight="1" s="3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56" t="n"/>
      <c r="W48" s="33" t="n"/>
      <c r="X48" s="53" t="n"/>
      <c r="Y48" s="33" t="n"/>
    </row>
    <row r="49" ht="15" customHeight="1" s="3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56" t="n"/>
      <c r="W49" s="33" t="n"/>
      <c r="X49" s="53" t="n"/>
      <c r="Y49" s="33" t="n"/>
    </row>
    <row r="50" ht="15" customHeight="1" s="3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56" t="n"/>
      <c r="W50" s="33" t="n"/>
      <c r="X50" s="53" t="n"/>
      <c r="Y50" s="33" t="n"/>
    </row>
    <row r="51" ht="15" customHeight="1" s="3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56" t="n"/>
      <c r="W51" s="33" t="n"/>
      <c r="X51" s="53" t="n"/>
      <c r="Y51" s="33" t="n"/>
    </row>
    <row r="52" ht="15" customHeight="1" s="3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56" t="n"/>
      <c r="W52" s="33" t="n"/>
      <c r="X52" s="53" t="n"/>
      <c r="Y52" s="33" t="n"/>
    </row>
    <row r="53" ht="15" customHeight="1" s="3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56" t="n"/>
      <c r="W53" s="33" t="n"/>
      <c r="X53" s="53" t="n"/>
      <c r="Y53" s="33" t="n"/>
    </row>
    <row r="54" ht="15" customHeight="1" s="3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56" t="n"/>
      <c r="W54" s="33" t="n"/>
      <c r="X54" s="53" t="n"/>
      <c r="Y54" s="33" t="n"/>
    </row>
    <row r="55" ht="15" customHeight="1" s="3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56" t="n"/>
      <c r="W55" s="33" t="n"/>
      <c r="X55" s="53" t="n"/>
      <c r="Y55" s="33" t="n"/>
    </row>
    <row r="56" ht="15" customHeight="1" s="3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56" t="n"/>
      <c r="W56" s="33" t="n"/>
      <c r="X56" s="53" t="n"/>
      <c r="Y56" s="33" t="n"/>
    </row>
    <row r="57" ht="15" customHeight="1" s="3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56" t="n"/>
      <c r="W57" s="33" t="n"/>
      <c r="X57" s="53" t="n"/>
      <c r="Y57" s="33" t="n"/>
    </row>
    <row r="58" ht="15" customHeight="1" s="3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56" t="n"/>
      <c r="W58" s="33" t="n"/>
      <c r="X58" s="53" t="n"/>
      <c r="Y58" s="33" t="n"/>
    </row>
    <row r="59" ht="15" customHeight="1" s="3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56" t="n"/>
      <c r="W59" s="33" t="n"/>
      <c r="X59" s="53" t="n"/>
      <c r="Y59" s="33" t="n"/>
    </row>
    <row r="60" ht="15" customHeight="1" s="3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56" t="n"/>
      <c r="W60" s="33" t="n"/>
      <c r="X60" s="53" t="n"/>
      <c r="Y60" s="33" t="n"/>
    </row>
    <row r="61" ht="15" customHeight="1" s="3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56" t="n"/>
      <c r="W61" s="33" t="n"/>
      <c r="X61" s="53" t="n"/>
      <c r="Y61" s="33" t="n"/>
    </row>
    <row r="62" ht="15" customHeight="1" s="30">
      <c r="A62" s="33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56" t="n"/>
      <c r="W62" s="33" t="n"/>
      <c r="X62" s="53" t="n"/>
      <c r="Y62" s="33" t="n"/>
    </row>
    <row r="63" ht="15" customHeight="1" s="30">
      <c r="A63" s="33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56" t="n"/>
      <c r="W63" s="33" t="n"/>
      <c r="X63" s="53" t="n"/>
      <c r="Y63" s="33" t="n"/>
    </row>
    <row r="64" ht="15" customHeight="1" s="30">
      <c r="A64" s="33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56" t="n"/>
      <c r="W64" s="33" t="n"/>
      <c r="X64" s="53" t="n"/>
      <c r="Y64" s="33" t="n"/>
    </row>
    <row r="65" ht="15" customHeight="1" s="30">
      <c r="A65" s="33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56" t="n"/>
      <c r="W65" s="33" t="n"/>
      <c r="X65" s="53" t="n"/>
      <c r="Y65" s="33" t="n"/>
    </row>
    <row r="66" ht="15" customHeight="1" s="30">
      <c r="A66" s="33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56" t="n"/>
      <c r="W66" s="33" t="n"/>
      <c r="X66" s="53" t="n"/>
      <c r="Y66" s="33" t="n"/>
    </row>
    <row r="67" ht="15" customHeight="1" s="30">
      <c r="A67" s="33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53" t="n"/>
      <c r="Y67" s="33" t="n"/>
    </row>
    <row r="68" ht="15" customHeight="1" s="30">
      <c r="A68" s="33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53" t="n"/>
      <c r="Y68" s="33" t="n"/>
    </row>
    <row r="69" ht="15" customHeight="1" s="30">
      <c r="A69" s="33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53" t="n"/>
      <c r="Y69" s="33" t="n"/>
    </row>
    <row r="70" ht="15" customHeight="1" s="30">
      <c r="A70" s="33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53" t="n"/>
      <c r="Y70" s="33" t="n"/>
    </row>
    <row r="71" ht="15" customHeight="1" s="30">
      <c r="A71" s="33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  <c r="O71" s="33" t="n"/>
      <c r="P71" s="33" t="n"/>
      <c r="Q71" s="33" t="n"/>
      <c r="R71" s="33" t="n"/>
      <c r="S71" s="33" t="n"/>
      <c r="T71" s="33" t="n"/>
      <c r="U71" s="33" t="n"/>
      <c r="V71" s="33" t="n"/>
      <c r="W71" s="33" t="n"/>
      <c r="X71" s="53" t="n"/>
      <c r="Y71" s="33" t="n"/>
    </row>
    <row r="72" ht="15" customHeight="1" s="30">
      <c r="X72" s="53" t="n"/>
    </row>
    <row r="73" ht="15" customHeight="1" s="30">
      <c r="X73" s="53" t="n"/>
    </row>
    <row r="74" ht="15" customHeight="1" s="30">
      <c r="X74" s="53" t="n"/>
    </row>
    <row r="75" ht="15" customHeight="1" s="30">
      <c r="X75" s="53" t="n"/>
    </row>
    <row r="76" ht="15" customHeight="1" s="30">
      <c r="X76" s="53" t="n"/>
    </row>
    <row r="77" ht="15" customHeight="1" s="30">
      <c r="X77" s="53" t="n"/>
    </row>
    <row r="78" ht="15" customHeight="1" s="30">
      <c r="X78" s="53" t="n"/>
    </row>
    <row r="79" ht="154.5" customHeight="1" s="30">
      <c r="X79" s="53" t="n"/>
    </row>
    <row r="113" ht="154.5" customHeight="1" s="30"/>
    <row r="120" ht="154.5" customHeight="1" s="30"/>
    <row r="123" ht="154.5" customHeight="1" s="30"/>
    <row r="124" ht="33.75" customHeight="1" s="30"/>
    <row r="125" ht="33.75" customHeight="1" s="30"/>
    <row r="126" ht="33.75" customHeight="1" s="30"/>
    <row r="127" ht="33.75" customHeight="1" s="30"/>
    <row r="128" ht="154.5" customHeight="1" s="30"/>
    <row r="129" ht="33.75" customHeight="1" s="30"/>
    <row r="130" ht="33.75" customHeight="1" s="30"/>
    <row r="131" ht="33.75" customHeight="1" s="30"/>
    <row r="132" ht="33.75" customHeight="1" s="30"/>
    <row r="133" ht="33.75" customHeight="1" s="30"/>
    <row r="134" ht="33.75" customHeight="1" s="30"/>
    <row r="135" ht="33.75" customHeight="1" s="30"/>
    <row r="136" ht="33.75" customHeight="1" s="30"/>
    <row r="137" ht="33.75" customHeight="1" s="30"/>
    <row r="138" ht="33.75" customHeight="1" s="30"/>
    <row r="139" ht="33.75" customHeight="1" s="30"/>
    <row r="143" ht="154.5" customHeight="1" s="30"/>
    <row r="146" ht="43.5" customHeight="1" s="30"/>
    <row r="147" ht="43.5" customHeight="1" s="30"/>
    <row r="148" ht="43.5" customHeight="1" s="30"/>
    <row r="149" ht="43.5" customHeight="1" s="30"/>
    <row r="150" ht="43.5" customHeight="1" s="30"/>
    <row r="151" ht="43.5" customHeight="1" s="30"/>
    <row r="152" ht="43.5" customHeight="1" s="30"/>
    <row r="153" ht="43.5" customHeight="1" s="30"/>
    <row r="154" ht="43.5" customHeight="1" s="30"/>
    <row r="155" ht="43.5" customHeight="1" s="30"/>
    <row r="156" ht="132" customHeight="1" s="30"/>
    <row r="157" ht="117.75" customHeight="1" s="30"/>
    <row r="158" ht="117.75" customHeight="1" s="30"/>
    <row r="159" ht="117.75" customHeight="1" s="30"/>
    <row r="160" ht="117.75" customHeight="1" s="30"/>
    <row r="161" ht="132" customHeight="1" s="30"/>
    <row r="162" ht="132" customHeight="1" s="30"/>
    <row r="163" ht="154.5" customHeight="1" s="30"/>
    <row r="164" ht="132" customHeight="1" s="30"/>
    <row r="165" ht="132" customHeight="1" s="30"/>
    <row r="166" ht="132" customHeight="1" s="30"/>
    <row r="167" ht="154.5" customHeight="1" s="30"/>
    <row r="168" ht="219.75" customHeight="1" s="30"/>
    <row r="169" ht="219.75" customHeight="1" s="30"/>
    <row r="172" ht="42" customHeight="1" s="30"/>
    <row r="173" ht="42" customHeight="1" s="30"/>
    <row r="174" ht="43.5" customHeight="1" s="30"/>
    <row r="175" ht="43.5" customHeight="1" s="30"/>
    <row r="176" ht="43.5" customHeight="1" s="30"/>
    <row r="177" ht="43.5" customHeight="1" s="30"/>
    <row r="178" ht="43.5" customHeight="1" s="30"/>
    <row r="179" ht="43.5" customHeight="1" s="30"/>
    <row r="180" ht="43.5" customHeight="1" s="30"/>
    <row r="181" ht="43.5" customHeight="1" s="30"/>
    <row r="182" ht="43.5" customHeight="1" s="30"/>
    <row r="183" ht="43.5" customHeight="1" s="30"/>
    <row r="184" ht="43.5" customHeight="1" s="30"/>
    <row r="185" ht="43.5" customHeight="1" s="30"/>
    <row r="186" ht="43.5" customHeight="1" s="30"/>
    <row r="187" ht="43.5" customHeight="1" s="30"/>
    <row r="188" ht="43.5" customHeight="1" s="30"/>
    <row r="189" ht="43.5" customHeight="1" s="30"/>
    <row r="190" ht="43.5" customHeight="1" s="30"/>
    <row r="191" ht="43.5" customHeight="1" s="30"/>
    <row r="192" ht="43.5" customHeight="1" s="30"/>
    <row r="193" ht="43.5" customHeight="1" s="30"/>
    <row r="194" ht="43.5" customHeight="1" s="30"/>
    <row r="195" ht="43.5" customHeight="1" s="30"/>
    <row r="196" ht="43.5" customHeight="1" s="30"/>
    <row r="197" ht="43.5" customHeight="1" s="30"/>
    <row r="198" ht="43.5" customHeight="1" s="30"/>
    <row r="199" ht="43.5" customHeight="1" s="30"/>
    <row r="200" ht="43.5" customHeight="1" s="30"/>
    <row r="201" ht="43.5" customHeight="1" s="30"/>
    <row r="202" ht="43.5" customHeight="1" s="30"/>
    <row r="203" ht="43.5" customHeight="1" s="30"/>
    <row r="204" ht="43.5" customHeight="1" s="30"/>
    <row r="240" ht="255" customHeight="1" s="30"/>
    <row r="281" ht="66" customHeight="1" s="30"/>
    <row r="282" ht="66" customHeight="1" s="30"/>
    <row r="283" ht="66" customHeight="1" s="30"/>
    <row r="284" ht="66" customHeight="1" s="30"/>
    <row r="285" ht="66" customHeight="1" s="30"/>
    <row r="286" ht="66" customHeight="1" s="30"/>
    <row r="287" ht="55.5" customHeight="1" s="30"/>
    <row r="301" ht="132" customHeight="1" s="30"/>
    <row r="302" ht="54" customHeight="1" s="30"/>
    <row r="303" ht="54" customHeight="1" s="30"/>
    <row r="304" ht="54" customHeight="1" s="30"/>
    <row r="305" ht="54" customHeight="1" s="30"/>
    <row r="306" ht="54" customHeight="1" s="30"/>
    <row r="307" ht="54" customHeight="1" s="30"/>
    <row r="308" ht="54" customHeight="1" s="30"/>
    <row r="309" ht="54" customHeight="1" s="30"/>
    <row r="310" ht="54" customHeight="1" s="30"/>
    <row r="311" ht="72" customHeight="1" s="30"/>
    <row r="312" ht="54" customHeight="1" s="30"/>
    <row r="313" ht="54" customHeight="1" s="30"/>
    <row r="314" ht="54" customHeight="1" s="30"/>
    <row r="315" ht="54" customHeight="1" s="30"/>
    <row r="316" ht="54" customHeight="1" s="30"/>
    <row r="317" ht="54" customHeight="1" s="30"/>
    <row r="318" ht="54" customHeight="1" s="30"/>
    <row r="319" ht="54" customHeight="1" s="30"/>
    <row r="320" ht="54" customHeight="1" s="30"/>
    <row r="321" ht="54" customHeight="1" s="30"/>
    <row r="322" ht="54" customHeight="1" s="30"/>
    <row r="323" ht="54" customHeight="1" s="30"/>
    <row r="324" ht="54" customHeight="1" s="30"/>
    <row r="325" ht="54" customHeight="1" s="30"/>
    <row r="326" ht="54" customHeight="1" s="30"/>
    <row r="327" ht="54" customHeight="1" s="30"/>
    <row r="328" ht="54" customHeight="1" s="30"/>
    <row r="329" ht="54" customHeight="1" s="30"/>
    <row r="330" ht="54" customHeight="1" s="30"/>
    <row r="331" ht="54" customHeight="1" s="30"/>
    <row r="332" ht="54" customHeight="1" s="30"/>
    <row r="333" ht="54" customHeight="1" s="30"/>
    <row r="334" ht="54" customHeight="1" s="30"/>
    <row r="335" ht="54" customHeight="1" s="30"/>
    <row r="336" ht="54" customHeight="1" s="30"/>
    <row r="337" ht="54" customHeight="1" s="30"/>
    <row r="338" ht="54" customHeight="1" s="30"/>
    <row r="339" ht="54" customHeight="1" s="30"/>
    <row r="340" ht="54" customHeight="1" s="30"/>
    <row r="341" ht="54" customHeight="1" s="30"/>
    <row r="342" ht="54" customHeight="1" s="30"/>
    <row r="343" ht="54" customHeight="1" s="30"/>
    <row r="344" ht="54" customHeight="1" s="30"/>
    <row r="345" ht="54" customHeight="1" s="30"/>
    <row r="346" ht="54" customHeight="1" s="30"/>
    <row r="347" ht="54" customHeight="1" s="30"/>
    <row r="348" ht="54" customHeight="1" s="30"/>
    <row r="349" ht="54" customHeight="1" s="30"/>
    <row r="350" ht="54" customHeight="1" s="30"/>
    <row r="351" ht="54" customHeight="1" s="30"/>
    <row r="352" ht="54" customHeight="1" s="30"/>
    <row r="353" ht="54" customHeight="1" s="30"/>
    <row r="354" ht="54" customHeight="1" s="30"/>
    <row r="355" ht="54" customHeight="1" s="30"/>
    <row r="356" ht="54" customHeight="1" s="30"/>
    <row r="357" ht="54" customHeight="1" s="30"/>
    <row r="358" ht="54" customHeight="1" s="30"/>
    <row r="359" ht="72" customHeight="1" s="30"/>
    <row r="360" ht="54" customHeight="1" s="30"/>
    <row r="361" ht="54" customHeight="1" s="30"/>
    <row r="362" ht="54" customHeight="1" s="30"/>
    <row r="363" ht="54" customHeight="1" s="30"/>
    <row r="364" ht="54" customHeight="1" s="30"/>
    <row r="365" ht="54" customHeight="1" s="30"/>
    <row r="366" ht="54" customHeight="1" s="30"/>
    <row r="367" ht="54" customHeight="1" s="30"/>
    <row r="368" ht="72" customHeight="1" s="30"/>
    <row r="369" ht="54" customHeight="1" s="30"/>
    <row r="370" ht="54" customHeight="1" s="30"/>
    <row r="371" ht="54" customHeight="1" s="30"/>
    <row r="372" ht="54" customHeight="1" s="30"/>
    <row r="373" ht="54" customHeight="1" s="30"/>
    <row r="374" ht="54" customHeight="1" s="30"/>
    <row r="375" ht="54" customHeight="1" s="30"/>
    <row r="376" ht="54" customHeight="1" s="30"/>
    <row r="377" ht="54" customHeight="1" s="30"/>
    <row r="378" ht="54" customHeight="1" s="30"/>
    <row r="379" ht="54" customHeight="1" s="30"/>
    <row r="380" ht="54" customHeight="1" s="30"/>
    <row r="381" ht="54" customHeight="1" s="30"/>
    <row r="382" ht="54" customHeight="1" s="30"/>
    <row r="383" ht="54" customHeight="1" s="30"/>
    <row r="384" ht="54" customHeight="1" s="30"/>
    <row r="385" ht="54" customHeight="1" s="30"/>
    <row r="386" ht="54" customHeight="1" s="30"/>
    <row r="387" ht="54" customHeight="1" s="30"/>
    <row r="388" ht="54" customHeight="1" s="30"/>
    <row r="389" ht="54" customHeight="1" s="30"/>
    <row r="390" ht="54" customHeight="1" s="30"/>
    <row r="391" ht="54" customHeight="1" s="30"/>
    <row r="392" ht="54" customHeight="1" s="30"/>
    <row r="393" ht="54" customHeight="1" s="30"/>
    <row r="394" ht="54" customHeight="1" s="30"/>
    <row r="395" ht="54" customHeight="1" s="30"/>
    <row r="396" ht="54" customHeight="1" s="30"/>
    <row r="397" ht="54" customHeight="1" s="30"/>
    <row r="398" ht="54" customHeight="1" s="30"/>
    <row r="399" ht="54" customHeight="1" s="30"/>
    <row r="400" ht="54" customHeight="1" s="30"/>
    <row r="401" ht="54" customHeight="1" s="30"/>
    <row r="402" ht="54" customHeight="1" s="30"/>
    <row r="403" ht="54" customHeight="1" s="30"/>
    <row r="404" ht="54" customHeight="1" s="30"/>
    <row r="405" ht="54" customHeight="1" s="30"/>
    <row r="406" ht="54" customHeight="1" s="30"/>
    <row r="407" ht="54" customHeight="1" s="30"/>
    <row r="408" ht="54" customHeight="1" s="30"/>
    <row r="409" ht="54" customHeight="1" s="30"/>
    <row r="410" ht="54" customHeight="1" s="30"/>
    <row r="411" ht="54" customHeight="1" s="30"/>
    <row r="412" ht="54" customHeight="1" s="30"/>
    <row r="413" ht="75.75" customHeight="1" s="30"/>
    <row r="414" ht="72" customHeight="1" s="30"/>
    <row r="415" ht="72" customHeight="1" s="30"/>
    <row r="416" ht="72" customHeight="1" s="30"/>
    <row r="424" ht="84.75" customHeight="1" s="30"/>
    <row r="425" ht="84.75" customHeight="1" s="30"/>
    <row r="426" ht="84.75" customHeight="1" s="30"/>
    <row r="427" ht="84.75" customHeight="1" s="30"/>
    <row r="429" ht="120" customHeight="1" s="30"/>
  </sheetData>
  <mergeCells count="2">
    <mergeCell ref="A1:X2"/>
    <mergeCell ref="A3:X3"/>
  </mergeCells>
  <conditionalFormatting sqref="S6:S79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79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4">
    <dataValidation sqref="C15:C79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79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79" showDropDown="0" showInputMessage="0" showErrorMessage="0" allowBlank="1" type="list" errorStyle="stop" operator="between">
      <formula1>"P0,P1,P2,P3"</formula1>
      <formula2>0</formula2>
    </dataValidation>
    <dataValidation sqref="C6:C14" showDropDown="0" showInputMessage="0" showErrorMessage="0" allowBlank="0" type="list" errorStyle="stop" operator="between">
      <formula1>"音乐"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29" min="1" max="1"/>
    <col width="15.51" customWidth="1" style="29" min="2" max="2"/>
    <col width="28.65" customWidth="1" style="29" min="3" max="3"/>
    <col width="33.42" customWidth="1" style="29" min="4" max="4"/>
    <col width="83.55" customWidth="1" style="29" min="5" max="5"/>
    <col width="57.29" customWidth="1" style="29" min="6" max="6"/>
    <col width="14.33" customWidth="1" style="29" min="7" max="7"/>
  </cols>
  <sheetData>
    <row r="1" ht="15" customHeight="1" s="30">
      <c r="A1" s="43" t="inlineStr">
        <is>
          <t>音乐账本变更日志</t>
        </is>
      </c>
    </row>
    <row r="2" ht="15" customHeight="1" s="30"/>
    <row r="3" ht="15" customHeight="1" s="30">
      <c r="A3" s="32" t="inlineStr">
        <is>
          <t>只记录本账本的域内变更；跨域与全局变更记录在主账本《版本记录》</t>
        </is>
      </c>
    </row>
    <row r="5" ht="15" customHeight="1" s="30">
      <c r="A5" s="36" t="inlineStr">
        <is>
          <t>台账版本</t>
        </is>
      </c>
      <c r="B5" s="36" t="inlineStr">
        <is>
          <t>日期</t>
        </is>
      </c>
      <c r="C5" s="36" t="inlineStr">
        <is>
          <t>变更类型</t>
        </is>
      </c>
      <c r="D5" s="36" t="inlineStr">
        <is>
          <t>范围</t>
        </is>
      </c>
      <c r="E5" s="36" t="inlineStr">
        <is>
          <t>说明</t>
        </is>
      </c>
      <c r="F5" s="36" t="inlineStr">
        <is>
          <t>兼容性</t>
        </is>
      </c>
      <c r="G5" s="36" t="inlineStr">
        <is>
          <t>负责人</t>
        </is>
      </c>
    </row>
    <row r="6" ht="45.75" customHeight="1" s="30">
      <c r="A6" s="44" t="inlineStr">
        <is>
          <t>v0.2.0</t>
        </is>
      </c>
      <c r="B6" s="44" t="inlineStr">
        <is>
          <t>2026-09-23</t>
        </is>
      </c>
      <c r="C6" s="44" t="inlineStr">
        <is>
          <t>P2 独立域拆分</t>
        </is>
      </c>
      <c r="D6" s="40" t="inlineStr">
        <is>
          <t>音乐</t>
        </is>
      </c>
      <c r="E6" s="40" t="inlineStr">
        <is>
          <t>由表现资源账本拆出 9 条音乐资产；本账本接管大类=音乐，匹配独立 Skill 与验收流程。</t>
        </is>
      </c>
      <c r="F6" s="44" t="inlineStr">
        <is>
          <t>AssetID、路径、SHA-256、制作状态与授权信息不变；仅账本归属和大类名称迁移。</t>
        </is>
      </c>
      <c r="G6" s="44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2026-09-23T07:44:54Z</dcterms:created>
  <dcterms:modified xsi:type="dcterms:W3CDTF">2026-09-23T07:56:56Z</dcterms:modified>
  <cp:revision>0</cp:revision>
</cp:coreProperties>
</file>