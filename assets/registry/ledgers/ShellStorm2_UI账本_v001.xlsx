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域变更日志" sheetId="4" state="visible" r:id="rId4"/>
  </sheets>
  <definedNames>
    <definedName name="_xlnm._FilterDatabase" localSheetId="2" hidden="1">'资产主表'!$A$5:$X$23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2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Calibri"/>
      <charset val="1"/>
      <family val="0"/>
      <color rgb="FF13202B"/>
      <sz val="9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Linux Libertine G"/>
      <family val="2"/>
      <b val="1"/>
      <color rgb="FF17563A"/>
      <sz val="11"/>
    </font>
    <font>
      <name val="Linux Libertine G"/>
      <family val="2"/>
      <color rgb="FF15383E"/>
      <sz val="11"/>
    </font>
  </fonts>
  <fills count="9">
    <fill>
      <patternFill/>
    </fill>
    <fill>
      <patternFill patternType="gray125"/>
    </fill>
    <fill>
      <patternFill patternType="solid">
        <fgColor rgb="FF13202B"/>
        <bgColor rgb="FF163246"/>
      </patternFill>
    </fill>
    <fill>
      <patternFill patternType="solid">
        <fgColor rgb="FF163246"/>
        <bgColor rgb="FF15383E"/>
      </patternFill>
    </fill>
    <fill>
      <patternFill patternType="solid">
        <fgColor rgb="FFDCE8EC"/>
        <bgColor rgb="FFD7EEE5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D9F3E8"/>
      </patternFill>
    </fill>
  </fills>
  <borders count="11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6" fillId="0" borderId="3" applyAlignment="1" pivotButton="0" quotePrefix="0" xfId="20">
      <alignment horizontal="general" vertical="top" wrapText="1"/>
    </xf>
    <xf numFmtId="0" fontId="16" fillId="0" borderId="4" applyAlignment="1" pivotButton="0" quotePrefix="0" xfId="20">
      <alignment horizontal="general" vertical="top" wrapText="1"/>
    </xf>
    <xf numFmtId="0" fontId="17" fillId="6" borderId="0" applyAlignment="1" pivotButton="0" quotePrefix="0" xfId="20">
      <alignment horizontal="center" vertical="bottom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0" fillId="5" borderId="1" applyAlignment="1" pivotButton="0" quotePrefix="0" xfId="20">
      <alignment horizontal="center" vertical="center" wrapText="1"/>
    </xf>
    <xf numFmtId="0" fontId="13" fillId="5" borderId="5" applyAlignment="1" pivotButton="0" quotePrefix="0" xfId="20">
      <alignment horizontal="center" vertical="center" wrapText="1"/>
    </xf>
    <xf numFmtId="0" fontId="20" fillId="5" borderId="5" applyAlignment="1" pivotButton="0" quotePrefix="0" xfId="20">
      <alignment horizontal="center" vertical="center" wrapText="1"/>
    </xf>
    <xf numFmtId="0" fontId="21" fillId="0" borderId="0" applyAlignment="1" pivotButton="0" quotePrefix="0" xfId="20">
      <alignment horizontal="center" vertical="center"/>
    </xf>
    <xf numFmtId="0" fontId="13" fillId="5" borderId="6" applyAlignment="1" pivotButton="0" quotePrefix="0" xfId="20">
      <alignment horizontal="center" vertical="center" wrapText="1"/>
    </xf>
    <xf numFmtId="0" fontId="15" fillId="0" borderId="4" applyAlignment="1" pivotButton="0" quotePrefix="0" xfId="20">
      <alignment horizontal="general" vertical="center" wrapText="1"/>
    </xf>
    <xf numFmtId="0" fontId="16" fillId="0" borderId="4" applyAlignment="1" pivotButton="0" quotePrefix="0" xfId="20">
      <alignment horizontal="general" vertical="center" wrapText="1"/>
    </xf>
    <xf numFmtId="164" fontId="15" fillId="0" borderId="4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center" vertical="bottom"/>
    </xf>
    <xf numFmtId="0" fontId="15" fillId="0" borderId="4" applyAlignment="1" pivotButton="0" quotePrefix="0" xfId="20">
      <alignment horizontal="general" vertical="top" wrapText="1"/>
    </xf>
    <xf numFmtId="164" fontId="15" fillId="0" borderId="4" applyAlignment="1" pivotButton="0" quotePrefix="0" xfId="20">
      <alignment horizontal="general" vertical="top" wrapText="1"/>
    </xf>
    <xf numFmtId="164" fontId="9" fillId="0" borderId="0" applyAlignment="1" pivotButton="0" quotePrefix="0" xfId="20">
      <alignment horizontal="general" vertical="bottom" wrapText="1"/>
    </xf>
    <xf numFmtId="0" fontId="23" fillId="7" borderId="7" applyAlignment="1" pivotButton="0" quotePrefix="0" xfId="20">
      <alignment horizontal="general" vertical="center" wrapText="1"/>
    </xf>
    <xf numFmtId="0" fontId="24" fillId="8" borderId="8" applyAlignment="1" pivotButton="0" quotePrefix="0" xfId="2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1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6" fillId="0" borderId="3" applyAlignment="1" pivotButton="0" quotePrefix="0" xfId="20">
      <alignment horizontal="general" vertical="top" wrapText="1"/>
    </xf>
    <xf numFmtId="0" fontId="16" fillId="0" borderId="4" applyAlignment="1" pivotButton="0" quotePrefix="0" xfId="20">
      <alignment horizontal="general" vertical="top" wrapText="1"/>
    </xf>
    <xf numFmtId="0" fontId="17" fillId="6" borderId="0" applyAlignment="1" pivotButton="0" quotePrefix="0" xfId="20">
      <alignment horizontal="center" vertical="bottom" wrapText="1"/>
    </xf>
    <xf numFmtId="0" fontId="6" fillId="2" borderId="0" applyAlignment="1" pivotButton="0" quotePrefix="0" xfId="20">
      <alignment horizontal="general" vertical="center" wrapText="1"/>
    </xf>
    <xf numFmtId="0" fontId="20" fillId="5" borderId="1" applyAlignment="1" pivotButton="0" quotePrefix="0" xfId="20">
      <alignment horizontal="center" vertical="center" wrapText="1"/>
    </xf>
    <xf numFmtId="0" fontId="13" fillId="5" borderId="5" applyAlignment="1" pivotButton="0" quotePrefix="0" xfId="20">
      <alignment horizontal="center" vertical="center" wrapText="1"/>
    </xf>
    <xf numFmtId="0" fontId="20" fillId="5" borderId="5" applyAlignment="1" pivotButton="0" quotePrefix="0" xfId="20">
      <alignment horizontal="center" vertical="center" wrapText="1"/>
    </xf>
    <xf numFmtId="0" fontId="21" fillId="0" borderId="0" applyAlignment="1" pivotButton="0" quotePrefix="0" xfId="20">
      <alignment horizontal="center" vertical="center"/>
    </xf>
    <xf numFmtId="0" fontId="13" fillId="5" borderId="6" applyAlignment="1" pivotButton="0" quotePrefix="0" xfId="20">
      <alignment horizontal="center" vertical="center" wrapText="1"/>
    </xf>
    <xf numFmtId="0" fontId="15" fillId="0" borderId="4" applyAlignment="1" pivotButton="0" quotePrefix="0" xfId="20">
      <alignment horizontal="general" vertical="center" wrapText="1"/>
    </xf>
    <xf numFmtId="0" fontId="16" fillId="0" borderId="4" applyAlignment="1" pivotButton="0" quotePrefix="0" xfId="20">
      <alignment horizontal="general" vertical="center" wrapText="1"/>
    </xf>
    <xf numFmtId="164" fontId="15" fillId="0" borderId="4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center" vertical="bottom"/>
    </xf>
    <xf numFmtId="0" fontId="15" fillId="0" borderId="4" applyAlignment="1" pivotButton="0" quotePrefix="0" xfId="20">
      <alignment horizontal="general" vertical="top" wrapText="1"/>
    </xf>
    <xf numFmtId="164" fontId="15" fillId="0" borderId="4" applyAlignment="1" pivotButton="0" quotePrefix="0" xfId="20">
      <alignment horizontal="general" vertical="top" wrapText="1"/>
    </xf>
    <xf numFmtId="164" fontId="9" fillId="0" borderId="0" applyAlignment="1" pivotButton="0" quotePrefix="0" xfId="20">
      <alignment horizontal="general" vertical="bottom" wrapText="1"/>
    </xf>
    <xf numFmtId="0" fontId="23" fillId="7" borderId="7" applyAlignment="1" pivotButton="0" quotePrefix="0" xfId="20">
      <alignment horizontal="general" vertical="center" wrapText="1"/>
    </xf>
    <xf numFmtId="0" fontId="24" fillId="8" borderId="8" applyAlignment="1" pivotButton="0" quotePrefix="0" xfId="2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0066CC"/>
      <rgbColor rgb="FFDCE8EC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4F2F3"/>
      <rgbColor rgb="FFD7EEE5"/>
      <rgbColor rgb="FFFFFF99"/>
      <rgbColor rgb="FFAFC9CD"/>
      <rgbColor rgb="FFFF99CC"/>
      <rgbColor rgb="FFCC99FF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8FC3A1"/>
      <rgbColor rgb="FF163246"/>
      <rgbColor rgb="FF339966"/>
      <rgbColor rgb="FF13202B"/>
      <rgbColor rgb="FF17563A"/>
      <rgbColor rgb="FF8A4B08"/>
      <rgbColor rgb="FF993366"/>
      <rgbColor rgb="FF1F5A78"/>
      <rgbColor rgb="FF15383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29" min="1" max="1"/>
    <col width="16.71" customWidth="1" style="29" min="2" max="3"/>
    <col width="3.58" customWidth="1" style="29" min="4" max="4"/>
    <col width="9.550000000000001" customWidth="1" style="29" min="5" max="5"/>
    <col width="35.81" customWidth="1" style="29" min="6" max="6"/>
    <col width="50.13" customWidth="1" style="29" min="7" max="7"/>
    <col width="3.58" customWidth="1" style="29" min="8" max="8"/>
    <col width="25.07" customWidth="1" style="29" min="9" max="10"/>
  </cols>
  <sheetData>
    <row r="1" ht="24.75" customHeight="1" s="30">
      <c r="A1" s="31" t="inlineStr">
        <is>
          <t>SHELLSTORM 2 · UI资产账本 v0.1</t>
        </is>
      </c>
    </row>
    <row r="2" ht="12" customHeight="1" s="30"/>
    <row r="3" ht="22.5" customHeight="1" s="30">
      <c r="A3" s="32" t="inlineStr">
        <is>
          <t>归属域=UI｜覆盖大类=UI｜AssetID 前缀=UI｜主账本（总目录）=assets/registry/ShellStorm2_美术资产台账_v001.xlsx；本账本可独立并行编辑，跨域契约见主账本</t>
        </is>
      </c>
    </row>
    <row r="4" ht="15" customHeight="1" s="30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</row>
    <row r="5" ht="27.6" customHeight="1" s="30">
      <c r="A5" s="34" t="inlineStr">
        <is>
          <t>资产总数</t>
        </is>
      </c>
      <c r="B5" s="34" t="n"/>
      <c r="C5" s="34" t="inlineStr">
        <is>
          <t>已完成/已接入</t>
        </is>
      </c>
      <c r="D5" s="34" t="n"/>
      <c r="E5" s="34" t="inlineStr">
        <is>
          <t>待制作/程序占位</t>
        </is>
      </c>
      <c r="F5" s="34" t="n"/>
      <c r="G5" s="34" t="inlineStr">
        <is>
          <t>重复警报</t>
        </is>
      </c>
      <c r="H5" s="34" t="n"/>
      <c r="I5" s="34" t="inlineStr">
        <is>
          <t>域内专表 / 3D Prefab 分页</t>
        </is>
      </c>
      <c r="J5" s="34" t="n"/>
    </row>
    <row r="6" ht="42" customHeight="1" s="30">
      <c r="A6" s="35">
        <f>COUNTA('资产主表'!$A$6:$A$23)</f>
        <v/>
      </c>
      <c r="B6" s="33" t="n"/>
      <c r="C6" s="35">
        <f>COUNTIF('资产主表'!$K$6:$K$23,"已完成")+COUNTIF('资产主表'!$K$6:$K$23,"原型已接入")+COUNTIF('资产主表'!$K$6:$K$23,"正式美术已接入")+COUNTIF('资产主表'!$K$6:$K$23,"已优化并正式接入")+COUNTIF('资产主表'!$K$6:$K$23,"Blender源已完成")+COUNTIF('资产主表'!$K$6:$K$23,"已导入；优化完成")+COUNTIF('资产主表'!$K$6:$K$23,"白模源已完成；QA PASS")</f>
        <v/>
      </c>
      <c r="D6" s="33" t="n"/>
      <c r="E6" s="35">
        <f>COUNTIF('资产主表'!$K$6:$K$23,"待制作")+COUNTIF('资产主表'!$K$6:$K$23,"程序占位")</f>
        <v/>
      </c>
      <c r="F6" s="33" t="n"/>
      <c r="G6" s="35">
        <f>COUNTIF('资产主表'!$S$6:$S$23,"重复")</f>
        <v/>
      </c>
      <c r="H6" s="33" t="n"/>
      <c r="I6" s="34" t="inlineStr">
        <is>
          <t>域内专表：无　|　3D Prefab 分页：无</t>
        </is>
      </c>
    </row>
    <row r="7" ht="15" customHeight="1" s="30">
      <c r="A7" s="33" t="n"/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</row>
    <row r="8" ht="15" customHeight="1" s="30">
      <c r="A8" s="33" t="n"/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</row>
    <row r="9" ht="31.5" customHeight="1" s="30">
      <c r="A9" s="36" t="inlineStr">
        <is>
          <t>大类</t>
        </is>
      </c>
      <c r="B9" s="36" t="inlineStr">
        <is>
          <t>资产数</t>
        </is>
      </c>
      <c r="C9" s="36" t="inlineStr">
        <is>
          <t>完成/接入</t>
        </is>
      </c>
      <c r="D9" s="36" t="n"/>
      <c r="E9" s="37" t="inlineStr">
        <is>
          <t>本账本只登记上列大类；跨域搬运资产须同步主账本《分类与编码》并重跑门禁</t>
        </is>
      </c>
      <c r="F9" s="38" t="n"/>
      <c r="G9" s="38" t="n"/>
      <c r="H9" s="38" t="n"/>
      <c r="I9" s="38" t="n"/>
      <c r="J9" s="39" t="n"/>
    </row>
    <row r="10" ht="21.75" customHeight="1" s="30">
      <c r="A10" s="40" t="inlineStr">
        <is>
          <t>UI</t>
        </is>
      </c>
      <c r="B10" s="40">
        <f>COUNTIF('资产主表'!$C$6:$C$23,A10)</f>
        <v/>
      </c>
      <c r="C10" s="40">
        <f>SUMPRODUCT(('资产主表'!$C$6:$C$23=A10)*(('资产主表'!$K$6:$K$23="已完成")+('资产主表'!$K$6:$K$23="原型已接入")+('资产主表'!$K$6:$K$23="正式美术已接入")+('资产主表'!$K$6:$K$23="已优化并正式接入")+('资产主表'!$K$6:$K$23="Blender源已完成")+('资产主表'!$K$6:$K$23="已导入；优化完成")+('资产主表'!$K$6:$K$23="白模源已完成；QA PASS")))</f>
        <v/>
      </c>
      <c r="D10" s="40" t="n"/>
      <c r="E10" s="40" t="n"/>
      <c r="F10" s="40" t="n"/>
      <c r="G10" s="40" t="n"/>
      <c r="H10" s="40" t="n"/>
      <c r="I10" s="40" t="n"/>
      <c r="J10" s="40" t="n"/>
    </row>
    <row r="11" ht="21.75" customHeight="1" s="30">
      <c r="A11" s="41" t="inlineStr">
        <is>
          <t>合计</t>
        </is>
      </c>
      <c r="B11" s="40">
        <f>COUNTIF('资产主表'!$C$6:$C$23,A11)</f>
        <v/>
      </c>
      <c r="C11" s="40">
        <f>SUMPRODUCT(('资产主表'!$C$6:$C$23=A11)*(('资产主表'!$K$6:$K$23="已完成")+('资产主表'!$K$6:$K$23="原型已接入")+('资产主表'!$K$6:$K$23="正式美术已接入")+('资产主表'!$K$6:$K$23="已优化并正式接入")+('资产主表'!$K$6:$K$23="Blender源已完成")+('资产主表'!$K$6:$K$23="已导入；优化完成")+('资产主表'!$K$6:$K$23="白模源已完成；QA PASS")))</f>
        <v/>
      </c>
      <c r="D11" s="40" t="n"/>
      <c r="E11" s="40" t="n"/>
      <c r="F11" s="40" t="n"/>
      <c r="G11" s="40" t="n"/>
      <c r="H11" s="40" t="n"/>
      <c r="I11" s="40" t="n"/>
      <c r="J11" s="40" t="n"/>
    </row>
    <row r="12" ht="15" customHeight="1" s="30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</row>
    <row r="13" ht="15" customHeight="1" s="30">
      <c r="A13" s="42" t="n"/>
      <c r="B13" s="42" t="n"/>
      <c r="C13" s="42" t="n"/>
      <c r="D13" s="33" t="n"/>
      <c r="E13" s="43" t="n"/>
      <c r="F13" s="42" t="n"/>
      <c r="G13" s="42" t="n"/>
      <c r="H13" s="33" t="n"/>
      <c r="I13" s="33" t="n"/>
      <c r="J13" s="33" t="n"/>
    </row>
    <row r="14" ht="15" customHeight="1" s="30">
      <c r="A14" s="42" t="n"/>
      <c r="B14" s="42" t="n"/>
      <c r="C14" s="42" t="n"/>
      <c r="D14" s="33" t="n"/>
      <c r="E14" s="43" t="n"/>
      <c r="F14" s="42" t="n"/>
      <c r="G14" s="42" t="n"/>
      <c r="H14" s="33" t="n"/>
      <c r="I14" s="33" t="n"/>
      <c r="J14" s="33" t="n"/>
    </row>
    <row r="15" ht="15" customHeight="1" s="30">
      <c r="A15" s="42" t="n"/>
      <c r="B15" s="42" t="n"/>
      <c r="C15" s="42" t="n"/>
      <c r="D15" s="33" t="n"/>
      <c r="E15" s="33" t="n"/>
      <c r="F15" s="33" t="n"/>
      <c r="G15" s="33" t="n"/>
      <c r="H15" s="33" t="n"/>
      <c r="I15" s="33" t="n"/>
      <c r="J15" s="33" t="n"/>
    </row>
    <row r="16" ht="15" customHeight="1" s="30">
      <c r="A16" s="42" t="n"/>
      <c r="B16" s="42" t="n"/>
      <c r="C16" s="42" t="n"/>
      <c r="D16" s="33" t="n"/>
      <c r="E16" s="33" t="n"/>
      <c r="F16" s="33" t="n"/>
      <c r="G16" s="33" t="n"/>
      <c r="H16" s="33" t="n"/>
      <c r="I16" s="33" t="n"/>
      <c r="J16" s="33" t="n"/>
    </row>
    <row r="17" ht="15" customHeight="1" s="30">
      <c r="A17" s="42" t="n"/>
      <c r="B17" s="42" t="n"/>
      <c r="C17" s="42" t="n"/>
      <c r="D17" s="33" t="n"/>
      <c r="E17" s="33" t="n"/>
      <c r="F17" s="33" t="n"/>
      <c r="G17" s="33" t="n"/>
      <c r="H17" s="33" t="n"/>
      <c r="I17" s="33" t="n"/>
      <c r="J17" s="33" t="n"/>
    </row>
    <row r="18" ht="15" customHeight="1" s="30">
      <c r="A18" s="42" t="n"/>
      <c r="B18" s="42" t="n"/>
      <c r="C18" s="42" t="n"/>
      <c r="D18" s="33" t="n"/>
      <c r="E18" s="33" t="n"/>
      <c r="F18" s="33" t="n"/>
      <c r="G18" s="33" t="n"/>
      <c r="H18" s="33" t="n"/>
      <c r="I18" s="33" t="n"/>
      <c r="J18" s="33" t="n"/>
    </row>
    <row r="19" ht="15" customHeight="1" s="30">
      <c r="A19" s="33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</row>
    <row r="20" ht="15" customHeight="1" s="30">
      <c r="A20" s="33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</row>
  </sheetData>
  <mergeCells count="4">
    <mergeCell ref="E9:J9"/>
    <mergeCell ref="A3:J3"/>
    <mergeCell ref="A1:J2"/>
    <mergeCell ref="I6:J6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29" min="1" max="1"/>
    <col width="74" customWidth="1" style="29" min="2" max="2"/>
    <col width="40.58" customWidth="1" style="29" min="3" max="3"/>
    <col width="28.65" customWidth="1" style="29" min="4" max="6"/>
  </cols>
  <sheetData>
    <row r="1" ht="15" customHeight="1" s="30">
      <c r="A1" s="44" t="inlineStr">
        <is>
          <t>本账本说明 · UI</t>
        </is>
      </c>
    </row>
    <row r="2" ht="15" customHeight="1" s="30"/>
    <row r="3" ht="15" customHeight="1" s="30">
      <c r="A3" s="32" t="inlineStr">
        <is>
          <t>本表是分账本自描述；机器可读真源为 assets/registry/ledger_index.json，二者不一致时以 JSON 为准</t>
        </is>
      </c>
    </row>
    <row r="5" ht="15" customHeight="1" s="30">
      <c r="A5" s="36" t="inlineStr">
        <is>
          <t>项</t>
        </is>
      </c>
      <c r="B5" s="36" t="inlineStr">
        <is>
          <t>值</t>
        </is>
      </c>
      <c r="C5" s="36" t="n"/>
      <c r="D5" s="36" t="n"/>
      <c r="E5" s="36" t="n"/>
      <c r="F5" s="36" t="n"/>
    </row>
    <row r="6" ht="30" customHeight="1" s="30">
      <c r="A6" s="41" t="inlineStr">
        <is>
          <t>账本归属域</t>
        </is>
      </c>
      <c r="B6" s="40" t="inlineStr">
        <is>
          <t>UI</t>
        </is>
      </c>
      <c r="C6" s="40" t="n"/>
      <c r="D6" s="40" t="n"/>
      <c r="E6" s="40" t="n"/>
      <c r="F6" s="40" t="n"/>
    </row>
    <row r="7" ht="30" customHeight="1" s="30">
      <c r="A7" s="41" t="inlineStr">
        <is>
          <t>分账本文件</t>
        </is>
      </c>
      <c r="B7" s="40" t="inlineStr">
        <is>
          <t>assets/registry/ledgers/ShellStorm2_UI账本_v001.xlsx</t>
        </is>
      </c>
      <c r="C7" s="40" t="n"/>
      <c r="D7" s="40" t="n"/>
      <c r="E7" s="40" t="n"/>
      <c r="F7" s="40" t="n"/>
    </row>
    <row r="8" ht="30" customHeight="1" s="30">
      <c r="A8" s="41" t="inlineStr">
        <is>
          <t>覆盖大类</t>
        </is>
      </c>
      <c r="B8" s="40" t="inlineStr">
        <is>
          <t>UI</t>
        </is>
      </c>
      <c r="C8" s="40" t="n"/>
      <c r="D8" s="40" t="n"/>
      <c r="E8" s="40" t="n"/>
      <c r="F8" s="40" t="n"/>
    </row>
    <row r="9" ht="30" customHeight="1" s="30">
      <c r="A9" s="40" t="inlineStr">
        <is>
          <t>AssetID 前缀</t>
        </is>
      </c>
      <c r="B9" s="40" t="inlineStr">
        <is>
          <t>UI</t>
        </is>
      </c>
      <c r="C9" s="40" t="n"/>
      <c r="D9" s="40" t="n"/>
      <c r="E9" s="40" t="n"/>
      <c r="F9" s="40" t="n"/>
    </row>
    <row r="10" ht="30" customHeight="1" s="30">
      <c r="A10" s="41" t="inlineStr">
        <is>
          <t>域内专表</t>
        </is>
      </c>
      <c r="B10" s="41" t="inlineStr">
        <is>
          <t>无</t>
        </is>
      </c>
      <c r="C10" s="40" t="n"/>
      <c r="D10" s="40" t="n"/>
      <c r="E10" s="40" t="n"/>
      <c r="F10" s="40" t="n"/>
    </row>
    <row r="11" ht="30" customHeight="1" s="30">
      <c r="A11" s="40" t="inlineStr">
        <is>
          <t>3D Prefab 分页</t>
        </is>
      </c>
      <c r="B11" s="41" t="inlineStr">
        <is>
          <t>无</t>
        </is>
      </c>
      <c r="C11" s="40" t="n"/>
      <c r="D11" s="40" t="n"/>
      <c r="E11" s="40" t="n"/>
      <c r="F11" s="40" t="n"/>
    </row>
    <row r="12" ht="30" customHeight="1" s="30">
      <c r="A12" s="41" t="inlineStr">
        <is>
          <t>动画登记表</t>
        </is>
      </c>
      <c r="B12" s="41" t="inlineStr">
        <is>
          <t>无</t>
        </is>
      </c>
      <c r="C12" s="40" t="n"/>
      <c r="D12" s="40" t="n"/>
      <c r="E12" s="40" t="n"/>
      <c r="F12" s="40" t="n"/>
    </row>
    <row r="13" ht="30" customHeight="1" s="30">
      <c r="A13" s="41" t="inlineStr">
        <is>
          <t>主账本（总目录）</t>
        </is>
      </c>
      <c r="B13" s="40" t="inlineStr">
        <is>
          <t>assets/registry/ShellStorm2_美术资产台账_v001.xlsx</t>
        </is>
      </c>
      <c r="C13" s="40" t="n"/>
      <c r="D13" s="40" t="n"/>
      <c r="E13" s="40" t="n"/>
      <c r="F13" s="40" t="n"/>
    </row>
    <row r="14" ht="30" customHeight="1" s="30">
      <c r="A14" s="41" t="inlineStr">
        <is>
          <t>跨域契约</t>
        </is>
      </c>
      <c r="B14" s="41" t="inlineStr">
        <is>
          <t>分类与编码 / 命名与查重 / 版本记录 / Skill 清单 / 3D Prefab 总控 —— 全部只在主账本维护</t>
        </is>
      </c>
      <c r="C14" s="40" t="n"/>
      <c r="D14" s="40" t="n"/>
      <c r="E14" s="40" t="n"/>
      <c r="F14" s="40" t="n"/>
    </row>
    <row r="15" ht="30" customHeight="1" s="30">
      <c r="A15" s="41" t="inlineStr">
        <is>
          <t>首选制作 Skill</t>
        </is>
      </c>
      <c r="B15" s="40" t="inlineStr">
        <is>
          <t>ui-asset-pipeline</t>
        </is>
      </c>
      <c r="C15" s="40" t="n"/>
      <c r="D15" s="40" t="n"/>
      <c r="E15" s="40" t="n"/>
      <c r="F15" s="40" t="n"/>
    </row>
    <row r="16" ht="30" customHeight="1" s="30">
      <c r="A16" s="41" t="inlineStr">
        <is>
          <t>协作 Skill</t>
        </is>
      </c>
      <c r="B16" s="41" t="inlineStr">
        <is>
          <t>无</t>
        </is>
      </c>
      <c r="C16" s="40" t="n"/>
      <c r="D16" s="40" t="n"/>
      <c r="E16" s="40" t="n"/>
      <c r="F16" s="40" t="n"/>
    </row>
    <row r="17" ht="30" customHeight="1" s="30">
      <c r="A17" s="41" t="inlineStr">
        <is>
          <t>负责人</t>
        </is>
      </c>
      <c r="B17" s="41" t="inlineStr">
        <is>
          <t>待分配</t>
        </is>
      </c>
      <c r="C17" s="40" t="n"/>
      <c r="D17" s="40" t="n"/>
      <c r="E17" s="40" t="n"/>
      <c r="F17" s="40" t="n"/>
    </row>
    <row r="18" ht="30" customHeight="1" s="30">
      <c r="A18" s="41" t="inlineStr">
        <is>
          <t>登记范围</t>
        </is>
      </c>
      <c r="B18" s="40" t="inlineStr">
        <is>
          <t>HUD、页面、面板、图标、弹窗、手柄焦点与跨分辨率界面表现；UI 只消费领域命令/查询，不持有玩法或存档规则。</t>
        </is>
      </c>
      <c r="C18" s="40" t="n"/>
      <c r="D18" s="40" t="n"/>
      <c r="E18" s="40" t="n"/>
      <c r="F18" s="40" t="n"/>
    </row>
    <row r="19" ht="30" customHeight="1" s="30">
      <c r="A19" s="41" t="inlineStr">
        <is>
          <t>编辑边界</t>
        </is>
      </c>
      <c r="B19" s="4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40" t="n"/>
      <c r="D19" s="40" t="n"/>
      <c r="E19" s="40" t="n"/>
      <c r="F19" s="40" t="n"/>
    </row>
    <row r="20" ht="30" customHeight="1" s="30">
      <c r="A20" s="41" t="inlineStr">
        <is>
          <t>登记口径</t>
        </is>
      </c>
      <c r="B20" s="4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40" t="n"/>
      <c r="D20" s="40" t="n"/>
      <c r="E20" s="40" t="n"/>
      <c r="F20" s="40" t="n"/>
    </row>
    <row r="21" ht="30" customHeight="1" s="30">
      <c r="A21" s="41" t="inlineStr">
        <is>
          <t>门禁</t>
        </is>
      </c>
      <c r="B21" s="40" t="inlineStr">
        <is>
          <t>python3 scripts/check_media_asset_domains.py；python3 scripts/check_asset_registry.py --scope structure</t>
        </is>
      </c>
      <c r="C21" s="40" t="n"/>
      <c r="D21" s="40" t="n"/>
      <c r="E21" s="40" t="n"/>
      <c r="F21" s="40" t="n"/>
    </row>
    <row r="22" ht="30" customHeight="1" s="30">
      <c r="A22" s="41" t="inlineStr">
        <is>
          <t>无损基线</t>
        </is>
      </c>
      <c r="B22" s="40" t="inlineStr">
        <is>
          <t>assets/registry/ledger_split_baseline.json + assets/registry/media_domain_split_manifest.json；门禁断言 AssetID/路径/哈希/状态不丢失</t>
        </is>
      </c>
      <c r="C22" s="40" t="n"/>
      <c r="D22" s="40" t="n"/>
      <c r="E22" s="40" t="n"/>
      <c r="F22" s="40" t="n"/>
    </row>
    <row r="23" ht="30" customHeight="1" s="30">
      <c r="A23" s="41" t="inlineStr">
        <is>
          <t>快照日期</t>
        </is>
      </c>
      <c r="B23" s="40" t="inlineStr">
        <is>
          <t>2026-09-23</t>
        </is>
      </c>
      <c r="C23" s="40" t="n"/>
      <c r="D23" s="40" t="n"/>
      <c r="E23" s="40" t="n"/>
      <c r="F23" s="40" t="n"/>
    </row>
  </sheetData>
  <mergeCells count="2">
    <mergeCell ref="A3:F3"/>
    <mergeCell ref="A1:F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7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29" min="1" max="1"/>
    <col width="21.48" customWidth="1" style="29" min="2" max="2"/>
    <col width="11.94" customWidth="1" style="29" min="3" max="3"/>
    <col width="21.48" customWidth="1" style="29" min="4" max="4"/>
    <col width="26.26" customWidth="1" style="29" min="5" max="5"/>
    <col width="14.33" customWidth="1" style="29" min="6" max="6"/>
    <col width="29.84" customWidth="1" style="29" min="7" max="7"/>
    <col width="22.68" customWidth="1" style="29" min="8" max="8"/>
    <col width="17.9" customWidth="1" style="29" min="9" max="9"/>
    <col width="21.48" customWidth="1" style="29" min="10" max="10"/>
    <col width="14.33" customWidth="1" style="29" min="11" max="11"/>
    <col width="9.550000000000001" customWidth="1" style="29" min="12" max="12"/>
    <col width="10.74" customWidth="1" style="29" min="13" max="13"/>
    <col width="19.1" customWidth="1" style="29" min="14" max="14"/>
    <col width="42.97" customWidth="1" style="29" min="15" max="15"/>
    <col width="40.58" customWidth="1" style="29" min="16" max="16"/>
    <col width="31.03" customWidth="1" style="29" min="17" max="17"/>
    <col width="50.13" customWidth="1" style="29" min="18" max="18"/>
    <col width="14.33" customWidth="1" style="29" min="19" max="19"/>
    <col width="35.81" customWidth="1" style="29" min="20" max="20"/>
    <col width="14.33" customWidth="1" style="29" min="21" max="21"/>
    <col width="15.51" customWidth="1" style="29" min="22" max="22"/>
    <col width="19.1" customWidth="1" style="29" min="23" max="23"/>
    <col width="62.06" customWidth="1" style="29" min="24" max="24"/>
  </cols>
  <sheetData>
    <row r="1" ht="24.75" customHeight="1" s="30">
      <c r="A1" s="44" t="inlineStr">
        <is>
          <t>资产主表 · 唯一登记源</t>
        </is>
      </c>
    </row>
    <row r="2" ht="12" customHeight="1" s="30"/>
    <row r="3" ht="22.5" customHeight="1" s="30">
      <c r="A3" s="32" t="inlineStr">
        <is>
          <t>查重键由公式生成；S 列出现“重复”时禁止制作，先合并或建立变体父子关系</t>
        </is>
      </c>
    </row>
    <row r="4" ht="15" customHeight="1" s="30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  <c r="Y4" s="33" t="n"/>
    </row>
    <row r="5" ht="31.5" customHeight="1" s="30">
      <c r="A5" s="45" t="inlineStr">
        <is>
          <t>AssetID</t>
        </is>
      </c>
      <c r="B5" s="46" t="inlineStr">
        <is>
          <t>中文名</t>
        </is>
      </c>
      <c r="C5" s="46" t="inlineStr">
        <is>
          <t>大类</t>
        </is>
      </c>
      <c r="D5" s="46" t="inlineStr">
        <is>
          <t>子类</t>
        </is>
      </c>
      <c r="E5" s="46" t="inlineStr">
        <is>
          <t>逻辑ID/源键</t>
        </is>
      </c>
      <c r="F5" s="46" t="inlineStr">
        <is>
          <t>组件槽</t>
        </is>
      </c>
      <c r="G5" s="46" t="inlineStr">
        <is>
          <t>变体父ID</t>
        </is>
      </c>
      <c r="H5" s="46" t="inlineStr">
        <is>
          <t>视角</t>
        </is>
      </c>
      <c r="I5" s="46" t="inlineStr">
        <is>
          <t>状态/动画</t>
        </is>
      </c>
      <c r="J5" s="46" t="inlineStr">
        <is>
          <t>复用范围</t>
        </is>
      </c>
      <c r="K5" s="46" t="inlineStr">
        <is>
          <t>制作状态</t>
        </is>
      </c>
      <c r="L5" s="46" t="inlineStr">
        <is>
          <t>优先级</t>
        </is>
      </c>
      <c r="M5" s="46" t="inlineStr">
        <is>
          <t>版本</t>
        </is>
      </c>
      <c r="N5" s="46" t="inlineStr">
        <is>
          <t>规格(px)</t>
        </is>
      </c>
      <c r="O5" s="46" t="inlineStr">
        <is>
          <t>文件路径</t>
        </is>
      </c>
      <c r="P5" s="46" t="inlineStr">
        <is>
          <t>源码/策划依据</t>
        </is>
      </c>
      <c r="Q5" s="46" t="inlineStr">
        <is>
          <t>关键词/别名</t>
        </is>
      </c>
      <c r="R5" s="46" t="inlineStr">
        <is>
          <t>查重键</t>
        </is>
      </c>
      <c r="S5" s="46" t="inlineStr">
        <is>
          <t>查重结果</t>
        </is>
      </c>
      <c r="T5" s="47" t="inlineStr">
        <is>
          <t>SHA-256</t>
        </is>
      </c>
      <c r="U5" s="46" t="inlineStr">
        <is>
          <t>负责人</t>
        </is>
      </c>
      <c r="V5" s="46" t="inlineStr">
        <is>
          <t>更新时间</t>
        </is>
      </c>
      <c r="W5" s="46" t="inlineStr">
        <is>
          <t>来源/许可</t>
        </is>
      </c>
      <c r="X5" s="48" t="inlineStr">
        <is>
          <t>源编号（Blender collection）</t>
        </is>
      </c>
      <c r="Y5" s="49" t="inlineStr">
        <is>
          <t>备注</t>
        </is>
      </c>
    </row>
    <row r="6" ht="310.4" customHeight="1" s="30">
      <c r="A6" s="50" t="inlineStr">
        <is>
          <t>UI-SCREEN-HUD</t>
        </is>
      </c>
      <c r="B6" s="51" t="inlineStr">
        <is>
          <t>战斗 HUD</t>
        </is>
      </c>
      <c r="C6" s="50" t="inlineStr">
        <is>
          <t>UI</t>
        </is>
      </c>
      <c r="D6" s="50" t="inlineStr">
        <is>
          <t>screen</t>
        </is>
      </c>
      <c r="E6" s="50" t="inlineStr">
        <is>
          <t>hud</t>
        </is>
      </c>
      <c r="F6" s="50" t="inlineStr">
        <is>
          <t>root</t>
        </is>
      </c>
      <c r="G6" s="50" t="n"/>
      <c r="H6" s="51" t="inlineStr">
        <is>
          <t>屏幕空间</t>
        </is>
      </c>
      <c r="I6" s="50" t="inlineStr">
        <is>
          <t>default</t>
        </is>
      </c>
      <c r="J6" s="51" t="inlineStr">
        <is>
          <t>跨分辨率</t>
        </is>
      </c>
      <c r="K6" s="51" t="inlineStr">
        <is>
          <t>原型已接入</t>
        </is>
      </c>
      <c r="L6" s="50" t="inlineStr">
        <is>
          <t>P0</t>
        </is>
      </c>
      <c r="M6" s="50" t="inlineStr">
        <is>
          <t>v002</t>
        </is>
      </c>
      <c r="N6" s="50" t="inlineStr">
        <is>
          <t>1280×720 基准；九宫格/矢量优先</t>
        </is>
      </c>
      <c r="O6" s="50" t="inlineStr">
        <is>
          <t>scenes/Dungeon3D.tscn</t>
        </is>
      </c>
      <c r="P6" s="50" t="inlineStr">
        <is>
          <t>src/ui/GameUIManager.gd</t>
        </is>
      </c>
      <c r="Q6" s="50" t="n"/>
      <c r="R6" s="50">
        <f>LOWER(TRIM(C6)&amp;"|"&amp;TRIM(D6)&amp;"|"&amp;TRIM(E6)&amp;"|"&amp;TRIM(F6)&amp;"|"&amp;TRIM(H6)&amp;"|"&amp;TRIM(I6))</f>
        <v/>
      </c>
      <c r="S6" s="51">
        <f>IF(COUNTIF($R$6:$R$23,R6)&gt;1,"重复","唯一")</f>
        <v/>
      </c>
      <c r="T6" s="50" t="inlineStr">
        <is>
          <t>87bf0961b7cc4e440181adc14af71a230053139d69cbf82fa35b2aed3616932a</t>
        </is>
      </c>
      <c r="U6" s="51" t="inlineStr">
        <is>
          <t>待分配</t>
        </is>
      </c>
      <c r="V6" s="52" t="n">
        <v>46264</v>
      </c>
      <c r="W6" s="51" t="inlineStr">
        <is>
          <t>原创/待确认</t>
        </is>
      </c>
      <c r="X6" s="53" t="inlineStr">
        <is>
          <t>—</t>
        </is>
      </c>
      <c r="Y6" s="50" t="inlineStr">
        <is>
          <t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t>
        </is>
      </c>
    </row>
    <row r="7" ht="32.8" customHeight="1" s="30">
      <c r="A7" s="54" t="inlineStr">
        <is>
          <t>UI-SCREEN-MERCHANT</t>
        </is>
      </c>
      <c r="B7" s="42" t="inlineStr">
        <is>
          <t>商人</t>
        </is>
      </c>
      <c r="C7" s="54" t="inlineStr">
        <is>
          <t>UI</t>
        </is>
      </c>
      <c r="D7" s="54" t="inlineStr">
        <is>
          <t>screen</t>
        </is>
      </c>
      <c r="E7" s="54" t="inlineStr">
        <is>
          <t>merchant</t>
        </is>
      </c>
      <c r="F7" s="54" t="inlineStr">
        <is>
          <t>root</t>
        </is>
      </c>
      <c r="G7" s="54" t="n"/>
      <c r="H7" s="42" t="inlineStr">
        <is>
          <t>屏幕空间</t>
        </is>
      </c>
      <c r="I7" s="54" t="inlineStr">
        <is>
          <t>default</t>
        </is>
      </c>
      <c r="J7" s="42" t="inlineStr">
        <is>
          <t>跨分辨率</t>
        </is>
      </c>
      <c r="K7" s="42" t="inlineStr">
        <is>
          <t>程序占位</t>
        </is>
      </c>
      <c r="L7" s="54" t="inlineStr">
        <is>
          <t>P2</t>
        </is>
      </c>
      <c r="M7" s="54" t="inlineStr">
        <is>
          <t>v001</t>
        </is>
      </c>
      <c r="N7" s="54" t="inlineStr">
        <is>
          <t>1280×720 基准；九宫格/矢量优先</t>
        </is>
      </c>
      <c r="O7" s="54" t="n"/>
      <c r="P7" s="54" t="inlineStr">
        <is>
          <t>src/ui/MerchantUI.gd</t>
        </is>
      </c>
      <c r="Q7" s="54" t="n"/>
      <c r="R7" s="54">
        <f>LOWER(TRIM(C7)&amp;"|"&amp;TRIM(D7)&amp;"|"&amp;TRIM(E7)&amp;"|"&amp;TRIM(F7)&amp;"|"&amp;TRIM(H7)&amp;"|"&amp;TRIM(I7))</f>
        <v/>
      </c>
      <c r="S7" s="42">
        <f>IF(COUNTIF($R$6:$R$23,R7)&gt;1,"重复","唯一")</f>
        <v/>
      </c>
      <c r="T7" s="54" t="n"/>
      <c r="U7" s="42" t="inlineStr">
        <is>
          <t>待分配</t>
        </is>
      </c>
      <c r="V7" s="55" t="n">
        <v>46224</v>
      </c>
      <c r="W7" s="42" t="inlineStr">
        <is>
          <t>原创/待确认</t>
        </is>
      </c>
      <c r="X7" s="53" t="inlineStr">
        <is>
          <t>—</t>
        </is>
      </c>
      <c r="Y7" s="42" t="inlineStr">
        <is>
          <t>先建组件库，再做页面，避免每页重复画按钮/面板</t>
        </is>
      </c>
    </row>
    <row r="8" ht="32.8" customHeight="1" s="30">
      <c r="A8" s="54" t="inlineStr">
        <is>
          <t>UI-SCREEN-WORKSHOP</t>
        </is>
      </c>
      <c r="B8" s="42" t="inlineStr">
        <is>
          <t>枪械工坊</t>
        </is>
      </c>
      <c r="C8" s="54" t="inlineStr">
        <is>
          <t>UI</t>
        </is>
      </c>
      <c r="D8" s="54" t="inlineStr">
        <is>
          <t>screen</t>
        </is>
      </c>
      <c r="E8" s="54" t="inlineStr">
        <is>
          <t>workshop</t>
        </is>
      </c>
      <c r="F8" s="54" t="inlineStr">
        <is>
          <t>root</t>
        </is>
      </c>
      <c r="G8" s="54" t="n"/>
      <c r="H8" s="42" t="inlineStr">
        <is>
          <t>屏幕空间</t>
        </is>
      </c>
      <c r="I8" s="54" t="inlineStr">
        <is>
          <t>default</t>
        </is>
      </c>
      <c r="J8" s="42" t="inlineStr">
        <is>
          <t>跨分辨率</t>
        </is>
      </c>
      <c r="K8" s="42" t="inlineStr">
        <is>
          <t>程序占位</t>
        </is>
      </c>
      <c r="L8" s="54" t="inlineStr">
        <is>
          <t>P2</t>
        </is>
      </c>
      <c r="M8" s="54" t="inlineStr">
        <is>
          <t>v001</t>
        </is>
      </c>
      <c r="N8" s="54" t="inlineStr">
        <is>
          <t>1280×720 基准；九宫格/矢量优先</t>
        </is>
      </c>
      <c r="O8" s="54" t="n"/>
      <c r="P8" s="54" t="inlineStr">
        <is>
          <t>src/ui/WorkshopMenu.gd</t>
        </is>
      </c>
      <c r="Q8" s="54" t="n"/>
      <c r="R8" s="54">
        <f>LOWER(TRIM(C8)&amp;"|"&amp;TRIM(D8)&amp;"|"&amp;TRIM(E8)&amp;"|"&amp;TRIM(F8)&amp;"|"&amp;TRIM(H8)&amp;"|"&amp;TRIM(I8))</f>
        <v/>
      </c>
      <c r="S8" s="42">
        <f>IF(COUNTIF($R$6:$R$23,R8)&gt;1,"重复","唯一")</f>
        <v/>
      </c>
      <c r="T8" s="54" t="n"/>
      <c r="U8" s="42" t="inlineStr">
        <is>
          <t>待分配</t>
        </is>
      </c>
      <c r="V8" s="55" t="n">
        <v>46224</v>
      </c>
      <c r="W8" s="42" t="inlineStr">
        <is>
          <t>原创/待确认</t>
        </is>
      </c>
      <c r="X8" s="53" t="inlineStr">
        <is>
          <t>—</t>
        </is>
      </c>
      <c r="Y8" s="42" t="inlineStr">
        <is>
          <t>先建组件库，再做页面，避免每页重复画按钮/面板</t>
        </is>
      </c>
    </row>
    <row r="9" ht="32.8" customHeight="1" s="30">
      <c r="A9" s="54" t="inlineStr">
        <is>
          <t>UI-SCREEN-WORKBENCH</t>
        </is>
      </c>
      <c r="B9" s="42" t="inlineStr">
        <is>
          <t>工作台</t>
        </is>
      </c>
      <c r="C9" s="54" t="inlineStr">
        <is>
          <t>UI</t>
        </is>
      </c>
      <c r="D9" s="54" t="inlineStr">
        <is>
          <t>screen</t>
        </is>
      </c>
      <c r="E9" s="54" t="inlineStr">
        <is>
          <t>workbench</t>
        </is>
      </c>
      <c r="F9" s="54" t="inlineStr">
        <is>
          <t>root</t>
        </is>
      </c>
      <c r="G9" s="54" t="n"/>
      <c r="H9" s="42" t="inlineStr">
        <is>
          <t>屏幕空间</t>
        </is>
      </c>
      <c r="I9" s="54" t="inlineStr">
        <is>
          <t>default</t>
        </is>
      </c>
      <c r="J9" s="42" t="inlineStr">
        <is>
          <t>跨分辨率</t>
        </is>
      </c>
      <c r="K9" s="42" t="inlineStr">
        <is>
          <t>程序占位</t>
        </is>
      </c>
      <c r="L9" s="54" t="inlineStr">
        <is>
          <t>P2</t>
        </is>
      </c>
      <c r="M9" s="54" t="inlineStr">
        <is>
          <t>v001</t>
        </is>
      </c>
      <c r="N9" s="54" t="inlineStr">
        <is>
          <t>1280×720 基准；九宫格/矢量优先</t>
        </is>
      </c>
      <c r="O9" s="54" t="n"/>
      <c r="P9" s="54" t="inlineStr">
        <is>
          <t>src/ui/WorkbenchPanel.gd</t>
        </is>
      </c>
      <c r="Q9" s="54" t="n"/>
      <c r="R9" s="54">
        <f>LOWER(TRIM(C9)&amp;"|"&amp;TRIM(D9)&amp;"|"&amp;TRIM(E9)&amp;"|"&amp;TRIM(F9)&amp;"|"&amp;TRIM(H9)&amp;"|"&amp;TRIM(I9))</f>
        <v/>
      </c>
      <c r="S9" s="42">
        <f>IF(COUNTIF($R$6:$R$23,R9)&gt;1,"重复","唯一")</f>
        <v/>
      </c>
      <c r="T9" s="54" t="n"/>
      <c r="U9" s="42" t="inlineStr">
        <is>
          <t>待分配</t>
        </is>
      </c>
      <c r="V9" s="55" t="n">
        <v>46224</v>
      </c>
      <c r="W9" s="42" t="inlineStr">
        <is>
          <t>原创/待确认</t>
        </is>
      </c>
      <c r="X9" s="53" t="inlineStr">
        <is>
          <t>—</t>
        </is>
      </c>
      <c r="Y9" s="42" t="inlineStr">
        <is>
          <t>先建组件库，再做页面，避免每页重复画按钮/面板</t>
        </is>
      </c>
    </row>
    <row r="10" ht="32.8" customHeight="1" s="30">
      <c r="A10" s="54" t="inlineStr">
        <is>
          <t>UI-SCREEN-WEAPON-TREE</t>
        </is>
      </c>
      <c r="B10" s="42" t="inlineStr">
        <is>
          <t>武器装配树</t>
        </is>
      </c>
      <c r="C10" s="54" t="inlineStr">
        <is>
          <t>UI</t>
        </is>
      </c>
      <c r="D10" s="54" t="inlineStr">
        <is>
          <t>screen</t>
        </is>
      </c>
      <c r="E10" s="54" t="inlineStr">
        <is>
          <t>weapon_tree</t>
        </is>
      </c>
      <c r="F10" s="54" t="inlineStr">
        <is>
          <t>root</t>
        </is>
      </c>
      <c r="G10" s="54" t="n"/>
      <c r="H10" s="42" t="inlineStr">
        <is>
          <t>屏幕空间</t>
        </is>
      </c>
      <c r="I10" s="54" t="inlineStr">
        <is>
          <t>default</t>
        </is>
      </c>
      <c r="J10" s="42" t="inlineStr">
        <is>
          <t>跨分辨率</t>
        </is>
      </c>
      <c r="K10" s="42" t="inlineStr">
        <is>
          <t>程序占位</t>
        </is>
      </c>
      <c r="L10" s="54" t="inlineStr">
        <is>
          <t>P2</t>
        </is>
      </c>
      <c r="M10" s="54" t="inlineStr">
        <is>
          <t>v001</t>
        </is>
      </c>
      <c r="N10" s="54" t="inlineStr">
        <is>
          <t>1280×720 基准；九宫格/矢量优先</t>
        </is>
      </c>
      <c r="O10" s="54" t="n"/>
      <c r="P10" s="54" t="inlineStr">
        <is>
          <t>src/ui/WeaponAssemblyTreePanel.gd</t>
        </is>
      </c>
      <c r="Q10" s="54" t="n"/>
      <c r="R10" s="54">
        <f>LOWER(TRIM(C10)&amp;"|"&amp;TRIM(D10)&amp;"|"&amp;TRIM(E10)&amp;"|"&amp;TRIM(F10)&amp;"|"&amp;TRIM(H10)&amp;"|"&amp;TRIM(I10))</f>
        <v/>
      </c>
      <c r="S10" s="42">
        <f>IF(COUNTIF($R$6:$R$23,R10)&gt;1,"重复","唯一")</f>
        <v/>
      </c>
      <c r="T10" s="54" t="n"/>
      <c r="U10" s="42" t="inlineStr">
        <is>
          <t>待分配</t>
        </is>
      </c>
      <c r="V10" s="55" t="n">
        <v>46224</v>
      </c>
      <c r="W10" s="42" t="inlineStr">
        <is>
          <t>原创/待确认</t>
        </is>
      </c>
      <c r="X10" s="53" t="inlineStr">
        <is>
          <t>—</t>
        </is>
      </c>
      <c r="Y10" s="42" t="inlineStr">
        <is>
          <t>先建组件库，再做页面，避免每页重复画按钮/面板</t>
        </is>
      </c>
    </row>
    <row r="11" ht="32.8" customHeight="1" s="30">
      <c r="A11" s="54" t="inlineStr">
        <is>
          <t>UI-SCREEN-FATE-SELECT</t>
        </is>
      </c>
      <c r="B11" s="42" t="inlineStr">
        <is>
          <t>命运卡选择</t>
        </is>
      </c>
      <c r="C11" s="54" t="inlineStr">
        <is>
          <t>UI</t>
        </is>
      </c>
      <c r="D11" s="54" t="inlineStr">
        <is>
          <t>screen</t>
        </is>
      </c>
      <c r="E11" s="54" t="inlineStr">
        <is>
          <t>fate_select</t>
        </is>
      </c>
      <c r="F11" s="54" t="inlineStr">
        <is>
          <t>root</t>
        </is>
      </c>
      <c r="G11" s="54" t="n"/>
      <c r="H11" s="42" t="inlineStr">
        <is>
          <t>屏幕空间</t>
        </is>
      </c>
      <c r="I11" s="54" t="inlineStr">
        <is>
          <t>default</t>
        </is>
      </c>
      <c r="J11" s="42" t="inlineStr">
        <is>
          <t>跨分辨率</t>
        </is>
      </c>
      <c r="K11" s="42" t="inlineStr">
        <is>
          <t>程序占位</t>
        </is>
      </c>
      <c r="L11" s="54" t="inlineStr">
        <is>
          <t>P2</t>
        </is>
      </c>
      <c r="M11" s="54" t="inlineStr">
        <is>
          <t>v001</t>
        </is>
      </c>
      <c r="N11" s="54" t="inlineStr">
        <is>
          <t>1280×720 基准；九宫格/矢量优先</t>
        </is>
      </c>
      <c r="O11" s="54" t="n"/>
      <c r="P11" s="54" t="inlineStr">
        <is>
          <t>src/ui/FateCardUIController.gd</t>
        </is>
      </c>
      <c r="Q11" s="54" t="n"/>
      <c r="R11" s="54">
        <f>LOWER(TRIM(C11)&amp;"|"&amp;TRIM(D11)&amp;"|"&amp;TRIM(E11)&amp;"|"&amp;TRIM(F11)&amp;"|"&amp;TRIM(H11)&amp;"|"&amp;TRIM(I11))</f>
        <v/>
      </c>
      <c r="S11" s="42">
        <f>IF(COUNTIF($R$6:$R$23,R11)&gt;1,"重复","唯一")</f>
        <v/>
      </c>
      <c r="T11" s="54" t="n"/>
      <c r="U11" s="42" t="inlineStr">
        <is>
          <t>待分配</t>
        </is>
      </c>
      <c r="V11" s="55" t="n">
        <v>46224</v>
      </c>
      <c r="W11" s="42" t="inlineStr">
        <is>
          <t>原创/待确认</t>
        </is>
      </c>
      <c r="X11" s="53" t="inlineStr">
        <is>
          <t>—</t>
        </is>
      </c>
      <c r="Y11" s="42" t="inlineStr">
        <is>
          <t>先建组件库，再做页面，避免每页重复画按钮/面板</t>
        </is>
      </c>
    </row>
    <row r="12" ht="32.8" customHeight="1" s="30">
      <c r="A12" s="54" t="inlineStr">
        <is>
          <t>UI-SCREEN-FATE-COLLECTION</t>
        </is>
      </c>
      <c r="B12" s="42" t="inlineStr">
        <is>
          <t>命运卡收藏</t>
        </is>
      </c>
      <c r="C12" s="54" t="inlineStr">
        <is>
          <t>UI</t>
        </is>
      </c>
      <c r="D12" s="54" t="inlineStr">
        <is>
          <t>screen</t>
        </is>
      </c>
      <c r="E12" s="54" t="inlineStr">
        <is>
          <t>fate_collection</t>
        </is>
      </c>
      <c r="F12" s="54" t="inlineStr">
        <is>
          <t>root</t>
        </is>
      </c>
      <c r="G12" s="54" t="n"/>
      <c r="H12" s="42" t="inlineStr">
        <is>
          <t>屏幕空间</t>
        </is>
      </c>
      <c r="I12" s="54" t="inlineStr">
        <is>
          <t>default</t>
        </is>
      </c>
      <c r="J12" s="42" t="inlineStr">
        <is>
          <t>跨分辨率</t>
        </is>
      </c>
      <c r="K12" s="42" t="inlineStr">
        <is>
          <t>程序占位</t>
        </is>
      </c>
      <c r="L12" s="54" t="inlineStr">
        <is>
          <t>P2</t>
        </is>
      </c>
      <c r="M12" s="54" t="inlineStr">
        <is>
          <t>v001</t>
        </is>
      </c>
      <c r="N12" s="54" t="inlineStr">
        <is>
          <t>1280×720 基准；九宫格/矢量优先</t>
        </is>
      </c>
      <c r="O12" s="54" t="n"/>
      <c r="P12" s="54" t="inlineStr">
        <is>
          <t>src/ui/FateCardCollectionMenu.gd</t>
        </is>
      </c>
      <c r="Q12" s="54" t="n"/>
      <c r="R12" s="54">
        <f>LOWER(TRIM(C12)&amp;"|"&amp;TRIM(D12)&amp;"|"&amp;TRIM(E12)&amp;"|"&amp;TRIM(F12)&amp;"|"&amp;TRIM(H12)&amp;"|"&amp;TRIM(I12))</f>
        <v/>
      </c>
      <c r="S12" s="42">
        <f>IF(COUNTIF($R$6:$R$23,R12)&gt;1,"重复","唯一")</f>
        <v/>
      </c>
      <c r="T12" s="54" t="n"/>
      <c r="U12" s="42" t="inlineStr">
        <is>
          <t>待分配</t>
        </is>
      </c>
      <c r="V12" s="55" t="n">
        <v>46224</v>
      </c>
      <c r="W12" s="42" t="inlineStr">
        <is>
          <t>原创/待确认</t>
        </is>
      </c>
      <c r="X12" s="53" t="inlineStr">
        <is>
          <t>—</t>
        </is>
      </c>
      <c r="Y12" s="42" t="inlineStr">
        <is>
          <t>先建组件库，再做页面，避免每页重复画按钮/面板</t>
        </is>
      </c>
    </row>
    <row r="13" ht="32.8" customHeight="1" s="30">
      <c r="A13" s="54" t="inlineStr">
        <is>
          <t>UI-SCREEN-LEVEL-SELECT</t>
        </is>
      </c>
      <c r="B13" s="42" t="inlineStr">
        <is>
          <t>远征全息城市选关</t>
        </is>
      </c>
      <c r="C13" s="54" t="inlineStr">
        <is>
          <t>UI</t>
        </is>
      </c>
      <c r="D13" s="54" t="inlineStr">
        <is>
          <t>screen</t>
        </is>
      </c>
      <c r="E13" s="54" t="inlineStr">
        <is>
          <t>level_select</t>
        </is>
      </c>
      <c r="F13" s="54" t="inlineStr">
        <is>
          <t>root</t>
        </is>
      </c>
      <c r="G13" s="54" t="n"/>
      <c r="H13" s="42" t="inlineStr">
        <is>
          <t>世界空间3D近景</t>
        </is>
      </c>
      <c r="I13" s="54" t="inlineStr">
        <is>
          <t>主楼先起/双入口错峰/波浪扫描/方块粒子/倒序收起</t>
        </is>
      </c>
      <c r="J13" s="42" t="inlineStr">
        <is>
          <t>99F中央全息平台</t>
        </is>
      </c>
      <c r="K13" s="42" t="inlineStr">
        <is>
          <t>原型已接入</t>
        </is>
      </c>
      <c r="L13" s="54" t="inlineStr">
        <is>
          <t>P0</t>
        </is>
      </c>
      <c r="M13" s="54" t="inlineStr">
        <is>
          <t>v002</t>
        </is>
      </c>
      <c r="N13" s="54" t="inlineStr">
        <is>
          <t>主体约3.1m宽；42座外缘错落楼群；径向密度衰减；GPU逐块升降；2座楼顶入口</t>
        </is>
      </c>
      <c r="O13" s="54" t="inlineStr">
        <is>
          <t>assets/art/ui/expedition_city/hologram_city.tscn</t>
        </is>
      </c>
      <c r="P13" s="54" t="inlineStr">
        <is>
          <t>scenes/RogueMapSelectMenu.gd; src/ui/HologramCity3D.gd; docs/v0.1/design/远征全息城市交互设计.md</t>
        </is>
      </c>
      <c r="Q13" s="54" t="inlineStr">
        <is>
          <t>远征情报室;全息城市;镜头拉近;远征01;测试99;3D选关</t>
        </is>
      </c>
      <c r="R13" s="54">
        <f>LOWER(TRIM(C13)&amp;"|"&amp;TRIM(D13)&amp;"|"&amp;TRIM(E13)&amp;"|"&amp;TRIM(F13)&amp;"|"&amp;TRIM(H13)&amp;"|"&amp;TRIM(I13))</f>
        <v/>
      </c>
      <c r="S13" s="42">
        <f>IF(COUNTIF($R$6:$R$23,R13)&gt;1,"重复","唯一")</f>
        <v/>
      </c>
      <c r="T13" s="54" t="inlineStr">
        <is>
          <t>bcecf005d4052b9f701ae6c88fc659aeaf796dcb519f3ac8cdfe9e37d9d8357f</t>
        </is>
      </c>
      <c r="U13" s="42" t="inlineStr">
        <is>
          <t>Codex</t>
        </is>
      </c>
      <c r="V13" s="55" t="n">
        <v>46294</v>
      </c>
      <c r="W13" s="42" t="inlineStr">
        <is>
          <t>项目原创程序几何；用户提供风格参考</t>
        </is>
      </c>
      <c r="X13" s="53" t="inlineStr">
        <is>
          <t>—</t>
        </is>
      </c>
      <c r="Y13" s="42" t="inlineStr">
        <is>
          <t>2026-09-29：按用户参考制作Box城市；提前1秒展开，继承原环境至近景后渐暗；主楼优先/入口错峰/方块过渡；同场景世界空间入口。真实渲染/点击/键盘/手柄/返程通过，参考图像素级一致性未签署。</t>
        </is>
      </c>
    </row>
    <row r="14" ht="32.8" customHeight="1" s="30">
      <c r="A14" s="54" t="inlineStr">
        <is>
          <t>UI-SCREEN-VAULT</t>
        </is>
      </c>
      <c r="B14" s="42" t="inlineStr">
        <is>
          <t>保险柜</t>
        </is>
      </c>
      <c r="C14" s="54" t="inlineStr">
        <is>
          <t>UI</t>
        </is>
      </c>
      <c r="D14" s="54" t="inlineStr">
        <is>
          <t>screen</t>
        </is>
      </c>
      <c r="E14" s="54" t="inlineStr">
        <is>
          <t>vault</t>
        </is>
      </c>
      <c r="F14" s="54" t="inlineStr">
        <is>
          <t>root</t>
        </is>
      </c>
      <c r="G14" s="54" t="n"/>
      <c r="H14" s="42" t="inlineStr">
        <is>
          <t>屏幕空间</t>
        </is>
      </c>
      <c r="I14" s="54" t="inlineStr">
        <is>
          <t>default</t>
        </is>
      </c>
      <c r="J14" s="42" t="inlineStr">
        <is>
          <t>跨分辨率</t>
        </is>
      </c>
      <c r="K14" s="42" t="inlineStr">
        <is>
          <t>程序占位</t>
        </is>
      </c>
      <c r="L14" s="54" t="inlineStr">
        <is>
          <t>P2</t>
        </is>
      </c>
      <c r="M14" s="54" t="inlineStr">
        <is>
          <t>v001</t>
        </is>
      </c>
      <c r="N14" s="54" t="inlineStr">
        <is>
          <t>1280×720 基准；九宫格/矢量优先</t>
        </is>
      </c>
      <c r="O14" s="54" t="n"/>
      <c r="P14" s="54" t="inlineStr">
        <is>
          <t>src/ui/VaultMenu.gd</t>
        </is>
      </c>
      <c r="Q14" s="54" t="n"/>
      <c r="R14" s="54">
        <f>LOWER(TRIM(C14)&amp;"|"&amp;TRIM(D14)&amp;"|"&amp;TRIM(E14)&amp;"|"&amp;TRIM(F14)&amp;"|"&amp;TRIM(H14)&amp;"|"&amp;TRIM(I14))</f>
        <v/>
      </c>
      <c r="S14" s="42">
        <f>IF(COUNTIF($R$6:$R$23,R14)&gt;1,"重复","唯一")</f>
        <v/>
      </c>
      <c r="T14" s="54" t="n"/>
      <c r="U14" s="42" t="inlineStr">
        <is>
          <t>待分配</t>
        </is>
      </c>
      <c r="V14" s="55" t="n">
        <v>46224</v>
      </c>
      <c r="W14" s="42" t="inlineStr">
        <is>
          <t>原创/待确认</t>
        </is>
      </c>
      <c r="X14" s="53" t="inlineStr">
        <is>
          <t>—</t>
        </is>
      </c>
      <c r="Y14" s="42" t="inlineStr">
        <is>
          <t>先建组件库，再做页面，避免每页重复画按钮/面板</t>
        </is>
      </c>
    </row>
    <row r="15" ht="32.8" customHeight="1" s="30">
      <c r="A15" s="54" t="inlineStr">
        <is>
          <t>UI-SCREEN-MONSTER-ARCHIVE</t>
        </is>
      </c>
      <c r="B15" s="42" t="inlineStr">
        <is>
          <t>怪物档案</t>
        </is>
      </c>
      <c r="C15" s="54" t="inlineStr">
        <is>
          <t>UI</t>
        </is>
      </c>
      <c r="D15" s="54" t="inlineStr">
        <is>
          <t>screen</t>
        </is>
      </c>
      <c r="E15" s="54" t="inlineStr">
        <is>
          <t>monster_archive</t>
        </is>
      </c>
      <c r="F15" s="54" t="inlineStr">
        <is>
          <t>root</t>
        </is>
      </c>
      <c r="G15" s="54" t="n"/>
      <c r="H15" s="42" t="inlineStr">
        <is>
          <t>屏幕空间</t>
        </is>
      </c>
      <c r="I15" s="54" t="inlineStr">
        <is>
          <t>default</t>
        </is>
      </c>
      <c r="J15" s="42" t="inlineStr">
        <is>
          <t>跨分辨率</t>
        </is>
      </c>
      <c r="K15" s="42" t="inlineStr">
        <is>
          <t>程序占位</t>
        </is>
      </c>
      <c r="L15" s="54" t="inlineStr">
        <is>
          <t>P2</t>
        </is>
      </c>
      <c r="M15" s="54" t="inlineStr">
        <is>
          <t>v001</t>
        </is>
      </c>
      <c r="N15" s="54" t="inlineStr">
        <is>
          <t>1280×720 基准；九宫格/矢量优先</t>
        </is>
      </c>
      <c r="O15" s="54" t="n"/>
      <c r="P15" s="54" t="inlineStr">
        <is>
          <t>src/ui/MonsterArchiveMenu.gd</t>
        </is>
      </c>
      <c r="Q15" s="54" t="n"/>
      <c r="R15" s="54">
        <f>LOWER(TRIM(C15)&amp;"|"&amp;TRIM(D15)&amp;"|"&amp;TRIM(E15)&amp;"|"&amp;TRIM(F15)&amp;"|"&amp;TRIM(H15)&amp;"|"&amp;TRIM(I15))</f>
        <v/>
      </c>
      <c r="S15" s="42">
        <f>IF(COUNTIF($R$6:$R$23,R15)&gt;1,"重复","唯一")</f>
        <v/>
      </c>
      <c r="T15" s="54" t="n"/>
      <c r="U15" s="42" t="inlineStr">
        <is>
          <t>待分配</t>
        </is>
      </c>
      <c r="V15" s="55" t="n">
        <v>46224</v>
      </c>
      <c r="W15" s="42" t="inlineStr">
        <is>
          <t>原创/待确认</t>
        </is>
      </c>
      <c r="X15" s="53" t="inlineStr">
        <is>
          <t>—</t>
        </is>
      </c>
      <c r="Y15" s="42" t="inlineStr">
        <is>
          <t>先建组件库，再做页面，避免每页重复画按钮/面板</t>
        </is>
      </c>
    </row>
    <row r="16" ht="32.8" customHeight="1" s="30">
      <c r="A16" s="54" t="inlineStr">
        <is>
          <t>UI-SCREEN-BASE-MENU</t>
        </is>
      </c>
      <c r="B16" s="42" t="inlineStr">
        <is>
          <t>基地菜单</t>
        </is>
      </c>
      <c r="C16" s="54" t="inlineStr">
        <is>
          <t>UI</t>
        </is>
      </c>
      <c r="D16" s="54" t="inlineStr">
        <is>
          <t>screen</t>
        </is>
      </c>
      <c r="E16" s="54" t="inlineStr">
        <is>
          <t>base_menu</t>
        </is>
      </c>
      <c r="F16" s="54" t="inlineStr">
        <is>
          <t>root</t>
        </is>
      </c>
      <c r="G16" s="54" t="n"/>
      <c r="H16" s="42" t="inlineStr">
        <is>
          <t>屏幕空间</t>
        </is>
      </c>
      <c r="I16" s="54" t="inlineStr">
        <is>
          <t>default</t>
        </is>
      </c>
      <c r="J16" s="42" t="inlineStr">
        <is>
          <t>跨分辨率</t>
        </is>
      </c>
      <c r="K16" s="42" t="inlineStr">
        <is>
          <t>程序占位</t>
        </is>
      </c>
      <c r="L16" s="54" t="inlineStr">
        <is>
          <t>P2</t>
        </is>
      </c>
      <c r="M16" s="54" t="inlineStr">
        <is>
          <t>v001</t>
        </is>
      </c>
      <c r="N16" s="54" t="inlineStr">
        <is>
          <t>1280×720 基准；九宫格/矢量优先</t>
        </is>
      </c>
      <c r="O16" s="54" t="n"/>
      <c r="P16" s="54" t="inlineStr">
        <is>
          <t>src/ui/BaseMenu.gd</t>
        </is>
      </c>
      <c r="Q16" s="54" t="n"/>
      <c r="R16" s="54">
        <f>LOWER(TRIM(C16)&amp;"|"&amp;TRIM(D16)&amp;"|"&amp;TRIM(E16)&amp;"|"&amp;TRIM(F16)&amp;"|"&amp;TRIM(H16)&amp;"|"&amp;TRIM(I16))</f>
        <v/>
      </c>
      <c r="S16" s="42">
        <f>IF(COUNTIF($R$6:$R$23,R16)&gt;1,"重复","唯一")</f>
        <v/>
      </c>
      <c r="T16" s="54" t="n"/>
      <c r="U16" s="42" t="inlineStr">
        <is>
          <t>待分配</t>
        </is>
      </c>
      <c r="V16" s="55" t="n">
        <v>46224</v>
      </c>
      <c r="W16" s="42" t="inlineStr">
        <is>
          <t>原创/待确认</t>
        </is>
      </c>
      <c r="X16" s="53" t="inlineStr">
        <is>
          <t>—</t>
        </is>
      </c>
      <c r="Y16" s="42" t="inlineStr">
        <is>
          <t>先建组件库，再做页面，避免每页重复画按钮/面板</t>
        </is>
      </c>
    </row>
    <row r="17" ht="32.8" customHeight="1" s="30">
      <c r="A17" s="54" t="inlineStr">
        <is>
          <t>UI-SCREEN-MOBILE-CONTROLS</t>
        </is>
      </c>
      <c r="B17" s="42" t="inlineStr">
        <is>
          <t>移动端控制</t>
        </is>
      </c>
      <c r="C17" s="54" t="inlineStr">
        <is>
          <t>UI</t>
        </is>
      </c>
      <c r="D17" s="54" t="inlineStr">
        <is>
          <t>screen</t>
        </is>
      </c>
      <c r="E17" s="54" t="inlineStr">
        <is>
          <t>mobile_controls</t>
        </is>
      </c>
      <c r="F17" s="54" t="inlineStr">
        <is>
          <t>root</t>
        </is>
      </c>
      <c r="G17" s="54" t="n"/>
      <c r="H17" s="42" t="inlineStr">
        <is>
          <t>屏幕空间</t>
        </is>
      </c>
      <c r="I17" s="54" t="inlineStr">
        <is>
          <t>default</t>
        </is>
      </c>
      <c r="J17" s="42" t="inlineStr">
        <is>
          <t>跨分辨率</t>
        </is>
      </c>
      <c r="K17" s="42" t="inlineStr">
        <is>
          <t>程序占位</t>
        </is>
      </c>
      <c r="L17" s="54" t="inlineStr">
        <is>
          <t>P2</t>
        </is>
      </c>
      <c r="M17" s="54" t="inlineStr">
        <is>
          <t>v001</t>
        </is>
      </c>
      <c r="N17" s="54" t="inlineStr">
        <is>
          <t>1280×720 基准；九宫格/矢量优先</t>
        </is>
      </c>
      <c r="O17" s="54" t="n"/>
      <c r="P17" s="54" t="inlineStr">
        <is>
          <t>src/ui/MobileControls.gd</t>
        </is>
      </c>
      <c r="Q17" s="54" t="n"/>
      <c r="R17" s="54">
        <f>LOWER(TRIM(C17)&amp;"|"&amp;TRIM(D17)&amp;"|"&amp;TRIM(E17)&amp;"|"&amp;TRIM(F17)&amp;"|"&amp;TRIM(H17)&amp;"|"&amp;TRIM(I17))</f>
        <v/>
      </c>
      <c r="S17" s="42">
        <f>IF(COUNTIF($R$6:$R$23,R17)&gt;1,"重复","唯一")</f>
        <v/>
      </c>
      <c r="T17" s="54" t="n"/>
      <c r="U17" s="42" t="inlineStr">
        <is>
          <t>待分配</t>
        </is>
      </c>
      <c r="V17" s="55" t="n">
        <v>46224</v>
      </c>
      <c r="W17" s="42" t="inlineStr">
        <is>
          <t>原创/待确认</t>
        </is>
      </c>
      <c r="X17" s="53" t="inlineStr">
        <is>
          <t>—</t>
        </is>
      </c>
      <c r="Y17" s="42" t="inlineStr">
        <is>
          <t>先建组件库，再做页面，避免每页重复画按钮/面板</t>
        </is>
      </c>
    </row>
    <row r="18" ht="292.5" customHeight="1" s="30">
      <c r="A18" s="54" t="inlineStr">
        <is>
          <t>UI-SCREEN-INVENTORY-3D</t>
        </is>
      </c>
      <c r="B18" s="54" t="inlineStr">
        <is>
          <t>3D背包与保险界面</t>
        </is>
      </c>
      <c r="C18" s="54" t="inlineStr">
        <is>
          <t>UI</t>
        </is>
      </c>
      <c r="D18" s="54" t="inlineStr">
        <is>
          <t>screen</t>
        </is>
      </c>
      <c r="E18" s="54" t="inlineStr">
        <is>
          <t>inventory</t>
        </is>
      </c>
      <c r="F18" s="54" t="inlineStr">
        <is>
          <t>root_3d</t>
        </is>
      </c>
      <c r="G18" s="54" t="inlineStr">
        <is>
          <t>UI-SCREEN-INVENTORY</t>
        </is>
      </c>
      <c r="H18" s="42" t="inlineStr">
        <is>
          <t>屏幕空间</t>
        </is>
      </c>
      <c r="I18" s="54" t="inlineStr">
        <is>
          <t>default</t>
        </is>
      </c>
      <c r="J18" s="54" t="inlineStr">
        <is>
          <t>3D行动区</t>
        </is>
      </c>
      <c r="K18" s="42" t="inlineStr">
        <is>
          <t>原型已接入</t>
        </is>
      </c>
      <c r="L18" s="54" t="inlineStr">
        <is>
          <t>P0</t>
        </is>
      </c>
      <c r="M18" s="54" t="inlineStr">
        <is>
          <t>v002</t>
        </is>
      </c>
      <c r="N18" s="42" t="inlineStr">
        <is>
          <t>全屏Control/12+2槽/96×96投影</t>
        </is>
      </c>
      <c r="O18" s="54" t="inlineStr">
        <is>
          <t>src/ui/InventoryUI.gd</t>
        </is>
      </c>
      <c r="P18" s="54" t="inlineStr">
        <is>
          <t>scenes/Dungeon3D.tscn</t>
        </is>
      </c>
      <c r="Q18" s="42" t="inlineStr">
        <is>
          <t>背包;保险;I键;Tab;模态输入锁;3D道具投影;实际点击装备</t>
        </is>
      </c>
      <c r="R18" s="54">
        <f>LOWER(TRIM(C18)&amp;"|"&amp;TRIM(D18)&amp;"|"&amp;TRIM(E18)&amp;"|"&amp;TRIM(F18)&amp;"|"&amp;TRIM(H18)&amp;"|"&amp;TRIM(I18))</f>
        <v/>
      </c>
      <c r="S18" s="42">
        <f>IF(COUNTIF($R$6:$R$23,R18)&gt;1,"重复","唯一")</f>
        <v/>
      </c>
      <c r="T18" s="54" t="inlineStr">
        <is>
          <t>bab8a57d3f4ad87eeb33f92a5bc409aa7b1e93ca981078fb02d77a8abaa2ba65</t>
        </is>
      </c>
      <c r="U18" s="54" t="inlineStr">
        <is>
          <t>Codex</t>
        </is>
      </c>
      <c r="V18" s="54" t="n">
        <v>46264</v>
      </c>
      <c r="W18" s="42" t="inlineStr">
        <is>
          <t>原创程序UI</t>
        </is>
      </c>
      <c r="X18" s="53" t="inlineStr">
        <is>
          <t>—</t>
        </is>
      </c>
      <c r="Y18" s="42" t="inlineStr">
        <is>
          <t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t>
        </is>
      </c>
    </row>
    <row r="19" ht="159.7" customHeight="1" s="30">
      <c r="A19" s="54" t="inlineStr">
        <is>
          <t>UI-SCREEN-PAUSE-3D</t>
        </is>
      </c>
      <c r="B19" s="54" t="inlineStr">
        <is>
          <t>3D共用暂停界面</t>
        </is>
      </c>
      <c r="C19" s="54" t="inlineStr">
        <is>
          <t>UI</t>
        </is>
      </c>
      <c r="D19" s="54" t="inlineStr">
        <is>
          <t>screen</t>
        </is>
      </c>
      <c r="E19" s="54" t="inlineStr">
        <is>
          <t>pause</t>
        </is>
      </c>
      <c r="F19" s="54" t="inlineStr">
        <is>
          <t>root_3d</t>
        </is>
      </c>
      <c r="G19" s="54" t="n"/>
      <c r="H19" s="42" t="inlineStr">
        <is>
          <t>屏幕空间</t>
        </is>
      </c>
      <c r="I19" s="54" t="inlineStr">
        <is>
          <t>default</t>
        </is>
      </c>
      <c r="J19" s="42" t="inlineStr">
        <is>
          <t>地下城/基地/靶场</t>
        </is>
      </c>
      <c r="K19" s="42" t="inlineStr">
        <is>
          <t>已完成</t>
        </is>
      </c>
      <c r="L19" s="54" t="inlineStr">
        <is>
          <t>P0</t>
        </is>
      </c>
      <c r="M19" s="54" t="inlineStr">
        <is>
          <t>v001</t>
        </is>
      </c>
      <c r="N19" s="54" t="inlineStr">
        <is>
          <t>PackedScene/全屏Control</t>
        </is>
      </c>
      <c r="O19" s="54" t="inlineStr">
        <is>
          <t>assets/art/ui/pause_3d/ui_pause_overlay_screen.tscn</t>
        </is>
      </c>
      <c r="P19" s="54" t="inlineStr">
        <is>
          <t>src/ui/PauseMenu3D.gd</t>
        </is>
      </c>
      <c r="Q19" s="42" t="inlineStr">
        <is>
          <t>暂停;Esc;继续;全局模态;3D HUD</t>
        </is>
      </c>
      <c r="R19" s="54">
        <f>LOWER(TRIM(C19)&amp;"|"&amp;TRIM(D19)&amp;"|"&amp;TRIM(E19)&amp;"|"&amp;TRIM(F19)&amp;"|"&amp;TRIM(H19)&amp;"|"&amp;TRIM(I19))</f>
        <v/>
      </c>
      <c r="S19" s="42">
        <f>IF(COUNTIF($R$6:$R$23,R19)&gt;1,"重复","唯一")</f>
        <v/>
      </c>
      <c r="T19" s="54" t="inlineStr">
        <is>
          <t>1562501df74afdbe5d57847632cc1d52a1453da9b1d5a9f40eed41cec942a57b</t>
        </is>
      </c>
      <c r="U19" s="54" t="inlineStr">
        <is>
          <t>Codex</t>
        </is>
      </c>
      <c r="V19" s="54" t="n">
        <v>46264</v>
      </c>
      <c r="W19" s="42" t="inlineStr">
        <is>
          <t>原创程序UI</t>
        </is>
      </c>
      <c r="X19" s="53" t="inlineStr">
        <is>
          <t>—</t>
        </is>
      </c>
      <c r="Y19" s="42" t="inlineStr">
        <is>
          <t>三张3D地图共用；Esc先关闭最上层模态，再进入真实暂停
2026-08-30 AST-02：合法内容更新；文件为Git已跟踪且修改时间不早于原台账日期；验收：verify_pause_game_save_reset_flow；SHA 8fed542ebf6b→47f097938d22。</t>
        </is>
      </c>
    </row>
    <row r="20" ht="126.85" customHeight="1" s="30">
      <c r="A20" s="54" t="inlineStr">
        <is>
          <t>UI-ICON-ITEM-MODEL-3D</t>
        </is>
      </c>
      <c r="B20" s="42" t="inlineStr">
        <is>
          <t>背包道具3D模型投影组件</t>
        </is>
      </c>
      <c r="C20" s="54" t="inlineStr">
        <is>
          <t>UI</t>
        </is>
      </c>
      <c r="D20" s="54" t="inlineStr">
        <is>
          <t>icon</t>
        </is>
      </c>
      <c r="E20" s="54" t="inlineStr">
        <is>
          <t>item_model_icon</t>
        </is>
      </c>
      <c r="F20" s="54" t="inlineStr">
        <is>
          <t>root_3d</t>
        </is>
      </c>
      <c r="G20" s="54" t="inlineStr">
        <is>
          <t>UI-SCREEN-INVENTORY-3D</t>
        </is>
      </c>
      <c r="H20" s="42" t="inlineStr">
        <is>
          <t>屏幕空间/3D投影</t>
        </is>
      </c>
      <c r="I20" s="54" t="inlineStr">
        <is>
          <t>default</t>
        </is>
      </c>
      <c r="J20" s="42" t="inlineStr">
        <is>
          <t>背包/保险格/道具预览</t>
        </is>
      </c>
      <c r="K20" s="42" t="inlineStr">
        <is>
          <t>原型已接入</t>
        </is>
      </c>
      <c r="L20" s="54" t="inlineStr">
        <is>
          <t>P0</t>
        </is>
      </c>
      <c r="M20" s="54" t="inlineStr">
        <is>
          <t>v001</t>
        </is>
      </c>
      <c r="N20" s="54" t="inlineStr">
        <is>
          <t>96×96 SubViewport/UPDATE_ONCE</t>
        </is>
      </c>
      <c r="O20" s="54" t="inlineStr">
        <is>
          <t>assets/art/ui/inventory_3d/ui_item_model_icon_root.tscn</t>
        </is>
      </c>
      <c r="P20" s="54" t="inlineStr">
        <is>
          <t>src/ui/ItemModelIcon3D.gd</t>
        </is>
      </c>
      <c r="Q20" s="54" t="inlineStr">
        <is>
          <t>3D道具图标;模型投影;背包图标;共享世界模型;单次渲染</t>
        </is>
      </c>
      <c r="R20" s="54">
        <f>LOWER(TRIM(C20)&amp;"|"&amp;TRIM(D20)&amp;"|"&amp;TRIM(E20)&amp;"|"&amp;TRIM(F20)&amp;"|"&amp;TRIM(H20)&amp;"|"&amp;TRIM(I20))</f>
        <v/>
      </c>
      <c r="S20" s="42">
        <f>IF(COUNTIF($R$6:$R$23,R20)&gt;1,"重复","唯一")</f>
        <v/>
      </c>
      <c r="T20" s="54" t="inlineStr">
        <is>
          <t>97c10f3884107c1263f3de1f8bc1ce84bb568ecd80418b62bdb023c55cdab9fe</t>
        </is>
      </c>
      <c r="U20" s="54" t="inlineStr">
        <is>
          <t>Codex</t>
        </is>
      </c>
      <c r="V20" s="55" t="n">
        <v>46225</v>
      </c>
      <c r="W20" s="42" t="inlineStr">
        <is>
          <t>原创程序UI</t>
        </is>
      </c>
      <c r="X20" s="53" t="inlineStr">
        <is>
          <t>—</t>
        </is>
      </c>
      <c r="Y20" s="42" t="inlineStr">
        <is>
          <t>与地面拾取共用 ItemModelFactory3D；96×96 内部视口缩放至56px槽位；只渲染一次；验收图：assets/art/ui/inventory_3d/ui_inventory_item_model_preview_v001.png</t>
        </is>
      </c>
    </row>
    <row r="21" ht="355.2" customHeight="1" s="30">
      <c r="A21" s="54" t="inlineStr">
        <is>
          <t>UI-SCREEN-BASE-VENDING</t>
        </is>
      </c>
      <c r="B21" s="42" t="inlineStr">
        <is>
          <t>基地自动贩卖机商店界面</t>
        </is>
      </c>
      <c r="C21" s="54" t="inlineStr">
        <is>
          <t>UI</t>
        </is>
      </c>
      <c r="D21" s="54" t="inlineStr">
        <is>
          <t>base_facility</t>
        </is>
      </c>
      <c r="E21" s="54" t="inlineStr">
        <is>
          <t>base_vending_shop</t>
        </is>
      </c>
      <c r="F21" s="54" t="inlineStr">
        <is>
          <t>screen</t>
        </is>
      </c>
      <c r="G21" s="54" t="inlineStr">
        <is>
          <t>UI-SCREEN-MERCHANT</t>
        </is>
      </c>
      <c r="H21" s="54" t="inlineStr">
        <is>
          <t>Screen</t>
        </is>
      </c>
      <c r="I21" s="54" t="inlineStr">
        <is>
          <t>default</t>
        </is>
      </c>
      <c r="J21" s="42" t="inlineStr">
        <is>
          <t>基地自动贩卖机</t>
        </is>
      </c>
      <c r="K21" s="42" t="inlineStr">
        <is>
          <t>原型已接入</t>
        </is>
      </c>
      <c r="L21" s="54" t="inlineStr">
        <is>
          <t>P0</t>
        </is>
      </c>
      <c r="M21" s="54" t="inlineStr">
        <is>
          <t>v002</t>
        </is>
      </c>
      <c r="N21" s="54" t="inlineStr">
        <is>
          <t>1280×720自适应</t>
        </is>
      </c>
      <c r="O21" s="54" t="inlineStr">
        <is>
          <t>scenes/BaseVendingMenu.tscn</t>
        </is>
      </c>
      <c r="P21" s="42" t="inlineStr">
        <is>
          <t>用户设计+docs/v0.1/07_技术施工_基地设施.md</t>
        </is>
      </c>
      <c r="Q21" s="42" t="inlineStr">
        <is>
          <t>基地商店; 购买; 出售; 3D物品图标</t>
        </is>
      </c>
      <c r="R21" s="54">
        <f>LOWER(TRIM(C21)&amp;"|"&amp;TRIM(D21)&amp;"|"&amp;TRIM(E21)&amp;"|"&amp;TRIM(F21)&amp;"|"&amp;TRIM(H21)&amp;"|"&amp;TRIM(I21))</f>
        <v/>
      </c>
      <c r="S21" s="42">
        <f>IF(COUNTIF($R$6:$R$23,R21)&gt;1,"重复","唯一")</f>
        <v/>
      </c>
      <c r="T21" s="54" t="inlineStr">
        <is>
          <t>064d8c1f92cfa6e1724bab0980520481cd8de44b384e498456e1d1be806a4c7d</t>
        </is>
      </c>
      <c r="U21" s="54" t="inlineStr">
        <is>
          <t>Codex</t>
        </is>
      </c>
      <c r="V21" s="54" t="n">
        <v>46264</v>
      </c>
      <c r="W21" s="42" t="inlineStr">
        <is>
          <t>程序控件/原创</t>
        </is>
      </c>
      <c r="X21" s="53" t="inlineStr">
        <is>
          <t>—</t>
        </is>
      </c>
      <c r="Y21" s="42" t="inlineStr">
        <is>
          <t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t>
        </is>
      </c>
    </row>
    <row r="22" ht="126.85" customHeight="1" s="30">
      <c r="A22" s="54" t="inlineStr">
        <is>
          <t>UI-ATLAS-FATE-CARD</t>
        </is>
      </c>
      <c r="B22" s="42" t="inlineStr">
        <is>
          <t>命运塔罗卡面集</t>
        </is>
      </c>
      <c r="C22" s="54" t="inlineStr">
        <is>
          <t>UI</t>
        </is>
      </c>
      <c r="D22" s="54" t="inlineStr">
        <is>
          <t>atlas</t>
        </is>
      </c>
      <c r="E22" s="54" t="inlineStr">
        <is>
          <t>fate_card_atlas</t>
        </is>
      </c>
      <c r="F22" s="54" t="inlineStr">
        <is>
          <t>card</t>
        </is>
      </c>
      <c r="G22" s="54" t="inlineStr">
        <is>
          <t>UI-SCREEN-FATE-SELECT</t>
        </is>
      </c>
      <c r="H22" s="42" t="inlineStr">
        <is>
          <t>2D卡片贴图</t>
        </is>
      </c>
      <c r="I22" s="54" t="inlineStr">
        <is>
          <t>default</t>
        </is>
      </c>
      <c r="J22" s="42" t="inlineStr">
        <is>
          <t>命运卡三选一/占卜屋/工作台/命运卡收藏室</t>
        </is>
      </c>
      <c r="K22" s="42" t="inlineStr">
        <is>
          <t>原型已接入</t>
        </is>
      </c>
      <c r="L22" s="54" t="inlineStr">
        <is>
          <t>P0</t>
        </is>
      </c>
      <c r="M22" s="54" t="inlineStr">
        <is>
          <t>v001</t>
        </is>
      </c>
      <c r="N22" s="54" t="inlineStr">
        <is>
          <t>卡面宽683×高1024 RGBA透明（统一高1024、紧贴卡片本体）；卡背1369×2048成品(含圆角)</t>
        </is>
      </c>
      <c r="O22" s="54" t="inlineStr">
        <is>
          <t>assets/art/ui/fate_cards/ui_fate_card_back_v001.png;assets/art/ui/fate_cards/ui_fate_card_armor_pierce_v001.png;assets/art/ui/fate_cards/ui_fate_card_attachment_parasite_v001.png;assets/art/ui/fate_cards/ui_fate_card_barrage_copy_v001.png;assets/art/ui/fate_cards/ui_fate_card_bless_dead_v001.png;assets/art/ui/fate_cards/ui_fate_card_bounce_bullet_v001.png;assets/art/ui/fate_cards/ui_fate_card_bullet_carry_gun_v001.png;assets/art/ui/fate_cards/ui_fate_card_bullet_return_v001.png;assets/art/ui/fate_cards/ui_fate_card_chain_lightning_v001.png;assets/art/ui/fate_cards/ui_fate_card_crit_kill_v001.png;assets/art/ui/fate_cards/ui_fate_card_curse_map_v001.png;assets/art/ui/fate_cards/ui_fate_card_every_seventh_v001.png;assets/art/ui/fate_cards/ui_fate_card_explode_reload_v001.png;assets/art/ui/fate_cards/ui_fate_card_extra_loot_v001.png;assets/art/ui/fate_cards/ui_fate_card_fuse_fire_v001.png;assets/art/ui/fate_cards/ui_fate_card_fuse_frost_v001.png;assets/art/ui/fate_cards/ui_fate_card_fuse_poison_v001.png;assets/art/ui/fate_cards/ui_fate_card_gluttony_v001.png;assets/art/ui/fate_cards/ui_fate_card_gun_on_gun_v001.png;assets/art/ui/fate_cards/ui_fate_card_home_on_land_v001.png;assets/art/ui/fate_cards/ui_fate_card_huge_scale_v001.png;assets/art/ui/fate_cards/ui_fate_card_living_bullet_v001.png;assets/art/ui/fate_cards/ui_fate_card_lucky_chest_v001.png;assets/art/ui/fate_cards/ui_fate_card_mark_enemy_v001.png;assets/art/ui/fate_cards/ui_fate_card_moon_ammo_v001.png;assets/art/ui/fate_cards/ui_fate_card_moon_dash_v001.png;assets/art/ui/fate_cards/ui_fate_card_moon_elite_heal_v001.png;assets/art/ui/fate_cards/ui_fate_card_moon_first_hit_v001.png;assets/art/ui/fate_cards/ui_fate_card_moon_guard_v001.png;assets/art/ui/fate_cards/ui_fate_card_moon_last_stand_v001.png;assets/art/ui/fate_cards/ui_fate_card_moon_power_v001.png;assets/art/ui/fate_cards/ui_fate_card_moon_room_heal_v001.png;assets/art/ui/fate_cards/ui_fate_card_moon_stride_v001.png;assets/art/ui/fate_cards/ui_fate_card_moon_vitality_v001.png;assets/art/ui/fate_cards/ui_fate_card_out_of_control_v001.png;assets/art/ui/fate_cards/ui_fate_card_overclock_v001.png;assets/art/ui/fate_cards/ui_fate_card_reinforce_v001.png;assets/art/ui/fate_cards/ui_fate_card_scale_node_v001.png;assets/art/ui/fate_cards/ui_fate_card_sun_bounty_v001.png;assets/art/ui/fate_cards/ui_fate_card_sun_currency_v001.png;assets/art/ui/fate_cards/ui_fate_card_sun_extra_loot_v001.png;assets/art/ui/fate_cards/ui_fate_card_sun_extraction_v001.png;assets/art/ui/fate_cards/ui_fate_card_sun_key_v001.png;assets/art/ui/fate_cards/ui_fate_card_sun_quality_v001.png;assets/art/ui/fate_cards/ui_fate_card_sun_reinforce_v001.png;assets/art/ui/fate_cards/ui_fate_card_sun_reveal_v001.png;assets/art/ui/fate_cards/ui_fate_card_sun_scorch_v001.png;assets/art/ui/fate_cards/ui_fate_card_sun_trial_v001.png;assets/art/ui/fate_cards/ui_fate_card_turret_on_land_v001.png</t>
        </is>
      </c>
      <c r="P22" s="54" t="inlineStr">
        <is>
          <t>src/weapons/FateCardView.gd;src/world3d/Dungeon3D.gd;src/ui/DivinationMenu.gd;src/ui/WorkbenchPanel.gd;src/ui/FateCardCollectionMenu.gd</t>
        </is>
      </c>
      <c r="Q22" s="54" t="inlineStr">
        <is>
          <t>塔罗;命运卡;卡面;卡背;塔罗牌;fate card;tarot;霓虹绿;兔子机器人</t>
        </is>
      </c>
      <c r="R22" s="54">
        <f>LOWER(TRIM(C22)&amp;"|"&amp;TRIM(D22)&amp;"|"&amp;TRIM(E22)&amp;"|"&amp;TRIM(F22)&amp;"|"&amp;TRIM(H22)&amp;"|"&amp;TRIM(I22))</f>
        <v/>
      </c>
      <c r="S22" s="42">
        <f>IF(COUNTIF($R$6:$R$23,R22)&gt;1,"重复","唯一")</f>
        <v/>
      </c>
      <c r="T22" s="54" t="inlineStr">
        <is>
          <t>25d539baf0235253fbd960a1d1d27ac79e3b53fbaaf6dfce8ef4207290c185ed</t>
        </is>
      </c>
      <c r="U22" s="54" t="inlineStr">
        <is>
          <t>Codex</t>
        </is>
      </c>
      <c r="V22" s="55" t="n">
        <v>46304</v>
      </c>
      <c r="W22" s="42" t="inlineStr">
        <is>
          <t>用户提供塔罗牌阵图拆分 + 原创AI补图</t>
        </is>
      </c>
      <c r="X22" s="53" t="inlineStr">
        <is>
          <t>—</t>
        </is>
      </c>
      <c r="Y22" s="42" t="inlineStr">
        <is>
          <t>命运卡由程序绘制改为塔罗图卡呈现，48张可玩卡全量覆盖。卡面按 stable_card_id 命名；缺图的卡由 FateCardView.art_for() 返回 null 并回退程序卡面（本行已无缺图，回退路径保留为容错）。逆位只倒置卡面图案，卡下功能文字保持正向；卡背全卡共用。30张取自用户塔罗牌阵拆分图，18张按同风格补生成并做绿色归一化+线条加粗对齐既有卡面。</t>
        </is>
      </c>
    </row>
    <row r="23" ht="126.85" customHeight="1" s="30">
      <c r="A23" s="54" t="inlineStr">
        <is>
          <t>UI-PANEL-FATE-SOURCE</t>
        </is>
      </c>
      <c r="B23" s="42" t="inlineStr">
        <is>
          <t>命运来源选择面板</t>
        </is>
      </c>
      <c r="C23" s="54" t="inlineStr">
        <is>
          <t>UI</t>
        </is>
      </c>
      <c r="D23" s="54" t="inlineStr">
        <is>
          <t>panel</t>
        </is>
      </c>
      <c r="E23" s="54" t="inlineStr">
        <is>
          <t>fate_source_select</t>
        </is>
      </c>
      <c r="F23" s="54" t="inlineStr">
        <is>
          <t>root</t>
        </is>
      </c>
      <c r="G23" s="54" t="inlineStr">
        <is>
          <t>UI-SCREEN-FATE-SELECT</t>
        </is>
      </c>
      <c r="H23" s="42" t="inlineStr">
        <is>
          <t>屏幕空间</t>
        </is>
      </c>
      <c r="I23" s="54" t="inlineStr">
        <is>
          <t>default</t>
        </is>
      </c>
      <c r="J23" s="42" t="inlineStr">
        <is>
          <t>命运卡三选一/占卜屋/工作台/待领命运</t>
        </is>
      </c>
      <c r="K23" s="42" t="inlineStr">
        <is>
          <t>原型已接入</t>
        </is>
      </c>
      <c r="L23" s="54" t="inlineStr">
        <is>
          <t>P1</t>
        </is>
      </c>
      <c r="M23" s="54" t="inlineStr">
        <is>
          <t>v001</t>
        </is>
      </c>
      <c r="N23" s="54" t="inlineStr">
        <is>
          <t>模态弹窗620×470；候选96×96 3D投影图标；卡片最小高108</t>
        </is>
      </c>
      <c r="O23" s="54" t="inlineStr">
        <is>
          <t>src/ui/FateSourceSelectionPanel.gd</t>
        </is>
      </c>
      <c r="P23" s="54" t="inlineStr">
        <is>
          <t>src/game/FateCardGameBridge.gd;docs/v0.1/14_技术施工_命运塔罗牌组.md</t>
        </is>
      </c>
      <c r="Q23" s="54" t="inlineStr">
        <is>
          <t>命运来源;来源快照;枪械图标;3D投影;不消耗来源</t>
        </is>
      </c>
      <c r="R23" s="54">
        <f>LOWER(TRIM(C23)&amp;"|"&amp;TRIM(D23)&amp;"|"&amp;TRIM(E23)&amp;"|"&amp;TRIM(F23)&amp;"|"&amp;TRIM(H23)&amp;"|"&amp;TRIM(I23))</f>
        <v/>
      </c>
      <c r="S23" s="42">
        <f>IF(COUNTIF($R$6:$R$23,R23)&gt;1,"重复","唯一")</f>
        <v/>
      </c>
      <c r="T23" s="54" t="inlineStr">
        <is>
          <t>b549c633dde04ccf99e8d921265e7279f6ba674763fb22c805b2d279871e3356</t>
        </is>
      </c>
      <c r="U23" s="54" t="inlineStr">
        <is>
          <t>Codex</t>
        </is>
      </c>
      <c r="V23" s="55" t="n">
        <v>46305</v>
      </c>
      <c r="W23" s="42" t="inlineStr">
        <is>
          <t>原创程序UI</t>
        </is>
      </c>
      <c r="X23" s="53" t="inlineStr">
        <is>
          <t>—</t>
        </is>
      </c>
      <c r="Y23" s="42" t="inlineStr">
        <is>
          <t>2026-10-10：来源选择由纯文字按钮改为图标卡片 —— 左侧 ItemModelIcon3D 投影真实枪械模型（与地面拾取/背包/商人同源，含该枪此刻的装配与命运改装），右侧显示中文武器名、来源位置与命运槽占用；窗口标题不再重复进正文，正文改为一句只读语义说明。旧版单枪玩家会看到两个相同的 GunBody_* 名字，既认不出是哪把枪，也看不出该不该选、取消会不会吞卡。取消/Esc/关窗三路均保留卡片。同一面板亦服务「待领命运奖励」：该路径条目不带 icon_item，面板回退纯文字行，不新增第二个面板资产。
2026-10-10 AST：登记路径 src/ui/FateSourceSelectionPanel.gd。</t>
        </is>
      </c>
    </row>
    <row r="24" ht="15" customHeight="1" s="30">
      <c r="A24" s="54" t="n"/>
      <c r="B24" s="54" t="n"/>
      <c r="C24" s="42" t="n"/>
      <c r="D24" s="54" t="n"/>
      <c r="E24" s="54" t="n"/>
      <c r="F24" s="54" t="n"/>
      <c r="G24" s="54" t="n"/>
      <c r="H24" s="54" t="n"/>
      <c r="I24" s="54" t="n"/>
      <c r="J24" s="54" t="n"/>
      <c r="K24" s="42" t="n"/>
      <c r="L24" s="54" t="n"/>
      <c r="M24" s="54" t="n"/>
      <c r="N24" s="54" t="n"/>
      <c r="O24" s="54" t="n"/>
      <c r="P24" s="54" t="n"/>
      <c r="Q24" s="54" t="n"/>
      <c r="R24" s="54" t="n"/>
      <c r="S24" s="42" t="n"/>
      <c r="T24" s="54" t="n"/>
      <c r="U24" s="54" t="n"/>
      <c r="V24" s="55" t="n"/>
      <c r="W24" s="54" t="n"/>
      <c r="X24" s="53" t="n"/>
      <c r="Y24" s="54" t="n"/>
    </row>
    <row r="25" ht="15" customHeight="1" s="30">
      <c r="A25" s="54" t="n"/>
      <c r="B25" s="54" t="n"/>
      <c r="C25" s="42" t="n"/>
      <c r="D25" s="54" t="n"/>
      <c r="E25" s="54" t="n"/>
      <c r="F25" s="54" t="n"/>
      <c r="G25" s="54" t="n"/>
      <c r="H25" s="54" t="n"/>
      <c r="I25" s="54" t="n"/>
      <c r="J25" s="54" t="n"/>
      <c r="K25" s="42" t="n"/>
      <c r="L25" s="54" t="n"/>
      <c r="M25" s="54" t="n"/>
      <c r="N25" s="54" t="n"/>
      <c r="O25" s="54" t="n"/>
      <c r="P25" s="54" t="n"/>
      <c r="Q25" s="54" t="n"/>
      <c r="R25" s="54" t="n"/>
      <c r="S25" s="42" t="n"/>
      <c r="T25" s="54" t="n"/>
      <c r="U25" s="54" t="n"/>
      <c r="V25" s="55" t="n"/>
      <c r="W25" s="54" t="n"/>
      <c r="X25" s="53" t="n"/>
      <c r="Y25" s="54" t="n"/>
    </row>
    <row r="26" ht="15" customHeight="1" s="30">
      <c r="A26" s="54" t="n"/>
      <c r="B26" s="54" t="n"/>
      <c r="C26" s="42" t="n"/>
      <c r="D26" s="54" t="n"/>
      <c r="E26" s="54" t="n"/>
      <c r="F26" s="54" t="n"/>
      <c r="G26" s="54" t="n"/>
      <c r="H26" s="54" t="n"/>
      <c r="I26" s="54" t="n"/>
      <c r="J26" s="54" t="n"/>
      <c r="K26" s="42" t="n"/>
      <c r="L26" s="54" t="n"/>
      <c r="M26" s="54" t="n"/>
      <c r="N26" s="54" t="n"/>
      <c r="O26" s="54" t="n"/>
      <c r="P26" s="54" t="n"/>
      <c r="Q26" s="54" t="n"/>
      <c r="R26" s="54" t="n"/>
      <c r="S26" s="42" t="n"/>
      <c r="T26" s="54" t="n"/>
      <c r="U26" s="54" t="n"/>
      <c r="V26" s="55" t="n"/>
      <c r="W26" s="54" t="n"/>
      <c r="X26" s="53" t="n"/>
      <c r="Y26" s="54" t="n"/>
    </row>
    <row r="27" ht="15" customHeight="1" s="30">
      <c r="A27" s="54" t="n"/>
      <c r="B27" s="54" t="n"/>
      <c r="C27" s="42" t="n"/>
      <c r="D27" s="54" t="n"/>
      <c r="E27" s="54" t="n"/>
      <c r="F27" s="54" t="n"/>
      <c r="G27" s="54" t="n"/>
      <c r="H27" s="54" t="n"/>
      <c r="I27" s="54" t="n"/>
      <c r="J27" s="54" t="n"/>
      <c r="K27" s="42" t="n"/>
      <c r="L27" s="54" t="n"/>
      <c r="M27" s="54" t="n"/>
      <c r="N27" s="54" t="n"/>
      <c r="O27" s="54" t="n"/>
      <c r="P27" s="54" t="n"/>
      <c r="Q27" s="54" t="n"/>
      <c r="R27" s="54" t="n"/>
      <c r="S27" s="42" t="n"/>
      <c r="T27" s="54" t="n"/>
      <c r="U27" s="54" t="n"/>
      <c r="V27" s="55" t="n"/>
      <c r="W27" s="54" t="n"/>
      <c r="X27" s="53" t="n"/>
      <c r="Y27" s="54" t="n"/>
    </row>
    <row r="28" ht="15" customHeight="1" s="30">
      <c r="A28" s="54" t="n"/>
      <c r="B28" s="54" t="n"/>
      <c r="C28" s="42" t="n"/>
      <c r="D28" s="54" t="n"/>
      <c r="E28" s="54" t="n"/>
      <c r="F28" s="54" t="n"/>
      <c r="G28" s="54" t="n"/>
      <c r="H28" s="54" t="n"/>
      <c r="I28" s="54" t="n"/>
      <c r="J28" s="54" t="n"/>
      <c r="K28" s="42" t="n"/>
      <c r="L28" s="54" t="n"/>
      <c r="M28" s="54" t="n"/>
      <c r="N28" s="54" t="n"/>
      <c r="O28" s="54" t="n"/>
      <c r="P28" s="54" t="n"/>
      <c r="Q28" s="54" t="n"/>
      <c r="R28" s="54" t="n"/>
      <c r="S28" s="42" t="n"/>
      <c r="T28" s="54" t="n"/>
      <c r="U28" s="54" t="n"/>
      <c r="V28" s="55" t="n"/>
      <c r="W28" s="54" t="n"/>
      <c r="X28" s="53" t="n"/>
      <c r="Y28" s="54" t="n"/>
    </row>
    <row r="29" ht="15" customHeight="1" s="30">
      <c r="A29" s="54" t="n"/>
      <c r="B29" s="54" t="n"/>
      <c r="C29" s="42" t="n"/>
      <c r="D29" s="54" t="n"/>
      <c r="E29" s="54" t="n"/>
      <c r="F29" s="54" t="n"/>
      <c r="G29" s="54" t="n"/>
      <c r="H29" s="54" t="n"/>
      <c r="I29" s="54" t="n"/>
      <c r="J29" s="54" t="n"/>
      <c r="K29" s="42" t="n"/>
      <c r="L29" s="54" t="n"/>
      <c r="M29" s="54" t="n"/>
      <c r="N29" s="54" t="n"/>
      <c r="O29" s="54" t="n"/>
      <c r="P29" s="54" t="n"/>
      <c r="Q29" s="54" t="n"/>
      <c r="R29" s="54" t="n"/>
      <c r="S29" s="42" t="n"/>
      <c r="T29" s="54" t="n"/>
      <c r="U29" s="54" t="n"/>
      <c r="V29" s="55" t="n"/>
      <c r="W29" s="54" t="n"/>
      <c r="X29" s="53" t="n"/>
      <c r="Y29" s="54" t="n"/>
    </row>
    <row r="30" ht="15" customHeight="1" s="30">
      <c r="A30" s="54" t="n"/>
      <c r="B30" s="54" t="n"/>
      <c r="C30" s="42" t="n"/>
      <c r="D30" s="54" t="n"/>
      <c r="E30" s="54" t="n"/>
      <c r="F30" s="54" t="n"/>
      <c r="G30" s="54" t="n"/>
      <c r="H30" s="54" t="n"/>
      <c r="I30" s="54" t="n"/>
      <c r="J30" s="54" t="n"/>
      <c r="K30" s="42" t="n"/>
      <c r="L30" s="54" t="n"/>
      <c r="M30" s="54" t="n"/>
      <c r="N30" s="54" t="n"/>
      <c r="O30" s="54" t="n"/>
      <c r="P30" s="54" t="n"/>
      <c r="Q30" s="54" t="n"/>
      <c r="R30" s="54" t="n"/>
      <c r="S30" s="42" t="n"/>
      <c r="T30" s="54" t="n"/>
      <c r="U30" s="54" t="n"/>
      <c r="V30" s="55" t="n"/>
      <c r="W30" s="54" t="n"/>
      <c r="X30" s="53" t="n"/>
      <c r="Y30" s="54" t="n"/>
    </row>
    <row r="31" ht="15" customHeight="1" s="30">
      <c r="A31" s="33" t="n"/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  <c r="X31" s="53" t="n"/>
      <c r="Y31" s="33" t="n"/>
    </row>
    <row r="32" ht="15" customHeight="1" s="30">
      <c r="A32" s="33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  <c r="X32" s="53" t="n"/>
      <c r="Y32" s="33" t="n"/>
    </row>
    <row r="33" ht="15" customHeight="1" s="30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56" t="n"/>
      <c r="W33" s="33" t="n"/>
      <c r="X33" s="53" t="n"/>
      <c r="Y33" s="33" t="n"/>
    </row>
    <row r="34" ht="15" customHeight="1" s="30">
      <c r="A34" s="57" t="n"/>
      <c r="B34" s="58" t="n"/>
      <c r="C34" s="58" t="n"/>
      <c r="D34" s="58" t="n"/>
      <c r="E34" s="58" t="n"/>
      <c r="F34" s="58" t="n"/>
      <c r="G34" s="58" t="n"/>
      <c r="H34" s="58" t="n"/>
      <c r="I34" s="58" t="n"/>
      <c r="J34" s="58" t="n"/>
      <c r="K34" s="58" t="n"/>
      <c r="L34" s="58" t="n"/>
      <c r="M34" s="58" t="n"/>
      <c r="N34" s="58" t="n"/>
      <c r="O34" s="58" t="n"/>
      <c r="P34" s="58" t="n"/>
      <c r="Q34" s="58" t="n"/>
      <c r="R34" s="58" t="n"/>
      <c r="S34" s="58" t="n"/>
      <c r="T34" s="58" t="n"/>
      <c r="U34" s="58" t="n"/>
      <c r="V34" s="58" t="n"/>
      <c r="W34" s="58" t="n"/>
      <c r="X34" s="53" t="n"/>
      <c r="Y34" s="58" t="n"/>
    </row>
    <row r="35" ht="15" customHeight="1" s="30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56" t="n"/>
      <c r="W35" s="33" t="n"/>
      <c r="X35" s="53" t="n"/>
      <c r="Y35" s="33" t="n"/>
    </row>
    <row r="36" ht="15" customHeight="1" s="30">
      <c r="A36" s="33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56" t="n"/>
      <c r="W36" s="33" t="n"/>
      <c r="X36" s="53" t="n"/>
      <c r="Y36" s="33" t="n"/>
    </row>
    <row r="37" ht="15" customHeight="1" s="30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56" t="n"/>
      <c r="W37" s="33" t="n"/>
      <c r="X37" s="53" t="n"/>
      <c r="Y37" s="33" t="n"/>
    </row>
    <row r="38" ht="15" customHeight="1" s="30">
      <c r="A38" s="33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56" t="n"/>
      <c r="W38" s="33" t="n"/>
      <c r="X38" s="53" t="n"/>
      <c r="Y38" s="33" t="n"/>
    </row>
    <row r="39" ht="15" customHeight="1" s="30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56" t="n"/>
      <c r="W39" s="33" t="n"/>
      <c r="X39" s="53" t="n"/>
      <c r="Y39" s="33" t="n"/>
    </row>
    <row r="40" ht="15" customHeight="1" s="30">
      <c r="A40" s="33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56" t="n"/>
      <c r="W40" s="33" t="n"/>
      <c r="X40" s="53" t="n"/>
      <c r="Y40" s="33" t="n"/>
    </row>
    <row r="41" ht="15" customHeight="1" s="30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56" t="n"/>
      <c r="W41" s="33" t="n"/>
      <c r="X41" s="53" t="n"/>
      <c r="Y41" s="33" t="n"/>
    </row>
    <row r="42" ht="15" customHeight="1" s="30">
      <c r="A42" s="33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56" t="n"/>
      <c r="W42" s="33" t="n"/>
      <c r="X42" s="53" t="n"/>
      <c r="Y42" s="33" t="n"/>
    </row>
    <row r="43" ht="15" customHeight="1" s="30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56" t="n"/>
      <c r="W43" s="33" t="n"/>
      <c r="X43" s="53" t="n"/>
      <c r="Y43" s="33" t="n"/>
    </row>
    <row r="44" ht="15" customHeight="1" s="30">
      <c r="A44" s="33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56" t="n"/>
      <c r="W44" s="33" t="n"/>
      <c r="X44" s="53" t="n"/>
      <c r="Y44" s="33" t="n"/>
    </row>
    <row r="45" ht="15" customHeight="1" s="30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56" t="n"/>
      <c r="W45" s="33" t="n"/>
      <c r="X45" s="53" t="n"/>
      <c r="Y45" s="33" t="n"/>
    </row>
    <row r="46" ht="15" customHeight="1" s="30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56" t="n"/>
      <c r="W46" s="33" t="n"/>
      <c r="X46" s="53" t="n"/>
      <c r="Y46" s="33" t="n"/>
    </row>
    <row r="47" ht="15" customHeight="1" s="30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56" t="n"/>
      <c r="W47" s="33" t="n"/>
      <c r="X47" s="53" t="n"/>
      <c r="Y47" s="33" t="n"/>
    </row>
    <row r="48" ht="15" customHeight="1" s="30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56" t="n"/>
      <c r="W48" s="33" t="n"/>
      <c r="X48" s="53" t="n"/>
      <c r="Y48" s="33" t="n"/>
    </row>
    <row r="49" ht="15" customHeight="1" s="30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56" t="n"/>
      <c r="W49" s="33" t="n"/>
      <c r="X49" s="53" t="n"/>
      <c r="Y49" s="33" t="n"/>
    </row>
    <row r="50" ht="15" customHeight="1" s="30">
      <c r="A50" s="33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56" t="n"/>
      <c r="W50" s="33" t="n"/>
      <c r="X50" s="53" t="n"/>
      <c r="Y50" s="33" t="n"/>
    </row>
    <row r="51" ht="15" customHeight="1" s="30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56" t="n"/>
      <c r="W51" s="33" t="n"/>
      <c r="X51" s="53" t="n"/>
      <c r="Y51" s="33" t="n"/>
    </row>
    <row r="52" ht="15" customHeight="1" s="30">
      <c r="A52" s="33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56" t="n"/>
      <c r="W52" s="33" t="n"/>
      <c r="X52" s="53" t="n"/>
      <c r="Y52" s="33" t="n"/>
    </row>
    <row r="53" ht="15" customHeight="1" s="30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3" t="n"/>
      <c r="Q53" s="33" t="n"/>
      <c r="R53" s="33" t="n"/>
      <c r="S53" s="33" t="n"/>
      <c r="T53" s="33" t="n"/>
      <c r="U53" s="33" t="n"/>
      <c r="V53" s="56" t="n"/>
      <c r="W53" s="33" t="n"/>
      <c r="X53" s="53" t="n"/>
      <c r="Y53" s="33" t="n"/>
    </row>
    <row r="54" ht="15" customHeight="1" s="30">
      <c r="A54" s="33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3" t="n"/>
      <c r="Q54" s="33" t="n"/>
      <c r="R54" s="33" t="n"/>
      <c r="S54" s="33" t="n"/>
      <c r="T54" s="33" t="n"/>
      <c r="U54" s="33" t="n"/>
      <c r="V54" s="56" t="n"/>
      <c r="W54" s="33" t="n"/>
      <c r="X54" s="53" t="n"/>
      <c r="Y54" s="33" t="n"/>
    </row>
    <row r="55" ht="15" customHeight="1" s="30">
      <c r="A55" s="33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3" t="n"/>
      <c r="Q55" s="33" t="n"/>
      <c r="R55" s="33" t="n"/>
      <c r="S55" s="33" t="n"/>
      <c r="T55" s="33" t="n"/>
      <c r="U55" s="33" t="n"/>
      <c r="V55" s="56" t="n"/>
      <c r="W55" s="33" t="n"/>
      <c r="X55" s="53" t="n"/>
      <c r="Y55" s="33" t="n"/>
    </row>
    <row r="56" ht="15" customHeight="1" s="30">
      <c r="A56" s="33" t="n"/>
      <c r="B56" s="3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  <c r="O56" s="33" t="n"/>
      <c r="P56" s="33" t="n"/>
      <c r="Q56" s="33" t="n"/>
      <c r="R56" s="33" t="n"/>
      <c r="S56" s="33" t="n"/>
      <c r="T56" s="33" t="n"/>
      <c r="U56" s="33" t="n"/>
      <c r="V56" s="56" t="n"/>
      <c r="W56" s="33" t="n"/>
      <c r="X56" s="53" t="n"/>
      <c r="Y56" s="33" t="n"/>
    </row>
    <row r="57" ht="15" customHeight="1" s="30">
      <c r="A57" s="33" t="n"/>
      <c r="B57" s="33" t="n"/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  <c r="O57" s="33" t="n"/>
      <c r="P57" s="33" t="n"/>
      <c r="Q57" s="33" t="n"/>
      <c r="R57" s="33" t="n"/>
      <c r="S57" s="33" t="n"/>
      <c r="T57" s="33" t="n"/>
      <c r="U57" s="33" t="n"/>
      <c r="V57" s="56" t="n"/>
      <c r="W57" s="33" t="n"/>
      <c r="X57" s="53" t="n"/>
      <c r="Y57" s="33" t="n"/>
    </row>
    <row r="58" ht="15" customHeight="1" s="30">
      <c r="A58" s="33" t="n"/>
      <c r="B58" s="3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3" t="n"/>
      <c r="P58" s="33" t="n"/>
      <c r="Q58" s="33" t="n"/>
      <c r="R58" s="33" t="n"/>
      <c r="S58" s="33" t="n"/>
      <c r="T58" s="33" t="n"/>
      <c r="U58" s="33" t="n"/>
      <c r="V58" s="56" t="n"/>
      <c r="W58" s="33" t="n"/>
      <c r="X58" s="53" t="n"/>
      <c r="Y58" s="33" t="n"/>
    </row>
    <row r="59" ht="15" customHeight="1" s="30">
      <c r="A59" s="33" t="n"/>
      <c r="B59" s="33" t="n"/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3" t="n"/>
      <c r="P59" s="33" t="n"/>
      <c r="Q59" s="33" t="n"/>
      <c r="R59" s="33" t="n"/>
      <c r="S59" s="33" t="n"/>
      <c r="T59" s="33" t="n"/>
      <c r="U59" s="33" t="n"/>
      <c r="V59" s="56" t="n"/>
      <c r="W59" s="33" t="n"/>
      <c r="X59" s="53" t="n"/>
      <c r="Y59" s="33" t="n"/>
    </row>
    <row r="60" ht="15" customHeight="1" s="30">
      <c r="A60" s="33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  <c r="O60" s="33" t="n"/>
      <c r="P60" s="33" t="n"/>
      <c r="Q60" s="33" t="n"/>
      <c r="R60" s="33" t="n"/>
      <c r="S60" s="33" t="n"/>
      <c r="T60" s="33" t="n"/>
      <c r="U60" s="33" t="n"/>
      <c r="V60" s="56" t="n"/>
      <c r="W60" s="33" t="n"/>
      <c r="X60" s="53" t="n"/>
      <c r="Y60" s="33" t="n"/>
    </row>
    <row r="61" ht="15" customHeight="1" s="30">
      <c r="A61" s="33" t="n"/>
      <c r="B61" s="33" t="n"/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3" t="n"/>
      <c r="Q61" s="33" t="n"/>
      <c r="R61" s="33" t="n"/>
      <c r="S61" s="33" t="n"/>
      <c r="T61" s="33" t="n"/>
      <c r="U61" s="33" t="n"/>
      <c r="V61" s="56" t="n"/>
      <c r="W61" s="33" t="n"/>
      <c r="X61" s="53" t="n"/>
      <c r="Y61" s="33" t="n"/>
    </row>
    <row r="62" ht="15" customHeight="1" s="30">
      <c r="A62" s="33" t="n"/>
      <c r="B62" s="33" t="n"/>
      <c r="C62" s="33" t="n"/>
      <c r="D62" s="33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  <c r="O62" s="33" t="n"/>
      <c r="P62" s="33" t="n"/>
      <c r="Q62" s="33" t="n"/>
      <c r="R62" s="33" t="n"/>
      <c r="S62" s="33" t="n"/>
      <c r="T62" s="33" t="n"/>
      <c r="U62" s="33" t="n"/>
      <c r="V62" s="56" t="n"/>
      <c r="W62" s="33" t="n"/>
      <c r="X62" s="53" t="n"/>
      <c r="Y62" s="33" t="n"/>
    </row>
    <row r="63" ht="15" customHeight="1" s="30">
      <c r="A63" s="33" t="n"/>
      <c r="B63" s="33" t="n"/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  <c r="M63" s="33" t="n"/>
      <c r="N63" s="33" t="n"/>
      <c r="O63" s="33" t="n"/>
      <c r="P63" s="33" t="n"/>
      <c r="Q63" s="33" t="n"/>
      <c r="R63" s="33" t="n"/>
      <c r="S63" s="33" t="n"/>
      <c r="T63" s="33" t="n"/>
      <c r="U63" s="33" t="n"/>
      <c r="V63" s="56" t="n"/>
      <c r="W63" s="33" t="n"/>
      <c r="X63" s="53" t="n"/>
      <c r="Y63" s="33" t="n"/>
    </row>
    <row r="64" ht="15" customHeight="1" s="30">
      <c r="A64" s="33" t="n"/>
      <c r="B64" s="33" t="n"/>
      <c r="C64" s="33" t="n"/>
      <c r="D64" s="33" t="n"/>
      <c r="E64" s="33" t="n"/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  <c r="P64" s="33" t="n"/>
      <c r="Q64" s="33" t="n"/>
      <c r="R64" s="33" t="n"/>
      <c r="S64" s="33" t="n"/>
      <c r="T64" s="33" t="n"/>
      <c r="U64" s="33" t="n"/>
      <c r="V64" s="56" t="n"/>
      <c r="W64" s="33" t="n"/>
      <c r="X64" s="53" t="n"/>
      <c r="Y64" s="33" t="n"/>
    </row>
    <row r="65" ht="15" customHeight="1" s="30">
      <c r="A65" s="33" t="n"/>
      <c r="B65" s="33" t="n"/>
      <c r="C65" s="33" t="n"/>
      <c r="D65" s="33" t="n"/>
      <c r="E65" s="33" t="n"/>
      <c r="F65" s="33" t="n"/>
      <c r="G65" s="33" t="n"/>
      <c r="H65" s="33" t="n"/>
      <c r="I65" s="33" t="n"/>
      <c r="J65" s="33" t="n"/>
      <c r="K65" s="33" t="n"/>
      <c r="L65" s="33" t="n"/>
      <c r="M65" s="33" t="n"/>
      <c r="N65" s="33" t="n"/>
      <c r="O65" s="33" t="n"/>
      <c r="P65" s="33" t="n"/>
      <c r="Q65" s="33" t="n"/>
      <c r="R65" s="33" t="n"/>
      <c r="S65" s="33" t="n"/>
      <c r="T65" s="33" t="n"/>
      <c r="U65" s="33" t="n"/>
      <c r="V65" s="56" t="n"/>
      <c r="W65" s="33" t="n"/>
      <c r="X65" s="53" t="n"/>
      <c r="Y65" s="33" t="n"/>
    </row>
    <row r="66" ht="15" customHeight="1" s="30">
      <c r="A66" s="33" t="n"/>
      <c r="B66" s="33" t="n"/>
      <c r="C66" s="33" t="n"/>
      <c r="D66" s="33" t="n"/>
      <c r="E66" s="33" t="n"/>
      <c r="F66" s="33" t="n"/>
      <c r="G66" s="33" t="n"/>
      <c r="H66" s="33" t="n"/>
      <c r="I66" s="33" t="n"/>
      <c r="J66" s="33" t="n"/>
      <c r="K66" s="33" t="n"/>
      <c r="L66" s="33" t="n"/>
      <c r="M66" s="33" t="n"/>
      <c r="N66" s="33" t="n"/>
      <c r="O66" s="33" t="n"/>
      <c r="P66" s="33" t="n"/>
      <c r="Q66" s="33" t="n"/>
      <c r="R66" s="33" t="n"/>
      <c r="S66" s="33" t="n"/>
      <c r="T66" s="33" t="n"/>
      <c r="U66" s="33" t="n"/>
      <c r="V66" s="33" t="n"/>
      <c r="W66" s="33" t="n"/>
      <c r="X66" s="53" t="n"/>
      <c r="Y66" s="33" t="n"/>
    </row>
    <row r="67" ht="15" customHeight="1" s="30">
      <c r="A67" s="33" t="n"/>
      <c r="B67" s="33" t="n"/>
      <c r="C67" s="33" t="n"/>
      <c r="D67" s="33" t="n"/>
      <c r="E67" s="33" t="n"/>
      <c r="F67" s="33" t="n"/>
      <c r="G67" s="33" t="n"/>
      <c r="H67" s="33" t="n"/>
      <c r="I67" s="33" t="n"/>
      <c r="J67" s="33" t="n"/>
      <c r="K67" s="33" t="n"/>
      <c r="L67" s="33" t="n"/>
      <c r="M67" s="33" t="n"/>
      <c r="N67" s="33" t="n"/>
      <c r="O67" s="33" t="n"/>
      <c r="P67" s="33" t="n"/>
      <c r="Q67" s="33" t="n"/>
      <c r="R67" s="33" t="n"/>
      <c r="S67" s="33" t="n"/>
      <c r="T67" s="33" t="n"/>
      <c r="U67" s="33" t="n"/>
      <c r="V67" s="33" t="n"/>
      <c r="W67" s="33" t="n"/>
      <c r="X67" s="53" t="n"/>
      <c r="Y67" s="33" t="n"/>
    </row>
    <row r="68" ht="15" customHeight="1" s="30">
      <c r="A68" s="33" t="n"/>
      <c r="B68" s="33" t="n"/>
      <c r="C68" s="33" t="n"/>
      <c r="D68" s="33" t="n"/>
      <c r="E68" s="33" t="n"/>
      <c r="F68" s="33" t="n"/>
      <c r="G68" s="33" t="n"/>
      <c r="H68" s="33" t="n"/>
      <c r="I68" s="33" t="n"/>
      <c r="J68" s="33" t="n"/>
      <c r="K68" s="33" t="n"/>
      <c r="L68" s="33" t="n"/>
      <c r="M68" s="33" t="n"/>
      <c r="N68" s="33" t="n"/>
      <c r="O68" s="33" t="n"/>
      <c r="P68" s="33" t="n"/>
      <c r="Q68" s="33" t="n"/>
      <c r="R68" s="33" t="n"/>
      <c r="S68" s="33" t="n"/>
      <c r="T68" s="33" t="n"/>
      <c r="U68" s="33" t="n"/>
      <c r="V68" s="33" t="n"/>
      <c r="W68" s="33" t="n"/>
      <c r="X68" s="53" t="n"/>
      <c r="Y68" s="33" t="n"/>
    </row>
    <row r="69" ht="15" customHeight="1" s="30">
      <c r="A69" s="33" t="n"/>
      <c r="B69" s="33" t="n"/>
      <c r="C69" s="33" t="n"/>
      <c r="D69" s="33" t="n"/>
      <c r="E69" s="33" t="n"/>
      <c r="F69" s="33" t="n"/>
      <c r="G69" s="33" t="n"/>
      <c r="H69" s="33" t="n"/>
      <c r="I69" s="33" t="n"/>
      <c r="J69" s="33" t="n"/>
      <c r="K69" s="33" t="n"/>
      <c r="L69" s="33" t="n"/>
      <c r="M69" s="33" t="n"/>
      <c r="N69" s="33" t="n"/>
      <c r="O69" s="33" t="n"/>
      <c r="P69" s="33" t="n"/>
      <c r="Q69" s="33" t="n"/>
      <c r="R69" s="33" t="n"/>
      <c r="S69" s="33" t="n"/>
      <c r="T69" s="33" t="n"/>
      <c r="U69" s="33" t="n"/>
      <c r="V69" s="33" t="n"/>
      <c r="W69" s="33" t="n"/>
      <c r="X69" s="53" t="n"/>
      <c r="Y69" s="33" t="n"/>
    </row>
    <row r="70" ht="15" customHeight="1" s="30">
      <c r="A70" s="33" t="n"/>
      <c r="B70" s="33" t="n"/>
      <c r="C70" s="33" t="n"/>
      <c r="D70" s="33" t="n"/>
      <c r="E70" s="33" t="n"/>
      <c r="F70" s="33" t="n"/>
      <c r="G70" s="33" t="n"/>
      <c r="H70" s="33" t="n"/>
      <c r="I70" s="33" t="n"/>
      <c r="J70" s="33" t="n"/>
      <c r="K70" s="33" t="n"/>
      <c r="L70" s="33" t="n"/>
      <c r="M70" s="33" t="n"/>
      <c r="N70" s="33" t="n"/>
      <c r="O70" s="33" t="n"/>
      <c r="P70" s="33" t="n"/>
      <c r="Q70" s="33" t="n"/>
      <c r="R70" s="33" t="n"/>
      <c r="S70" s="33" t="n"/>
      <c r="T70" s="33" t="n"/>
      <c r="U70" s="33" t="n"/>
      <c r="V70" s="33" t="n"/>
      <c r="W70" s="33" t="n"/>
      <c r="X70" s="53" t="n"/>
      <c r="Y70" s="33" t="n"/>
    </row>
    <row r="71" ht="15" customHeight="1" s="30">
      <c r="X71" s="53" t="n"/>
    </row>
    <row r="72" ht="15" customHeight="1" s="30">
      <c r="X72" s="53" t="n"/>
    </row>
    <row r="73" ht="15" customHeight="1" s="30">
      <c r="X73" s="53" t="n"/>
    </row>
    <row r="74" ht="15" customHeight="1" s="30">
      <c r="X74" s="53" t="n"/>
    </row>
    <row r="75" ht="15" customHeight="1" s="30">
      <c r="X75" s="53" t="n"/>
    </row>
    <row r="76" ht="15" customHeight="1" s="30">
      <c r="X76" s="53" t="n"/>
    </row>
    <row r="77" ht="15" customHeight="1" s="30">
      <c r="X77" s="53" t="n"/>
    </row>
    <row r="78" ht="15" customHeight="1" s="30">
      <c r="X78" s="53" t="n"/>
    </row>
    <row r="79" ht="154.5" customHeight="1" s="30"/>
    <row r="113" ht="154.5" customHeight="1" s="30"/>
    <row r="120" ht="154.5" customHeight="1" s="30"/>
    <row r="123" ht="154.5" customHeight="1" s="30"/>
    <row r="124" ht="33.75" customHeight="1" s="30"/>
    <row r="125" ht="33.75" customHeight="1" s="30"/>
    <row r="126" ht="33.75" customHeight="1" s="30"/>
    <row r="127" ht="33.75" customHeight="1" s="30"/>
    <row r="128" ht="154.5" customHeight="1" s="30"/>
    <row r="129" ht="33.75" customHeight="1" s="30"/>
    <row r="130" ht="33.75" customHeight="1" s="30"/>
    <row r="131" ht="33.75" customHeight="1" s="30"/>
    <row r="132" ht="33.75" customHeight="1" s="30"/>
    <row r="133" ht="33.75" customHeight="1" s="30"/>
    <row r="134" ht="33.75" customHeight="1" s="30"/>
    <row r="135" ht="33.75" customHeight="1" s="30"/>
    <row r="136" ht="33.75" customHeight="1" s="30"/>
    <row r="137" ht="33.75" customHeight="1" s="30"/>
    <row r="138" ht="33.75" customHeight="1" s="30"/>
    <row r="139" ht="33.75" customHeight="1" s="30"/>
    <row r="143" ht="154.5" customHeight="1" s="30"/>
    <row r="146" ht="43.5" customHeight="1" s="30"/>
    <row r="147" ht="43.5" customHeight="1" s="30"/>
    <row r="148" ht="43.5" customHeight="1" s="30"/>
    <row r="149" ht="43.5" customHeight="1" s="30"/>
    <row r="150" ht="43.5" customHeight="1" s="30"/>
    <row r="151" ht="43.5" customHeight="1" s="30"/>
    <row r="152" ht="43.5" customHeight="1" s="30"/>
    <row r="153" ht="43.5" customHeight="1" s="30"/>
    <row r="154" ht="43.5" customHeight="1" s="30"/>
    <row r="155" ht="43.5" customHeight="1" s="30"/>
    <row r="156" ht="132" customHeight="1" s="30"/>
    <row r="157" ht="117.75" customHeight="1" s="30"/>
    <row r="158" ht="117.75" customHeight="1" s="30"/>
    <row r="159" ht="117.75" customHeight="1" s="30"/>
    <row r="160" ht="117.75" customHeight="1" s="30"/>
    <row r="161" ht="132" customHeight="1" s="30"/>
    <row r="162" ht="132" customHeight="1" s="30"/>
    <row r="163" ht="154.5" customHeight="1" s="30"/>
    <row r="164" ht="132" customHeight="1" s="30"/>
    <row r="165" ht="132" customHeight="1" s="30"/>
    <row r="166" ht="132" customHeight="1" s="30"/>
    <row r="167" ht="154.5" customHeight="1" s="30"/>
    <row r="168" ht="219.75" customHeight="1" s="30"/>
    <row r="169" ht="219.75" customHeight="1" s="30"/>
    <row r="172" ht="42" customHeight="1" s="30"/>
    <row r="173" ht="42" customHeight="1" s="30"/>
    <row r="174" ht="43.5" customHeight="1" s="30"/>
    <row r="175" ht="43.5" customHeight="1" s="30"/>
    <row r="176" ht="43.5" customHeight="1" s="30"/>
    <row r="177" ht="43.5" customHeight="1" s="30"/>
    <row r="178" ht="43.5" customHeight="1" s="30"/>
    <row r="179" ht="43.5" customHeight="1" s="30"/>
    <row r="180" ht="43.5" customHeight="1" s="30"/>
    <row r="181" ht="43.5" customHeight="1" s="30"/>
    <row r="182" ht="43.5" customHeight="1" s="30"/>
    <row r="183" ht="43.5" customHeight="1" s="30"/>
    <row r="184" ht="43.5" customHeight="1" s="30"/>
    <row r="185" ht="43.5" customHeight="1" s="30"/>
    <row r="186" ht="43.5" customHeight="1" s="30"/>
    <row r="187" ht="43.5" customHeight="1" s="30"/>
    <row r="188" ht="43.5" customHeight="1" s="30"/>
    <row r="189" ht="43.5" customHeight="1" s="30"/>
    <row r="190" ht="43.5" customHeight="1" s="30"/>
    <row r="191" ht="43.5" customHeight="1" s="30"/>
    <row r="192" ht="43.5" customHeight="1" s="30"/>
    <row r="193" ht="43.5" customHeight="1" s="30"/>
    <row r="194" ht="43.5" customHeight="1" s="30"/>
    <row r="195" ht="43.5" customHeight="1" s="30"/>
    <row r="196" ht="43.5" customHeight="1" s="30"/>
    <row r="197" ht="43.5" customHeight="1" s="30"/>
    <row r="198" ht="43.5" customHeight="1" s="30"/>
    <row r="199" ht="43.5" customHeight="1" s="30"/>
    <row r="200" ht="43.5" customHeight="1" s="30"/>
    <row r="201" ht="43.5" customHeight="1" s="30"/>
    <row r="202" ht="43.5" customHeight="1" s="30"/>
    <row r="203" ht="43.5" customHeight="1" s="30"/>
    <row r="204" ht="43.5" customHeight="1" s="30"/>
    <row r="240" ht="255" customHeight="1" s="30"/>
    <row r="281" ht="66" customHeight="1" s="30"/>
    <row r="282" ht="66" customHeight="1" s="30"/>
    <row r="283" ht="66" customHeight="1" s="30"/>
    <row r="284" ht="66" customHeight="1" s="30"/>
    <row r="285" ht="66" customHeight="1" s="30"/>
    <row r="286" ht="66" customHeight="1" s="30"/>
    <row r="287" ht="55.5" customHeight="1" s="30"/>
    <row r="301" ht="132" customHeight="1" s="30"/>
    <row r="302" ht="54" customHeight="1" s="30"/>
    <row r="303" ht="54" customHeight="1" s="30"/>
    <row r="304" ht="54" customHeight="1" s="30"/>
    <row r="305" ht="54" customHeight="1" s="30"/>
    <row r="306" ht="54" customHeight="1" s="30"/>
    <row r="307" ht="54" customHeight="1" s="30"/>
    <row r="308" ht="54" customHeight="1" s="30"/>
    <row r="309" ht="54" customHeight="1" s="30"/>
    <row r="310" ht="54" customHeight="1" s="30"/>
    <row r="311" ht="72" customHeight="1" s="30"/>
    <row r="312" ht="54" customHeight="1" s="30"/>
    <row r="313" ht="54" customHeight="1" s="30"/>
    <row r="314" ht="54" customHeight="1" s="30"/>
    <row r="315" ht="54" customHeight="1" s="30"/>
    <row r="316" ht="54" customHeight="1" s="30"/>
    <row r="317" ht="54" customHeight="1" s="30"/>
    <row r="318" ht="54" customHeight="1" s="30"/>
    <row r="319" ht="54" customHeight="1" s="30"/>
    <row r="320" ht="54" customHeight="1" s="30"/>
    <row r="321" ht="54" customHeight="1" s="30"/>
    <row r="322" ht="54" customHeight="1" s="30"/>
    <row r="323" ht="54" customHeight="1" s="30"/>
    <row r="324" ht="54" customHeight="1" s="30"/>
    <row r="325" ht="54" customHeight="1" s="30"/>
    <row r="326" ht="54" customHeight="1" s="30"/>
    <row r="327" ht="54" customHeight="1" s="30"/>
    <row r="328" ht="54" customHeight="1" s="30"/>
    <row r="329" ht="54" customHeight="1" s="30"/>
    <row r="330" ht="54" customHeight="1" s="30"/>
    <row r="331" ht="54" customHeight="1" s="30"/>
    <row r="332" ht="54" customHeight="1" s="30"/>
    <row r="333" ht="54" customHeight="1" s="30"/>
    <row r="334" ht="54" customHeight="1" s="30"/>
    <row r="335" ht="54" customHeight="1" s="30"/>
    <row r="336" ht="54" customHeight="1" s="30"/>
    <row r="337" ht="54" customHeight="1" s="30"/>
    <row r="338" ht="54" customHeight="1" s="30"/>
    <row r="339" ht="54" customHeight="1" s="30"/>
    <row r="340" ht="54" customHeight="1" s="30"/>
    <row r="341" ht="54" customHeight="1" s="30"/>
    <row r="342" ht="54" customHeight="1" s="30"/>
    <row r="343" ht="54" customHeight="1" s="30"/>
    <row r="344" ht="54" customHeight="1" s="30"/>
    <row r="345" ht="54" customHeight="1" s="30"/>
    <row r="346" ht="54" customHeight="1" s="30"/>
    <row r="347" ht="54" customHeight="1" s="30"/>
    <row r="348" ht="54" customHeight="1" s="30"/>
    <row r="349" ht="54" customHeight="1" s="30"/>
    <row r="350" ht="54" customHeight="1" s="30"/>
    <row r="351" ht="54" customHeight="1" s="30"/>
    <row r="352" ht="54" customHeight="1" s="30"/>
    <row r="353" ht="54" customHeight="1" s="30"/>
    <row r="354" ht="54" customHeight="1" s="30"/>
    <row r="355" ht="54" customHeight="1" s="30"/>
    <row r="356" ht="54" customHeight="1" s="30"/>
    <row r="357" ht="54" customHeight="1" s="30"/>
    <row r="358" ht="54" customHeight="1" s="30"/>
    <row r="359" ht="72" customHeight="1" s="30"/>
    <row r="360" ht="54" customHeight="1" s="30"/>
    <row r="361" ht="54" customHeight="1" s="30"/>
    <row r="362" ht="54" customHeight="1" s="30"/>
    <row r="363" ht="54" customHeight="1" s="30"/>
    <row r="364" ht="54" customHeight="1" s="30"/>
    <row r="365" ht="54" customHeight="1" s="30"/>
    <row r="366" ht="54" customHeight="1" s="30"/>
    <row r="367" ht="54" customHeight="1" s="30"/>
    <row r="368" ht="72" customHeight="1" s="30"/>
    <row r="369" ht="54" customHeight="1" s="30"/>
    <row r="370" ht="54" customHeight="1" s="30"/>
    <row r="371" ht="54" customHeight="1" s="30"/>
    <row r="372" ht="54" customHeight="1" s="30"/>
    <row r="373" ht="54" customHeight="1" s="30"/>
    <row r="374" ht="54" customHeight="1" s="30"/>
    <row r="375" ht="54" customHeight="1" s="30"/>
    <row r="376" ht="54" customHeight="1" s="30"/>
    <row r="377" ht="54" customHeight="1" s="30"/>
    <row r="378" ht="54" customHeight="1" s="30"/>
    <row r="379" ht="54" customHeight="1" s="30"/>
    <row r="380" ht="54" customHeight="1" s="30"/>
    <row r="381" ht="54" customHeight="1" s="30"/>
    <row r="382" ht="54" customHeight="1" s="30"/>
    <row r="383" ht="54" customHeight="1" s="30"/>
    <row r="384" ht="54" customHeight="1" s="30"/>
    <row r="385" ht="54" customHeight="1" s="30"/>
    <row r="386" ht="54" customHeight="1" s="30"/>
    <row r="387" ht="54" customHeight="1" s="30"/>
    <row r="388" ht="54" customHeight="1" s="30"/>
    <row r="389" ht="54" customHeight="1" s="30"/>
    <row r="390" ht="54" customHeight="1" s="30"/>
    <row r="391" ht="54" customHeight="1" s="30"/>
    <row r="392" ht="54" customHeight="1" s="30"/>
    <row r="393" ht="54" customHeight="1" s="30"/>
    <row r="394" ht="54" customHeight="1" s="30"/>
    <row r="395" ht="54" customHeight="1" s="30"/>
    <row r="396" ht="54" customHeight="1" s="30"/>
    <row r="397" ht="54" customHeight="1" s="30"/>
    <row r="398" ht="54" customHeight="1" s="30"/>
    <row r="399" ht="54" customHeight="1" s="30"/>
    <row r="400" ht="54" customHeight="1" s="30"/>
    <row r="401" ht="54" customHeight="1" s="30"/>
    <row r="402" ht="54" customHeight="1" s="30"/>
    <row r="403" ht="54" customHeight="1" s="30"/>
    <row r="404" ht="54" customHeight="1" s="30"/>
    <row r="405" ht="54" customHeight="1" s="30"/>
    <row r="406" ht="54" customHeight="1" s="30"/>
    <row r="407" ht="54" customHeight="1" s="30"/>
    <row r="408" ht="54" customHeight="1" s="30"/>
    <row r="409" ht="54" customHeight="1" s="30"/>
    <row r="410" ht="54" customHeight="1" s="30"/>
    <row r="411" ht="54" customHeight="1" s="30"/>
    <row r="412" ht="54" customHeight="1" s="30"/>
    <row r="413" ht="75.75" customHeight="1" s="30"/>
    <row r="414" ht="72" customHeight="1" s="30"/>
    <row r="415" ht="72" customHeight="1" s="30"/>
    <row r="416" ht="72" customHeight="1" s="30"/>
    <row r="424" ht="84.75" customHeight="1" s="30"/>
    <row r="425" ht="84.75" customHeight="1" s="30"/>
    <row r="426" ht="84.75" customHeight="1" s="30"/>
    <row r="427" ht="84.75" customHeight="1" s="30"/>
    <row r="429" ht="120" customHeight="1" s="30"/>
  </sheetData>
  <autoFilter ref="A5:X23"/>
  <mergeCells count="2">
    <mergeCell ref="A1:X2"/>
    <mergeCell ref="A3:X3"/>
  </mergeCells>
  <conditionalFormatting sqref="S6:S79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79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4">
    <dataValidation sqref="K6:K23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23" showDropDown="0" showInputMessage="0" showErrorMessage="0" allowBlank="1" type="list">
      <formula1>"P0,P1,P2,P3"</formula1>
    </dataValidation>
    <dataValidation sqref="C6:C23" showDropDown="0" showInputMessage="0" showErrorMessage="0" allowBlank="1" type="list">
      <formula1>"UI"</formula1>
    </dataValidation>
    <dataValidation sqref="C24:C79" showDropDown="0" showInputMessage="0" showErrorMessage="0" allowBlank="1" type="list">
      <formula1>"角色,敌人,武器,道具,场景,场景道具,基地资产包,UI,特效,音效,音乐"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29" min="1" max="1"/>
    <col width="15.51" customWidth="1" style="29" min="2" max="2"/>
    <col width="28.65" customWidth="1" style="29" min="3" max="3"/>
    <col width="33.42" customWidth="1" style="29" min="4" max="4"/>
    <col width="83.55" customWidth="1" style="29" min="5" max="5"/>
    <col width="57.29" customWidth="1" style="29" min="6" max="6"/>
    <col width="14.33" customWidth="1" style="29" min="7" max="7"/>
  </cols>
  <sheetData>
    <row r="1" ht="15" customHeight="1" s="30">
      <c r="A1" s="31" t="inlineStr">
        <is>
          <t>UI账本变更日志</t>
        </is>
      </c>
    </row>
    <row r="2" ht="15" customHeight="1" s="30"/>
    <row r="3" ht="15" customHeight="1" s="30">
      <c r="A3" s="32" t="inlineStr">
        <is>
          <t>只记录本账本的域内变更；跨域与全局变更记录在主账本《版本记录》</t>
        </is>
      </c>
    </row>
    <row r="5" ht="15" customHeight="1" s="30">
      <c r="A5" s="36" t="inlineStr">
        <is>
          <t>台账版本</t>
        </is>
      </c>
      <c r="B5" s="36" t="inlineStr">
        <is>
          <t>日期</t>
        </is>
      </c>
      <c r="C5" s="36" t="inlineStr">
        <is>
          <t>变更类型</t>
        </is>
      </c>
      <c r="D5" s="36" t="inlineStr">
        <is>
          <t>范围</t>
        </is>
      </c>
      <c r="E5" s="36" t="inlineStr">
        <is>
          <t>说明</t>
        </is>
      </c>
      <c r="F5" s="36" t="inlineStr">
        <is>
          <t>兼容性</t>
        </is>
      </c>
      <c r="G5" s="36" t="inlineStr">
        <is>
          <t>负责人</t>
        </is>
      </c>
    </row>
    <row r="6" ht="45.75" customHeight="1" s="30">
      <c r="A6" s="40" t="inlineStr">
        <is>
          <t>v0.2.0</t>
        </is>
      </c>
      <c r="B6" s="40" t="inlineStr">
        <is>
          <t>2026-09-23</t>
        </is>
      </c>
      <c r="C6" s="40" t="inlineStr">
        <is>
          <t>P2 独立域拆分</t>
        </is>
      </c>
      <c r="D6" s="40" t="inlineStr">
        <is>
          <t>UI</t>
        </is>
      </c>
      <c r="E6" s="41" t="inlineStr">
        <is>
          <t>由表现资源账本拆出 17 条UI资产；本账本接管大类=UI，匹配独立 Skill 与验收流程。</t>
        </is>
      </c>
      <c r="F6" s="40" t="inlineStr">
        <is>
          <t>AssetID、路径、SHA-256、制作状态与授权信息不变；仅账本归属和大类名称迁移。</t>
        </is>
      </c>
      <c r="G6" s="40" t="inlineStr">
        <is>
          <t>Codex</t>
        </is>
      </c>
    </row>
    <row r="7">
      <c r="A7" s="40" t="inlineStr">
        <is>
          <t>v0.2.1</t>
        </is>
      </c>
      <c r="B7" s="40" t="inlineStr">
        <is>
          <t>2026-09-29</t>
        </is>
      </c>
      <c r="C7" s="40" t="inlineStr">
        <is>
          <t>选关表现替换</t>
        </is>
      </c>
      <c r="D7" s="40" t="inlineStr">
        <is>
          <t>UI-SCREEN-LEVEL-SELECT</t>
        </is>
      </c>
      <c r="E7" s="41" t="inlineStr">
        <is>
          <t>原弹窗改为平台锚定全息城市及专属镜头</t>
        </is>
      </c>
      <c r="F7" s="40" t="inlineStr">
        <is>
          <t>ID与出发携带物契约保持</t>
        </is>
      </c>
      <c r="G7" s="40" t="inlineStr">
        <is>
          <t>Codex</t>
        </is>
      </c>
    </row>
    <row r="8">
      <c r="A8" s="40" t="inlineStr">
        <is>
          <t>v0.2.2</t>
        </is>
      </c>
      <c r="B8" s="40" t="inlineStr">
        <is>
          <t>2026-10-08</t>
        </is>
      </c>
      <c r="C8" s="40" t="inlineStr">
        <is>
          <t>表现替换</t>
        </is>
      </c>
      <c r="D8" s="40" t="inlineStr">
        <is>
          <t>UI-ATLAS-FATE-CARD</t>
        </is>
      </c>
      <c r="E8" s="41" t="inlineStr">
        <is>
          <t>命运塔罗卡面接入：命运卡由程序绘制改为塔罗图卡呈现，新增卡面集（1卡背+30卡面，按 stable_card_id 命名）；缺图卡回退程序卡面。功能与抽卡逻辑不变。</t>
        </is>
      </c>
      <c r="F8" s="40" t="inlineStr">
        <is>
          <t>仅表现层变更；AssetID/存档/卡牌定义与数值不受影响。</t>
        </is>
      </c>
      <c r="G8" s="40" t="inlineStr">
        <is>
          <t>Codex</t>
        </is>
      </c>
    </row>
    <row r="9" s="30">
      <c r="A9" s="40" t="inlineStr">
        <is>
          <t>v0.2.3</t>
        </is>
      </c>
      <c r="B9" s="40" t="inlineStr">
        <is>
          <t>2026-10-09</t>
        </is>
      </c>
      <c r="C9" s="40" t="inlineStr">
        <is>
          <t>补图完成</t>
        </is>
      </c>
      <c r="D9" s="40" t="inlineStr">
        <is>
          <t>UI-ATLAS-FATE-CARD</t>
        </is>
      </c>
      <c r="E9" s="41" t="inlineStr">
        <is>
          <t>命运塔罗卡面补全：新增18张按同风格生成的牌面，48张可玩卡全量覆盖，缺图回退路径保留为容错。</t>
        </is>
      </c>
      <c r="F9" s="40" t="inlineStr">
        <is>
          <t>仅表现层变更；AssetID/存档/卡牌定义与数值不受影响。</t>
        </is>
      </c>
      <c r="G9" s="40" t="inlineStr">
        <is>
          <t>Codex</t>
        </is>
      </c>
    </row>
    <row r="10" s="30">
      <c r="A10" s="40" t="inlineStr">
        <is>
          <t>v0.2.4</t>
        </is>
      </c>
      <c r="B10" s="40" t="inlineStr">
        <is>
          <t>2026-10-10</t>
        </is>
      </c>
      <c r="C10" s="40" t="inlineStr">
        <is>
          <t>面板表现重做</t>
        </is>
      </c>
      <c r="D10" s="40" t="inlineStr">
        <is>
          <t>UI-PANEL-FATE-SOURCE</t>
        </is>
      </c>
      <c r="E10" s="41" t="inlineStr">
        <is>
          <t>命运来源选择面板由纯文字按钮改为图标卡片：左侧复用 UI-ICON-ITEM-MODEL-3D 投影真实枪械模型（与地面拾取/背包/商人同源），右侧显示中文武器名、来源位置与命运槽占用；标题不再重复正文，改为一句只读语义说明。同面板亦服务待领命运奖励（无 icon_item 时回退文字行）。</t>
        </is>
      </c>
      <c r="F10" s="40" t="inlineStr">
        <is>
          <t>仅表现层；AssetID/存档/卡牌数值/来源事务与槽位规则不变。新增资产行 ⇒ 其余 17 行内容未变，仅《总览》区间随之扩到 $23（属预期）。无损基线已按既有「从当前分账本重建」口径做最小补录。</t>
        </is>
      </c>
      <c r="G10" s="40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2026-09-23T07:44:54Z</dcterms:created>
  <dcterms:modified xmlns:dcterms="http://purl.org/dc/terms/" xmlns:xsi="http://www.w3.org/2001/XMLSchema-instance" xsi:type="dcterms:W3CDTF">2026-10-10T06:33:33Z</dcterms:modified>
  <cp:revision>0</cp:revision>
</cp:coreProperties>
</file>